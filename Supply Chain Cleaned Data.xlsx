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Project\Supply Chain Analytics\"/>
    </mc:Choice>
  </mc:AlternateContent>
  <xr:revisionPtr revIDLastSave="0" documentId="8_{5D3AAFDC-A026-4E92-8881-A049229D7E49}" xr6:coauthVersionLast="47" xr6:coauthVersionMax="47" xr10:uidLastSave="{00000000-0000-0000-0000-000000000000}"/>
  <bookViews>
    <workbookView xWindow="-108" yWindow="-108" windowWidth="23256" windowHeight="12456" xr2:uid="{8D542198-1DA3-40DF-A870-54A966316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1000" i="1" l="1" a="1"/>
  <c r="BG1000" i="1" s="1"/>
  <c r="AJ1000" i="1" a="1"/>
  <c r="AJ1000" i="1" s="1"/>
  <c r="AF1000" i="1" a="1"/>
  <c r="AF1000" i="1" s="1"/>
  <c r="BG999" i="1" a="1"/>
  <c r="BG999" i="1" s="1"/>
  <c r="AJ999" i="1" a="1"/>
  <c r="AJ999" i="1" s="1"/>
  <c r="AF999" i="1"/>
  <c r="AF999" i="1" a="1"/>
  <c r="BG998" i="1"/>
  <c r="BG998" i="1" a="1"/>
  <c r="AJ998" i="1"/>
  <c r="AJ998" i="1" a="1"/>
  <c r="AF998" i="1" a="1"/>
  <c r="AF998" i="1" s="1"/>
  <c r="BG997" i="1"/>
  <c r="BG997" i="1" a="1"/>
  <c r="AJ997" i="1"/>
  <c r="AJ997" i="1" a="1"/>
  <c r="AF997" i="1" a="1"/>
  <c r="AF997" i="1" s="1"/>
  <c r="BG996" i="1" a="1"/>
  <c r="BG996" i="1" s="1"/>
  <c r="AJ996" i="1" a="1"/>
  <c r="AJ996" i="1" s="1"/>
  <c r="AF996" i="1" a="1"/>
  <c r="AF996" i="1" s="1"/>
  <c r="BG995" i="1" a="1"/>
  <c r="BG995" i="1" s="1"/>
  <c r="AJ995" i="1" a="1"/>
  <c r="AJ995" i="1" s="1"/>
  <c r="AF995" i="1"/>
  <c r="AF995" i="1" a="1"/>
  <c r="BG994" i="1" a="1"/>
  <c r="BG994" i="1" s="1"/>
  <c r="AJ994" i="1" a="1"/>
  <c r="AJ994" i="1" s="1"/>
  <c r="AF994" i="1"/>
  <c r="AF994" i="1" a="1"/>
  <c r="BG993" i="1"/>
  <c r="BG993" i="1" a="1"/>
  <c r="AJ993" i="1" a="1"/>
  <c r="AJ993" i="1" s="1"/>
  <c r="AF993" i="1"/>
  <c r="AF993" i="1" a="1"/>
  <c r="BG992" i="1" a="1"/>
  <c r="BG992" i="1" s="1"/>
  <c r="AJ992" i="1" a="1"/>
  <c r="AJ992" i="1" s="1"/>
  <c r="AF992" i="1" a="1"/>
  <c r="AF992" i="1" s="1"/>
  <c r="BG991" i="1"/>
  <c r="BG991" i="1" a="1"/>
  <c r="AJ991" i="1" a="1"/>
  <c r="AJ991" i="1" s="1"/>
  <c r="AF991" i="1" a="1"/>
  <c r="AF991" i="1" s="1"/>
  <c r="BG990" i="1"/>
  <c r="BG990" i="1" a="1"/>
  <c r="AJ990" i="1"/>
  <c r="AJ990" i="1" a="1"/>
  <c r="AF990" i="1" a="1"/>
  <c r="AF990" i="1" s="1"/>
  <c r="BG989" i="1"/>
  <c r="BG989" i="1" a="1"/>
  <c r="AJ989" i="1" a="1"/>
  <c r="AJ989" i="1" s="1"/>
  <c r="AF989" i="1"/>
  <c r="AF989" i="1" a="1"/>
  <c r="BG988" i="1" a="1"/>
  <c r="BG988" i="1" s="1"/>
  <c r="AJ988" i="1" a="1"/>
  <c r="AJ988" i="1" s="1"/>
  <c r="AF988" i="1" a="1"/>
  <c r="AF988" i="1" s="1"/>
  <c r="BG987" i="1" a="1"/>
  <c r="BG987" i="1" s="1"/>
  <c r="AJ987" i="1" a="1"/>
  <c r="AJ987" i="1" s="1"/>
  <c r="AF987" i="1"/>
  <c r="AF987" i="1" a="1"/>
  <c r="BG986" i="1"/>
  <c r="BG986" i="1" a="1"/>
  <c r="AJ986" i="1"/>
  <c r="AJ986" i="1" a="1"/>
  <c r="AF986" i="1"/>
  <c r="AF986" i="1" a="1"/>
  <c r="BG985" i="1" a="1"/>
  <c r="BG985" i="1" s="1"/>
  <c r="AJ985" i="1"/>
  <c r="AJ985" i="1" a="1"/>
  <c r="AF985" i="1" a="1"/>
  <c r="AF985" i="1" s="1"/>
  <c r="BG984" i="1" a="1"/>
  <c r="BG984" i="1" s="1"/>
  <c r="AJ984" i="1"/>
  <c r="AJ984" i="1" a="1"/>
  <c r="AF984" i="1"/>
  <c r="AF984" i="1" a="1"/>
  <c r="BG983" i="1" a="1"/>
  <c r="BG983" i="1" s="1"/>
  <c r="AJ983" i="1"/>
  <c r="AJ983" i="1" a="1"/>
  <c r="AF983" i="1" a="1"/>
  <c r="AF983" i="1" s="1"/>
  <c r="BG982" i="1" a="1"/>
  <c r="BG982" i="1" s="1"/>
  <c r="AJ982" i="1"/>
  <c r="AJ982" i="1" a="1"/>
  <c r="AF982" i="1" a="1"/>
  <c r="AF982" i="1" s="1"/>
  <c r="BG981" i="1"/>
  <c r="BG981" i="1" a="1"/>
  <c r="AJ981" i="1"/>
  <c r="AJ981" i="1" a="1"/>
  <c r="AF981" i="1"/>
  <c r="AF981" i="1" a="1"/>
  <c r="BG980" i="1" a="1"/>
  <c r="BG980" i="1" s="1"/>
  <c r="AJ980" i="1"/>
  <c r="AJ980" i="1" a="1"/>
  <c r="AF980" i="1" a="1"/>
  <c r="AF980" i="1" s="1"/>
  <c r="BG979" i="1" a="1"/>
  <c r="BG979" i="1" s="1"/>
  <c r="AJ979" i="1" a="1"/>
  <c r="AJ979" i="1" s="1"/>
  <c r="AF979" i="1" a="1"/>
  <c r="AF979" i="1" s="1"/>
  <c r="BG978" i="1"/>
  <c r="BG978" i="1" a="1"/>
  <c r="AJ978" i="1" a="1"/>
  <c r="AJ978" i="1" s="1"/>
  <c r="AF978" i="1" a="1"/>
  <c r="AF978" i="1" s="1"/>
  <c r="BG977" i="1" a="1"/>
  <c r="BG977" i="1" s="1"/>
  <c r="AJ977" i="1" a="1"/>
  <c r="AJ977" i="1" s="1"/>
  <c r="AF977" i="1" a="1"/>
  <c r="AF977" i="1" s="1"/>
  <c r="BG976" i="1" a="1"/>
  <c r="BG976" i="1" s="1"/>
  <c r="AJ976" i="1" a="1"/>
  <c r="AJ976" i="1" s="1"/>
  <c r="AF976" i="1"/>
  <c r="AF976" i="1" a="1"/>
  <c r="BG975" i="1"/>
  <c r="BG975" i="1" a="1"/>
  <c r="AJ975" i="1" a="1"/>
  <c r="AJ975" i="1" s="1"/>
  <c r="AF975" i="1"/>
  <c r="AF975" i="1" a="1"/>
  <c r="BG974" i="1"/>
  <c r="BG974" i="1" a="1"/>
  <c r="AJ974" i="1"/>
  <c r="AJ974" i="1" a="1"/>
  <c r="AF974" i="1" a="1"/>
  <c r="AF974" i="1" s="1"/>
  <c r="BG973" i="1"/>
  <c r="BG973" i="1" a="1"/>
  <c r="AJ973" i="1" a="1"/>
  <c r="AJ973" i="1" s="1"/>
  <c r="AF973" i="1" a="1"/>
  <c r="AF973" i="1" s="1"/>
  <c r="BG972" i="1"/>
  <c r="BG972" i="1" a="1"/>
  <c r="AJ972" i="1" a="1"/>
  <c r="AJ972" i="1" s="1"/>
  <c r="AF972" i="1" a="1"/>
  <c r="AF972" i="1" s="1"/>
  <c r="BG971" i="1" a="1"/>
  <c r="BG971" i="1" s="1"/>
  <c r="AJ971" i="1" a="1"/>
  <c r="AJ971" i="1" s="1"/>
  <c r="AF971" i="1" a="1"/>
  <c r="AF971" i="1" s="1"/>
  <c r="BG970" i="1" a="1"/>
  <c r="BG970" i="1" s="1"/>
  <c r="AJ970" i="1" a="1"/>
  <c r="AJ970" i="1" s="1"/>
  <c r="AF970" i="1"/>
  <c r="AF970" i="1" a="1"/>
  <c r="BG969" i="1"/>
  <c r="BG969" i="1" a="1"/>
  <c r="AJ969" i="1"/>
  <c r="AJ969" i="1" a="1"/>
  <c r="AF969" i="1"/>
  <c r="AF969" i="1" a="1"/>
  <c r="BG968" i="1" a="1"/>
  <c r="BG968" i="1" s="1"/>
  <c r="AJ968" i="1"/>
  <c r="AJ968" i="1" a="1"/>
  <c r="AF968" i="1"/>
  <c r="AF968" i="1" a="1"/>
  <c r="BG967" i="1"/>
  <c r="BG967" i="1" a="1"/>
  <c r="AJ967" i="1"/>
  <c r="AJ967" i="1" a="1"/>
  <c r="AF967" i="1" a="1"/>
  <c r="AF967" i="1" s="1"/>
  <c r="BG966" i="1"/>
  <c r="BG966" i="1" a="1"/>
  <c r="AJ966" i="1"/>
  <c r="AJ966" i="1" a="1"/>
  <c r="AF966" i="1" a="1"/>
  <c r="AF966" i="1" s="1"/>
  <c r="BG965" i="1"/>
  <c r="BG965" i="1" a="1"/>
  <c r="AJ965" i="1" a="1"/>
  <c r="AJ965" i="1" s="1"/>
  <c r="AF965" i="1" a="1"/>
  <c r="AF965" i="1" s="1"/>
  <c r="BG964" i="1"/>
  <c r="BG964" i="1" a="1"/>
  <c r="AJ964" i="1"/>
  <c r="AJ964" i="1" a="1"/>
  <c r="AF964" i="1" a="1"/>
  <c r="AF964" i="1" s="1"/>
  <c r="BG963" i="1" a="1"/>
  <c r="BG963" i="1" s="1"/>
  <c r="AJ963" i="1" a="1"/>
  <c r="AJ963" i="1" s="1"/>
  <c r="AF963" i="1" a="1"/>
  <c r="AF963" i="1" s="1"/>
  <c r="BG962" i="1"/>
  <c r="BG962" i="1" a="1"/>
  <c r="AJ962" i="1" a="1"/>
  <c r="AJ962" i="1" s="1"/>
  <c r="AF962" i="1" a="1"/>
  <c r="AF962" i="1" s="1"/>
  <c r="BG961" i="1"/>
  <c r="BG961" i="1" a="1"/>
  <c r="AJ961" i="1" a="1"/>
  <c r="AJ961" i="1" s="1"/>
  <c r="AF961" i="1"/>
  <c r="AF961" i="1" a="1"/>
  <c r="BG960" i="1" a="1"/>
  <c r="BG960" i="1" s="1"/>
  <c r="AJ960" i="1"/>
  <c r="AJ960" i="1" a="1"/>
  <c r="AF960" i="1"/>
  <c r="AF960" i="1" a="1"/>
  <c r="BG959" i="1"/>
  <c r="BG959" i="1" a="1"/>
  <c r="AJ959" i="1" a="1"/>
  <c r="AJ959" i="1" s="1"/>
  <c r="AF959" i="1"/>
  <c r="AF959" i="1" a="1"/>
  <c r="BG958" i="1"/>
  <c r="BG958" i="1" a="1"/>
  <c r="AJ958" i="1" a="1"/>
  <c r="AJ958" i="1" s="1"/>
  <c r="AF958" i="1" a="1"/>
  <c r="AF958" i="1" s="1"/>
  <c r="BG957" i="1" a="1"/>
  <c r="BG957" i="1" s="1"/>
  <c r="AJ957" i="1" a="1"/>
  <c r="AJ957" i="1" s="1"/>
  <c r="AF957" i="1" a="1"/>
  <c r="AF957" i="1" s="1"/>
  <c r="BG956" i="1"/>
  <c r="BG956" i="1" a="1"/>
  <c r="AJ956" i="1" a="1"/>
  <c r="AJ956" i="1" s="1"/>
  <c r="AF956" i="1"/>
  <c r="AF956" i="1" a="1"/>
  <c r="BG955" i="1"/>
  <c r="BG955" i="1" a="1"/>
  <c r="AJ955" i="1" a="1"/>
  <c r="AJ955" i="1" s="1"/>
  <c r="AF955" i="1"/>
  <c r="AF955" i="1" a="1"/>
  <c r="BG954" i="1"/>
  <c r="BG954" i="1" a="1"/>
  <c r="AJ954" i="1"/>
  <c r="AJ954" i="1" a="1"/>
  <c r="AF954" i="1" a="1"/>
  <c r="AF954" i="1" s="1"/>
  <c r="BG953" i="1" a="1"/>
  <c r="BG953" i="1" s="1"/>
  <c r="AJ953" i="1" a="1"/>
  <c r="AJ953" i="1" s="1"/>
  <c r="AF953" i="1"/>
  <c r="AF953" i="1" a="1"/>
  <c r="BG952" i="1" a="1"/>
  <c r="BG952" i="1" s="1"/>
  <c r="AJ952" i="1" a="1"/>
  <c r="AJ952" i="1" s="1"/>
  <c r="AF952" i="1"/>
  <c r="AF952" i="1" a="1"/>
  <c r="BG951" i="1" a="1"/>
  <c r="BG951" i="1" s="1"/>
  <c r="AJ951" i="1"/>
  <c r="AJ951" i="1" a="1"/>
  <c r="AF951" i="1" a="1"/>
  <c r="AF951" i="1" s="1"/>
  <c r="BG950" i="1" a="1"/>
  <c r="BG950" i="1" s="1"/>
  <c r="AJ950" i="1"/>
  <c r="AJ950" i="1" a="1"/>
  <c r="AF950" i="1" a="1"/>
  <c r="AF950" i="1" s="1"/>
  <c r="BG949" i="1"/>
  <c r="BG949" i="1" a="1"/>
  <c r="AJ949" i="1"/>
  <c r="AJ949" i="1" a="1"/>
  <c r="AF949" i="1"/>
  <c r="AF949" i="1" a="1"/>
  <c r="BG948" i="1" a="1"/>
  <c r="BG948" i="1" s="1"/>
  <c r="AJ948" i="1" a="1"/>
  <c r="AJ948" i="1" s="1"/>
  <c r="AF948" i="1"/>
  <c r="AF948" i="1" a="1"/>
  <c r="BG947" i="1"/>
  <c r="BG947" i="1" a="1"/>
  <c r="AJ947" i="1" a="1"/>
  <c r="AJ947" i="1" s="1"/>
  <c r="AF947" i="1" a="1"/>
  <c r="AF947" i="1" s="1"/>
  <c r="BG946" i="1" a="1"/>
  <c r="BG946" i="1" s="1"/>
  <c r="AJ946" i="1" a="1"/>
  <c r="AJ946" i="1" s="1"/>
  <c r="AF946" i="1" a="1"/>
  <c r="AF946" i="1" s="1"/>
  <c r="BG945" i="1" a="1"/>
  <c r="BG945" i="1" s="1"/>
  <c r="AJ945" i="1" a="1"/>
  <c r="AJ945" i="1" s="1"/>
  <c r="AF945" i="1"/>
  <c r="AF945" i="1" a="1"/>
  <c r="BG944" i="1" a="1"/>
  <c r="BG944" i="1" s="1"/>
  <c r="AJ944" i="1"/>
  <c r="AJ944" i="1" a="1"/>
  <c r="AF944" i="1"/>
  <c r="AF944" i="1" a="1"/>
  <c r="BG943" i="1" a="1"/>
  <c r="BG943" i="1" s="1"/>
  <c r="AJ943" i="1"/>
  <c r="AJ943" i="1" a="1"/>
  <c r="AF943" i="1"/>
  <c r="AF943" i="1" a="1"/>
  <c r="BG942" i="1"/>
  <c r="BG942" i="1" a="1"/>
  <c r="AJ942" i="1" a="1"/>
  <c r="AJ942" i="1" s="1"/>
  <c r="AF942" i="1" a="1"/>
  <c r="AF942" i="1" s="1"/>
  <c r="BG941" i="1" a="1"/>
  <c r="BG941" i="1" s="1"/>
  <c r="AJ941" i="1" a="1"/>
  <c r="AJ941" i="1" s="1"/>
  <c r="AF941" i="1"/>
  <c r="AF941" i="1" a="1"/>
  <c r="BG940" i="1"/>
  <c r="BG940" i="1" a="1"/>
  <c r="AJ940" i="1" a="1"/>
  <c r="AJ940" i="1" s="1"/>
  <c r="AF940" i="1"/>
  <c r="AF940" i="1" a="1"/>
  <c r="BG939" i="1" a="1"/>
  <c r="BG939" i="1" s="1"/>
  <c r="AJ939" i="1" a="1"/>
  <c r="AJ939" i="1" s="1"/>
  <c r="AF939" i="1"/>
  <c r="AF939" i="1" a="1"/>
  <c r="BG938" i="1"/>
  <c r="BG938" i="1" a="1"/>
  <c r="AJ938" i="1" a="1"/>
  <c r="AJ938" i="1" s="1"/>
  <c r="AF938" i="1"/>
  <c r="AF938" i="1" a="1"/>
  <c r="BG937" i="1"/>
  <c r="BG937" i="1" a="1"/>
  <c r="AJ937" i="1" a="1"/>
  <c r="AJ937" i="1" s="1"/>
  <c r="AF937" i="1" a="1"/>
  <c r="AF937" i="1" s="1"/>
  <c r="BG936" i="1" a="1"/>
  <c r="BG936" i="1" s="1"/>
  <c r="AJ936" i="1" a="1"/>
  <c r="AJ936" i="1" s="1"/>
  <c r="AF936" i="1" a="1"/>
  <c r="AF936" i="1" s="1"/>
  <c r="BG935" i="1" a="1"/>
  <c r="BG935" i="1" s="1"/>
  <c r="AJ935" i="1" a="1"/>
  <c r="AJ935" i="1" s="1"/>
  <c r="AF935" i="1" a="1"/>
  <c r="AF935" i="1" s="1"/>
  <c r="BG934" i="1" a="1"/>
  <c r="BG934" i="1" s="1"/>
  <c r="AJ934" i="1" a="1"/>
  <c r="AJ934" i="1" s="1"/>
  <c r="AF934" i="1" a="1"/>
  <c r="AF934" i="1" s="1"/>
  <c r="BG933" i="1" a="1"/>
  <c r="BG933" i="1" s="1"/>
  <c r="AJ933" i="1" a="1"/>
  <c r="AJ933" i="1" s="1"/>
  <c r="AF933" i="1" a="1"/>
  <c r="AF933" i="1" s="1"/>
  <c r="BG932" i="1" a="1"/>
  <c r="BG932" i="1" s="1"/>
  <c r="AJ932" i="1"/>
  <c r="AJ932" i="1" a="1"/>
  <c r="AF932" i="1"/>
  <c r="AF932" i="1" a="1"/>
  <c r="BG931" i="1"/>
  <c r="BG931" i="1" a="1"/>
  <c r="AJ931" i="1" a="1"/>
  <c r="AJ931" i="1" s="1"/>
  <c r="AF931" i="1"/>
  <c r="AF931" i="1" a="1"/>
  <c r="BG930" i="1" a="1"/>
  <c r="BG930" i="1" s="1"/>
  <c r="AJ930" i="1"/>
  <c r="AJ930" i="1" a="1"/>
  <c r="AF930" i="1"/>
  <c r="AF930" i="1" a="1"/>
  <c r="BG929" i="1" a="1"/>
  <c r="BG929" i="1" s="1"/>
  <c r="AJ929" i="1" a="1"/>
  <c r="AJ929" i="1" s="1"/>
  <c r="AF929" i="1" a="1"/>
  <c r="AF929" i="1" s="1"/>
  <c r="BG928" i="1" a="1"/>
  <c r="BG928" i="1" s="1"/>
  <c r="AJ928" i="1"/>
  <c r="AJ928" i="1" a="1"/>
  <c r="AF928" i="1" a="1"/>
  <c r="AF928" i="1" s="1"/>
  <c r="BG927" i="1" a="1"/>
  <c r="BG927" i="1" s="1"/>
  <c r="AJ927" i="1"/>
  <c r="AJ927" i="1" a="1"/>
  <c r="AF927" i="1"/>
  <c r="AF927" i="1" a="1"/>
  <c r="BG926" i="1" a="1"/>
  <c r="BG926" i="1" s="1"/>
  <c r="AJ926" i="1"/>
  <c r="AJ926" i="1" a="1"/>
  <c r="AF926" i="1" a="1"/>
  <c r="AF926" i="1" s="1"/>
  <c r="BG925" i="1" a="1"/>
  <c r="BG925" i="1" s="1"/>
  <c r="AJ925" i="1" a="1"/>
  <c r="AJ925" i="1" s="1"/>
  <c r="AF925" i="1"/>
  <c r="AF925" i="1" a="1"/>
  <c r="BG924" i="1" a="1"/>
  <c r="BG924" i="1" s="1"/>
  <c r="AJ924" i="1" a="1"/>
  <c r="AJ924" i="1" s="1"/>
  <c r="AF924" i="1" a="1"/>
  <c r="AF924" i="1" s="1"/>
  <c r="BG923" i="1"/>
  <c r="BG923" i="1" a="1"/>
  <c r="AJ923" i="1" a="1"/>
  <c r="AJ923" i="1" s="1"/>
  <c r="AF923" i="1"/>
  <c r="AF923" i="1" a="1"/>
  <c r="BG922" i="1"/>
  <c r="BG922" i="1" a="1"/>
  <c r="AJ922" i="1" a="1"/>
  <c r="AJ922" i="1" s="1"/>
  <c r="AF922" i="1"/>
  <c r="AF922" i="1" a="1"/>
  <c r="BG921" i="1"/>
  <c r="BG921" i="1" a="1"/>
  <c r="AJ921" i="1"/>
  <c r="AJ921" i="1" a="1"/>
  <c r="AF921" i="1" a="1"/>
  <c r="AF921" i="1" s="1"/>
  <c r="BG920" i="1" a="1"/>
  <c r="BG920" i="1" s="1"/>
  <c r="AJ920" i="1" a="1"/>
  <c r="AJ920" i="1" s="1"/>
  <c r="AF920" i="1"/>
  <c r="AF920" i="1" a="1"/>
  <c r="BG919" i="1"/>
  <c r="BG919" i="1" a="1"/>
  <c r="AJ919" i="1" a="1"/>
  <c r="AJ919" i="1" s="1"/>
  <c r="AF919" i="1"/>
  <c r="AF919" i="1" a="1"/>
  <c r="BG918" i="1"/>
  <c r="BG918" i="1" a="1"/>
  <c r="AJ918" i="1" a="1"/>
  <c r="AJ918" i="1" s="1"/>
  <c r="AF918" i="1" a="1"/>
  <c r="AF918" i="1" s="1"/>
  <c r="BG917" i="1"/>
  <c r="BG917" i="1" a="1"/>
  <c r="AJ917" i="1" a="1"/>
  <c r="AJ917" i="1" s="1"/>
  <c r="AF917" i="1"/>
  <c r="AF917" i="1" a="1"/>
  <c r="BG916" i="1"/>
  <c r="BG916" i="1" a="1"/>
  <c r="AJ916" i="1"/>
  <c r="AJ916" i="1" a="1"/>
  <c r="AF916" i="1" a="1"/>
  <c r="AF916" i="1" s="1"/>
  <c r="BG915" i="1" a="1"/>
  <c r="BG915" i="1" s="1"/>
  <c r="AJ915" i="1" a="1"/>
  <c r="AJ915" i="1" s="1"/>
  <c r="AF915" i="1" a="1"/>
  <c r="AF915" i="1" s="1"/>
  <c r="BG914" i="1" a="1"/>
  <c r="BG914" i="1" s="1"/>
  <c r="AJ914" i="1"/>
  <c r="AJ914" i="1" a="1"/>
  <c r="AF914" i="1" a="1"/>
  <c r="AF914" i="1" s="1"/>
  <c r="BG913" i="1" a="1"/>
  <c r="BG913" i="1" s="1"/>
  <c r="AJ913" i="1" a="1"/>
  <c r="AJ913" i="1" s="1"/>
  <c r="AF913" i="1"/>
  <c r="AF913" i="1" a="1"/>
  <c r="BG912" i="1" a="1"/>
  <c r="BG912" i="1" s="1"/>
  <c r="AJ912" i="1" a="1"/>
  <c r="AJ912" i="1" s="1"/>
  <c r="AF912" i="1"/>
  <c r="AF912" i="1" a="1"/>
  <c r="BG911" i="1"/>
  <c r="BG911" i="1" a="1"/>
  <c r="AJ911" i="1" a="1"/>
  <c r="AJ911" i="1" s="1"/>
  <c r="AF911" i="1" a="1"/>
  <c r="AF911" i="1" s="1"/>
  <c r="BG910" i="1"/>
  <c r="BG910" i="1" a="1"/>
  <c r="AJ910" i="1" a="1"/>
  <c r="AJ910" i="1" s="1"/>
  <c r="AF910" i="1" a="1"/>
  <c r="AF910" i="1" s="1"/>
  <c r="BG909" i="1" a="1"/>
  <c r="BG909" i="1" s="1"/>
  <c r="AJ909" i="1"/>
  <c r="AJ909" i="1" a="1"/>
  <c r="AF909" i="1" a="1"/>
  <c r="AF909" i="1" s="1"/>
  <c r="BG908" i="1"/>
  <c r="BG908" i="1" a="1"/>
  <c r="AJ908" i="1"/>
  <c r="AJ908" i="1" a="1"/>
  <c r="AF908" i="1"/>
  <c r="AF908" i="1" a="1"/>
  <c r="BG907" i="1" a="1"/>
  <c r="BG907" i="1" s="1"/>
  <c r="AJ907" i="1" a="1"/>
  <c r="AJ907" i="1" s="1"/>
  <c r="AF907" i="1"/>
  <c r="AF907" i="1" a="1"/>
  <c r="BG906" i="1" a="1"/>
  <c r="BG906" i="1" s="1"/>
  <c r="AJ906" i="1"/>
  <c r="AJ906" i="1" a="1"/>
  <c r="AF906" i="1"/>
  <c r="AF906" i="1" a="1"/>
  <c r="BG905" i="1"/>
  <c r="BG905" i="1" a="1"/>
  <c r="AJ905" i="1"/>
  <c r="AJ905" i="1" a="1"/>
  <c r="AF905" i="1"/>
  <c r="AF905" i="1" a="1"/>
  <c r="BG904" i="1" a="1"/>
  <c r="BG904" i="1" s="1"/>
  <c r="AJ904" i="1"/>
  <c r="AJ904" i="1" a="1"/>
  <c r="AF904" i="1"/>
  <c r="AF904" i="1" a="1"/>
  <c r="BG903" i="1" a="1"/>
  <c r="BG903" i="1" s="1"/>
  <c r="AJ903" i="1" a="1"/>
  <c r="AJ903" i="1" s="1"/>
  <c r="AF903" i="1"/>
  <c r="AF903" i="1" a="1"/>
  <c r="BG902" i="1"/>
  <c r="BG902" i="1" a="1"/>
  <c r="AJ902" i="1"/>
  <c r="AJ902" i="1" a="1"/>
  <c r="AF902" i="1" a="1"/>
  <c r="AF902" i="1" s="1"/>
  <c r="BG901" i="1"/>
  <c r="BG901" i="1" a="1"/>
  <c r="AJ901" i="1"/>
  <c r="AJ901" i="1" a="1"/>
  <c r="AF901" i="1"/>
  <c r="AF901" i="1" a="1"/>
  <c r="BG900" i="1"/>
  <c r="BG900" i="1" a="1"/>
  <c r="AJ900" i="1"/>
  <c r="AJ900" i="1" a="1"/>
  <c r="AF900" i="1"/>
  <c r="AF900" i="1" a="1"/>
  <c r="BG899" i="1"/>
  <c r="BG899" i="1" a="1"/>
  <c r="AJ899" i="1" a="1"/>
  <c r="AJ899" i="1" s="1"/>
  <c r="AF899" i="1"/>
  <c r="AF899" i="1" a="1"/>
  <c r="BG898" i="1" a="1"/>
  <c r="BG898" i="1" s="1"/>
  <c r="AJ898" i="1" a="1"/>
  <c r="AJ898" i="1" s="1"/>
  <c r="AF898" i="1" a="1"/>
  <c r="AF898" i="1" s="1"/>
  <c r="BG897" i="1" a="1"/>
  <c r="BG897" i="1" s="1"/>
  <c r="AJ897" i="1"/>
  <c r="AJ897" i="1" a="1"/>
  <c r="AF897" i="1"/>
  <c r="AF897" i="1" a="1"/>
  <c r="BG896" i="1" a="1"/>
  <c r="BG896" i="1" s="1"/>
  <c r="AJ896" i="1"/>
  <c r="AJ896" i="1" a="1"/>
  <c r="AF896" i="1" a="1"/>
  <c r="AF896" i="1" s="1"/>
  <c r="BG895" i="1" a="1"/>
  <c r="BG895" i="1" s="1"/>
  <c r="AJ895" i="1"/>
  <c r="AJ895" i="1" a="1"/>
  <c r="AF895" i="1"/>
  <c r="AF895" i="1" a="1"/>
  <c r="BG894" i="1" a="1"/>
  <c r="BG894" i="1" s="1"/>
  <c r="AJ894" i="1"/>
  <c r="AJ894" i="1" a="1"/>
  <c r="AF894" i="1" a="1"/>
  <c r="AF894" i="1" s="1"/>
  <c r="BG893" i="1" a="1"/>
  <c r="BG893" i="1" s="1"/>
  <c r="AJ893" i="1"/>
  <c r="AJ893" i="1" a="1"/>
  <c r="AF893" i="1"/>
  <c r="AF893" i="1" a="1"/>
  <c r="BG892" i="1" a="1"/>
  <c r="BG892" i="1" s="1"/>
  <c r="AJ892" i="1"/>
  <c r="AJ892" i="1" a="1"/>
  <c r="AF892" i="1" a="1"/>
  <c r="AF892" i="1" s="1"/>
  <c r="BG891" i="1" a="1"/>
  <c r="BG891" i="1" s="1"/>
  <c r="AJ891" i="1" a="1"/>
  <c r="AJ891" i="1" s="1"/>
  <c r="AF891" i="1" a="1"/>
  <c r="AF891" i="1" s="1"/>
  <c r="BG890" i="1" a="1"/>
  <c r="BG890" i="1" s="1"/>
  <c r="AJ890" i="1"/>
  <c r="AJ890" i="1" a="1"/>
  <c r="AF890" i="1"/>
  <c r="AF890" i="1" a="1"/>
  <c r="BG889" i="1" a="1"/>
  <c r="BG889" i="1" s="1"/>
  <c r="AJ889" i="1"/>
  <c r="AJ889" i="1" a="1"/>
  <c r="AF889" i="1"/>
  <c r="AF889" i="1" a="1"/>
  <c r="BG888" i="1" a="1"/>
  <c r="BG888" i="1" s="1"/>
  <c r="AJ888" i="1" a="1"/>
  <c r="AJ888" i="1" s="1"/>
  <c r="AF888" i="1" a="1"/>
  <c r="AF888" i="1" s="1"/>
  <c r="BG887" i="1"/>
  <c r="BG887" i="1" a="1"/>
  <c r="AJ887" i="1" a="1"/>
  <c r="AJ887" i="1" s="1"/>
  <c r="AF887" i="1" a="1"/>
  <c r="AF887" i="1" s="1"/>
  <c r="BG886" i="1"/>
  <c r="BG886" i="1" a="1"/>
  <c r="AJ886" i="1" a="1"/>
  <c r="AJ886" i="1" s="1"/>
  <c r="AF886" i="1" a="1"/>
  <c r="AF886" i="1" s="1"/>
  <c r="BG885" i="1" a="1"/>
  <c r="BG885" i="1" s="1"/>
  <c r="AJ885" i="1" a="1"/>
  <c r="AJ885" i="1" s="1"/>
  <c r="AF885" i="1" a="1"/>
  <c r="AF885" i="1" s="1"/>
  <c r="BG884" i="1" a="1"/>
  <c r="BG884" i="1" s="1"/>
  <c r="AJ884" i="1" a="1"/>
  <c r="AJ884" i="1" s="1"/>
  <c r="AF884" i="1" a="1"/>
  <c r="AF884" i="1" s="1"/>
  <c r="BG883" i="1"/>
  <c r="BG883" i="1" a="1"/>
  <c r="AJ883" i="1" a="1"/>
  <c r="AJ883" i="1" s="1"/>
  <c r="AF883" i="1"/>
  <c r="AF883" i="1" a="1"/>
  <c r="BG882" i="1"/>
  <c r="BG882" i="1" a="1"/>
  <c r="AJ882" i="1" a="1"/>
  <c r="AJ882" i="1" s="1"/>
  <c r="AF882" i="1" a="1"/>
  <c r="AF882" i="1" s="1"/>
  <c r="BG881" i="1"/>
  <c r="BG881" i="1" a="1"/>
  <c r="AJ881" i="1" a="1"/>
  <c r="AJ881" i="1" s="1"/>
  <c r="AF881" i="1" a="1"/>
  <c r="AF881" i="1" s="1"/>
  <c r="BG880" i="1" a="1"/>
  <c r="BG880" i="1" s="1"/>
  <c r="AJ880" i="1" a="1"/>
  <c r="AJ880" i="1" s="1"/>
  <c r="AF880" i="1"/>
  <c r="AF880" i="1" a="1"/>
  <c r="BG879" i="1"/>
  <c r="BG879" i="1" a="1"/>
  <c r="AJ879" i="1" a="1"/>
  <c r="AJ879" i="1" s="1"/>
  <c r="AF879" i="1" a="1"/>
  <c r="AF879" i="1" s="1"/>
  <c r="BG878" i="1"/>
  <c r="BG878" i="1" a="1"/>
  <c r="AJ878" i="1"/>
  <c r="AJ878" i="1" a="1"/>
  <c r="AF878" i="1" a="1"/>
  <c r="AF878" i="1" s="1"/>
  <c r="BG877" i="1" a="1"/>
  <c r="BG877" i="1" s="1"/>
  <c r="AJ877" i="1" a="1"/>
  <c r="AJ877" i="1" s="1"/>
  <c r="AF877" i="1" a="1"/>
  <c r="AF877" i="1" s="1"/>
  <c r="BG876" i="1" a="1"/>
  <c r="BG876" i="1" s="1"/>
  <c r="AJ876" i="1"/>
  <c r="AJ876" i="1" a="1"/>
  <c r="AF876" i="1"/>
  <c r="AF876" i="1" a="1"/>
  <c r="BG875" i="1" a="1"/>
  <c r="BG875" i="1" s="1"/>
  <c r="AJ875" i="1" a="1"/>
  <c r="AJ875" i="1" s="1"/>
  <c r="AF875" i="1"/>
  <c r="AF875" i="1" a="1"/>
  <c r="BG874" i="1"/>
  <c r="BG874" i="1" a="1"/>
  <c r="AJ874" i="1" a="1"/>
  <c r="AJ874" i="1" s="1"/>
  <c r="AF874" i="1"/>
  <c r="AF874" i="1" a="1"/>
  <c r="BG873" i="1" a="1"/>
  <c r="BG873" i="1" s="1"/>
  <c r="AJ873" i="1"/>
  <c r="AJ873" i="1" a="1"/>
  <c r="AF873" i="1"/>
  <c r="AF873" i="1" a="1"/>
  <c r="BG872" i="1" a="1"/>
  <c r="BG872" i="1" s="1"/>
  <c r="AJ872" i="1" a="1"/>
  <c r="AJ872" i="1" s="1"/>
  <c r="AF872" i="1" a="1"/>
  <c r="AF872" i="1" s="1"/>
  <c r="BG871" i="1"/>
  <c r="BG871" i="1" a="1"/>
  <c r="AJ871" i="1" a="1"/>
  <c r="AJ871" i="1" s="1"/>
  <c r="AF871" i="1"/>
  <c r="AF871" i="1" a="1"/>
  <c r="BG870" i="1"/>
  <c r="BG870" i="1" a="1"/>
  <c r="AJ870" i="1" a="1"/>
  <c r="AJ870" i="1" s="1"/>
  <c r="AF870" i="1" a="1"/>
  <c r="AF870" i="1" s="1"/>
  <c r="BG869" i="1" a="1"/>
  <c r="BG869" i="1" s="1"/>
  <c r="AJ869" i="1"/>
  <c r="AJ869" i="1" a="1"/>
  <c r="AF869" i="1" a="1"/>
  <c r="AF869" i="1" s="1"/>
  <c r="BG868" i="1" a="1"/>
  <c r="BG868" i="1" s="1"/>
  <c r="AJ868" i="1" a="1"/>
  <c r="AJ868" i="1" s="1"/>
  <c r="AF868" i="1"/>
  <c r="AF868" i="1" a="1"/>
  <c r="BG867" i="1" a="1"/>
  <c r="BG867" i="1" s="1"/>
  <c r="AJ867" i="1" a="1"/>
  <c r="AJ867" i="1" s="1"/>
  <c r="AF867" i="1" a="1"/>
  <c r="AF867" i="1" s="1"/>
  <c r="BG866" i="1"/>
  <c r="BG866" i="1" a="1"/>
  <c r="AJ866" i="1" a="1"/>
  <c r="AJ866" i="1" s="1"/>
  <c r="AF866" i="1"/>
  <c r="AF866" i="1" a="1"/>
  <c r="BG865" i="1" a="1"/>
  <c r="BG865" i="1" s="1"/>
  <c r="AJ865" i="1"/>
  <c r="AJ865" i="1" a="1"/>
  <c r="AF865" i="1"/>
  <c r="AF865" i="1" a="1"/>
  <c r="BG864" i="1" a="1"/>
  <c r="BG864" i="1" s="1"/>
  <c r="AJ864" i="1" a="1"/>
  <c r="AJ864" i="1" s="1"/>
  <c r="AF864" i="1" a="1"/>
  <c r="AF864" i="1" s="1"/>
  <c r="BG863" i="1"/>
  <c r="BG863" i="1" a="1"/>
  <c r="AJ863" i="1"/>
  <c r="AJ863" i="1" a="1"/>
  <c r="AF863" i="1"/>
  <c r="AF863" i="1" a="1"/>
  <c r="BG862" i="1" a="1"/>
  <c r="BG862" i="1" s="1"/>
  <c r="AJ862" i="1" a="1"/>
  <c r="AJ862" i="1" s="1"/>
  <c r="AF862" i="1" a="1"/>
  <c r="AF862" i="1" s="1"/>
  <c r="BG861" i="1" a="1"/>
  <c r="BG861" i="1" s="1"/>
  <c r="AJ861" i="1"/>
  <c r="AJ861" i="1" a="1"/>
  <c r="AF861" i="1"/>
  <c r="AF861" i="1" a="1"/>
  <c r="BG860" i="1" a="1"/>
  <c r="BG860" i="1" s="1"/>
  <c r="AJ860" i="1"/>
  <c r="AJ860" i="1" a="1"/>
  <c r="AF860" i="1"/>
  <c r="AF860" i="1" a="1"/>
  <c r="BG859" i="1" a="1"/>
  <c r="BG859" i="1" s="1"/>
  <c r="AJ859" i="1" a="1"/>
  <c r="AJ859" i="1" s="1"/>
  <c r="AF859" i="1" a="1"/>
  <c r="AF859" i="1" s="1"/>
  <c r="BG858" i="1" a="1"/>
  <c r="BG858" i="1" s="1"/>
  <c r="AJ858" i="1"/>
  <c r="AJ858" i="1" a="1"/>
  <c r="AF858" i="1"/>
  <c r="AF858" i="1" a="1"/>
  <c r="BG857" i="1" a="1"/>
  <c r="BG857" i="1" s="1"/>
  <c r="AJ857" i="1" a="1"/>
  <c r="AJ857" i="1" s="1"/>
  <c r="AF857" i="1" a="1"/>
  <c r="AF857" i="1" s="1"/>
  <c r="BG856" i="1" a="1"/>
  <c r="BG856" i="1" s="1"/>
  <c r="AJ856" i="1"/>
  <c r="AJ856" i="1" a="1"/>
  <c r="AF856" i="1" a="1"/>
  <c r="AF856" i="1" s="1"/>
  <c r="BG855" i="1" a="1"/>
  <c r="BG855" i="1" s="1"/>
  <c r="AJ855" i="1" a="1"/>
  <c r="AJ855" i="1" s="1"/>
  <c r="AF855" i="1" a="1"/>
  <c r="AF855" i="1" s="1"/>
  <c r="BG854" i="1" a="1"/>
  <c r="BG854" i="1" s="1"/>
  <c r="AJ854" i="1"/>
  <c r="AJ854" i="1" a="1"/>
  <c r="AF854" i="1" a="1"/>
  <c r="AF854" i="1" s="1"/>
  <c r="BG853" i="1"/>
  <c r="BG853" i="1" a="1"/>
  <c r="AJ853" i="1"/>
  <c r="AJ853" i="1" a="1"/>
  <c r="AF853" i="1" a="1"/>
  <c r="AF853" i="1" s="1"/>
  <c r="BG852" i="1" a="1"/>
  <c r="BG852" i="1" s="1"/>
  <c r="AJ852" i="1"/>
  <c r="AJ852" i="1" a="1"/>
  <c r="AF852" i="1" a="1"/>
  <c r="AF852" i="1" s="1"/>
  <c r="BG851" i="1" a="1"/>
  <c r="BG851" i="1" s="1"/>
  <c r="AJ851" i="1" a="1"/>
  <c r="AJ851" i="1" s="1"/>
  <c r="AF851" i="1" a="1"/>
  <c r="AF851" i="1" s="1"/>
  <c r="BG850" i="1"/>
  <c r="BG850" i="1" a="1"/>
  <c r="AJ850" i="1"/>
  <c r="AJ850" i="1" a="1"/>
  <c r="AF850" i="1"/>
  <c r="AF850" i="1" a="1"/>
  <c r="BG849" i="1" a="1"/>
  <c r="BG849" i="1" s="1"/>
  <c r="AJ849" i="1" a="1"/>
  <c r="AJ849" i="1" s="1"/>
  <c r="AF849" i="1" a="1"/>
  <c r="AF849" i="1" s="1"/>
  <c r="BG848" i="1" a="1"/>
  <c r="BG848" i="1" s="1"/>
  <c r="AJ848" i="1" a="1"/>
  <c r="AJ848" i="1" s="1"/>
  <c r="AF848" i="1" a="1"/>
  <c r="AF848" i="1" s="1"/>
  <c r="BG847" i="1"/>
  <c r="BG847" i="1" a="1"/>
  <c r="AJ847" i="1"/>
  <c r="AJ847" i="1" a="1"/>
  <c r="AF847" i="1" a="1"/>
  <c r="AF847" i="1" s="1"/>
  <c r="BG846" i="1"/>
  <c r="BG846" i="1" a="1"/>
  <c r="AJ846" i="1" a="1"/>
  <c r="AJ846" i="1" s="1"/>
  <c r="AF846" i="1" a="1"/>
  <c r="AF846" i="1" s="1"/>
  <c r="BG845" i="1" a="1"/>
  <c r="BG845" i="1" s="1"/>
  <c r="AJ845" i="1"/>
  <c r="AJ845" i="1" a="1"/>
  <c r="AF845" i="1" a="1"/>
  <c r="AF845" i="1" s="1"/>
  <c r="BG844" i="1" a="1"/>
  <c r="BG844" i="1" s="1"/>
  <c r="AJ844" i="1"/>
  <c r="AJ844" i="1" a="1"/>
  <c r="AF844" i="1"/>
  <c r="AF844" i="1" a="1"/>
  <c r="BG843" i="1" a="1"/>
  <c r="BG843" i="1" s="1"/>
  <c r="AJ843" i="1" a="1"/>
  <c r="AJ843" i="1" s="1"/>
  <c r="AF843" i="1" a="1"/>
  <c r="AF843" i="1" s="1"/>
  <c r="BG842" i="1"/>
  <c r="BG842" i="1" a="1"/>
  <c r="AJ842" i="1"/>
  <c r="AJ842" i="1" a="1"/>
  <c r="AF842" i="1" a="1"/>
  <c r="AF842" i="1" s="1"/>
  <c r="BG841" i="1"/>
  <c r="BG841" i="1" a="1"/>
  <c r="AJ841" i="1"/>
  <c r="AJ841" i="1" a="1"/>
  <c r="AF841" i="1"/>
  <c r="AF841" i="1" a="1"/>
  <c r="BG840" i="1" a="1"/>
  <c r="BG840" i="1" s="1"/>
  <c r="AJ840" i="1" a="1"/>
  <c r="AJ840" i="1" s="1"/>
  <c r="AF840" i="1"/>
  <c r="AF840" i="1" a="1"/>
  <c r="BG839" i="1"/>
  <c r="BG839" i="1" a="1"/>
  <c r="AJ839" i="1" a="1"/>
  <c r="AJ839" i="1" s="1"/>
  <c r="AF839" i="1" a="1"/>
  <c r="AF839" i="1" s="1"/>
  <c r="BG838" i="1" a="1"/>
  <c r="BG838" i="1" s="1"/>
  <c r="AJ838" i="1"/>
  <c r="AJ838" i="1" a="1"/>
  <c r="AF838" i="1" a="1"/>
  <c r="AF838" i="1" s="1"/>
  <c r="BG837" i="1"/>
  <c r="BG837" i="1" a="1"/>
  <c r="AJ837" i="1"/>
  <c r="AJ837" i="1" a="1"/>
  <c r="AF837" i="1" a="1"/>
  <c r="AF837" i="1" s="1"/>
  <c r="BG836" i="1"/>
  <c r="BG836" i="1" a="1"/>
  <c r="AJ836" i="1"/>
  <c r="AJ836" i="1" a="1"/>
  <c r="AF836" i="1" a="1"/>
  <c r="AF836" i="1" s="1"/>
  <c r="BG835" i="1"/>
  <c r="BG835" i="1" a="1"/>
  <c r="AJ835" i="1" a="1"/>
  <c r="AJ835" i="1" s="1"/>
  <c r="AF835" i="1" a="1"/>
  <c r="AF835" i="1" s="1"/>
  <c r="BG834" i="1"/>
  <c r="BG834" i="1" a="1"/>
  <c r="AJ834" i="1"/>
  <c r="AJ834" i="1" a="1"/>
  <c r="AF834" i="1"/>
  <c r="AF834" i="1" a="1"/>
  <c r="BG833" i="1"/>
  <c r="BG833" i="1" a="1"/>
  <c r="AJ833" i="1"/>
  <c r="AJ833" i="1" a="1"/>
  <c r="AF833" i="1" a="1"/>
  <c r="AF833" i="1" s="1"/>
  <c r="BG832" i="1" a="1"/>
  <c r="BG832" i="1" s="1"/>
  <c r="AJ832" i="1"/>
  <c r="AJ832" i="1" a="1"/>
  <c r="AF832" i="1" a="1"/>
  <c r="AF832" i="1" s="1"/>
  <c r="BG831" i="1" a="1"/>
  <c r="BG831" i="1" s="1"/>
  <c r="AJ831" i="1"/>
  <c r="AJ831" i="1" a="1"/>
  <c r="AF831" i="1"/>
  <c r="AF831" i="1" a="1"/>
  <c r="BG830" i="1" a="1"/>
  <c r="BG830" i="1" s="1"/>
  <c r="AJ830" i="1"/>
  <c r="AJ830" i="1" a="1"/>
  <c r="AF830" i="1" a="1"/>
  <c r="AF830" i="1" s="1"/>
  <c r="BG829" i="1" a="1"/>
  <c r="BG829" i="1" s="1"/>
  <c r="AJ829" i="1" a="1"/>
  <c r="AJ829" i="1" s="1"/>
  <c r="AF829" i="1" a="1"/>
  <c r="AF829" i="1" s="1"/>
  <c r="BG828" i="1"/>
  <c r="BG828" i="1" a="1"/>
  <c r="AJ828" i="1"/>
  <c r="AJ828" i="1" a="1"/>
  <c r="AF828" i="1"/>
  <c r="AF828" i="1" a="1"/>
  <c r="BG827" i="1" a="1"/>
  <c r="BG827" i="1" s="1"/>
  <c r="AJ827" i="1" a="1"/>
  <c r="AJ827" i="1" s="1"/>
  <c r="AF827" i="1"/>
  <c r="AF827" i="1" a="1"/>
  <c r="BG826" i="1"/>
  <c r="BG826" i="1" a="1"/>
  <c r="AJ826" i="1" a="1"/>
  <c r="AJ826" i="1" s="1"/>
  <c r="AF826" i="1" a="1"/>
  <c r="AF826" i="1" s="1"/>
  <c r="BG825" i="1"/>
  <c r="BG825" i="1" a="1"/>
  <c r="AJ825" i="1" a="1"/>
  <c r="AJ825" i="1" s="1"/>
  <c r="AF825" i="1"/>
  <c r="AF825" i="1" a="1"/>
  <c r="BG824" i="1" a="1"/>
  <c r="BG824" i="1" s="1"/>
  <c r="AJ824" i="1"/>
  <c r="AJ824" i="1" a="1"/>
  <c r="AF824" i="1" a="1"/>
  <c r="AF824" i="1" s="1"/>
  <c r="BG823" i="1" a="1"/>
  <c r="BG823" i="1" s="1"/>
  <c r="AJ823" i="1" a="1"/>
  <c r="AJ823" i="1" s="1"/>
  <c r="AF823" i="1" a="1"/>
  <c r="AF823" i="1" s="1"/>
  <c r="BG822" i="1"/>
  <c r="BG822" i="1" a="1"/>
  <c r="AJ822" i="1" a="1"/>
  <c r="AJ822" i="1" s="1"/>
  <c r="AF822" i="1" a="1"/>
  <c r="AF822" i="1" s="1"/>
  <c r="BG821" i="1" a="1"/>
  <c r="BG821" i="1" s="1"/>
  <c r="AJ821" i="1"/>
  <c r="AJ821" i="1" a="1"/>
  <c r="AF821" i="1"/>
  <c r="AF821" i="1" a="1"/>
  <c r="BG820" i="1" a="1"/>
  <c r="BG820" i="1" s="1"/>
  <c r="AJ820" i="1"/>
  <c r="AJ820" i="1" a="1"/>
  <c r="AF820" i="1" a="1"/>
  <c r="AF820" i="1" s="1"/>
  <c r="BG819" i="1"/>
  <c r="BG819" i="1" a="1"/>
  <c r="AJ819" i="1" a="1"/>
  <c r="AJ819" i="1" s="1"/>
  <c r="AF819" i="1"/>
  <c r="AF819" i="1" a="1"/>
  <c r="BG818" i="1" a="1"/>
  <c r="BG818" i="1" s="1"/>
  <c r="AJ818" i="1"/>
  <c r="AJ818" i="1" a="1"/>
  <c r="AF818" i="1" a="1"/>
  <c r="AF818" i="1" s="1"/>
  <c r="BG817" i="1"/>
  <c r="BG817" i="1" a="1"/>
  <c r="AJ817" i="1" a="1"/>
  <c r="AJ817" i="1" s="1"/>
  <c r="AF817" i="1" a="1"/>
  <c r="AF817" i="1" s="1"/>
  <c r="BG816" i="1" a="1"/>
  <c r="BG816" i="1" s="1"/>
  <c r="AJ816" i="1" a="1"/>
  <c r="AJ816" i="1" s="1"/>
  <c r="AF816" i="1"/>
  <c r="AF816" i="1" a="1"/>
  <c r="BG815" i="1" a="1"/>
  <c r="BG815" i="1" s="1"/>
  <c r="AJ815" i="1"/>
  <c r="AJ815" i="1" a="1"/>
  <c r="AF815" i="1" a="1"/>
  <c r="AF815" i="1" s="1"/>
  <c r="BG814" i="1"/>
  <c r="BG814" i="1" a="1"/>
  <c r="AJ814" i="1"/>
  <c r="AJ814" i="1" a="1"/>
  <c r="AF814" i="1" a="1"/>
  <c r="AF814" i="1" s="1"/>
  <c r="BG813" i="1"/>
  <c r="BG813" i="1" a="1"/>
  <c r="AJ813" i="1" a="1"/>
  <c r="AJ813" i="1" s="1"/>
  <c r="AF813" i="1" a="1"/>
  <c r="AF813" i="1" s="1"/>
  <c r="BG812" i="1" a="1"/>
  <c r="BG812" i="1" s="1"/>
  <c r="AJ812" i="1" a="1"/>
  <c r="AJ812" i="1" s="1"/>
  <c r="AF812" i="1"/>
  <c r="AF812" i="1" a="1"/>
  <c r="BG811" i="1"/>
  <c r="BG811" i="1" a="1"/>
  <c r="AJ811" i="1" a="1"/>
  <c r="AJ811" i="1" s="1"/>
  <c r="AF811" i="1"/>
  <c r="AF811" i="1" a="1"/>
  <c r="BG810" i="1" a="1"/>
  <c r="BG810" i="1" s="1"/>
  <c r="AJ810" i="1" a="1"/>
  <c r="AJ810" i="1" s="1"/>
  <c r="AF810" i="1" a="1"/>
  <c r="AF810" i="1" s="1"/>
  <c r="BG809" i="1"/>
  <c r="BG809" i="1" a="1"/>
  <c r="AJ809" i="1" a="1"/>
  <c r="AJ809" i="1" s="1"/>
  <c r="AF809" i="1"/>
  <c r="AF809" i="1" a="1"/>
  <c r="BG808" i="1" a="1"/>
  <c r="BG808" i="1" s="1"/>
  <c r="AJ808" i="1"/>
  <c r="AJ808" i="1" a="1"/>
  <c r="AF808" i="1"/>
  <c r="AF808" i="1" a="1"/>
  <c r="BG807" i="1"/>
  <c r="BG807" i="1" a="1"/>
  <c r="AJ807" i="1"/>
  <c r="AJ807" i="1" a="1"/>
  <c r="AF807" i="1" a="1"/>
  <c r="AF807" i="1" s="1"/>
  <c r="BG806" i="1" a="1"/>
  <c r="BG806" i="1" s="1"/>
  <c r="AJ806" i="1" a="1"/>
  <c r="AJ806" i="1" s="1"/>
  <c r="AF806" i="1" a="1"/>
  <c r="AF806" i="1" s="1"/>
  <c r="BG805" i="1" a="1"/>
  <c r="BG805" i="1" s="1"/>
  <c r="AJ805" i="1"/>
  <c r="AJ805" i="1" a="1"/>
  <c r="AF805" i="1"/>
  <c r="AF805" i="1" a="1"/>
  <c r="BG804" i="1"/>
  <c r="BG804" i="1" a="1"/>
  <c r="AJ804" i="1"/>
  <c r="AJ804" i="1" a="1"/>
  <c r="AF804" i="1"/>
  <c r="AF804" i="1" a="1"/>
  <c r="BG803" i="1"/>
  <c r="BG803" i="1" a="1"/>
  <c r="AJ803" i="1" a="1"/>
  <c r="AJ803" i="1" s="1"/>
  <c r="AF803" i="1"/>
  <c r="AF803" i="1" a="1"/>
  <c r="BG802" i="1" a="1"/>
  <c r="BG802" i="1" s="1"/>
  <c r="AJ802" i="1"/>
  <c r="AJ802" i="1" a="1"/>
  <c r="AF802" i="1" a="1"/>
  <c r="AF802" i="1" s="1"/>
  <c r="BG801" i="1"/>
  <c r="BG801" i="1" a="1"/>
  <c r="AJ801" i="1" a="1"/>
  <c r="AJ801" i="1" s="1"/>
  <c r="AF801" i="1" a="1"/>
  <c r="AF801" i="1" s="1"/>
  <c r="BG800" i="1" a="1"/>
  <c r="BG800" i="1" s="1"/>
  <c r="AJ800" i="1"/>
  <c r="AJ800" i="1" a="1"/>
  <c r="AF800" i="1"/>
  <c r="AF800" i="1" a="1"/>
  <c r="BG799" i="1" a="1"/>
  <c r="BG799" i="1" s="1"/>
  <c r="AJ799" i="1"/>
  <c r="AJ799" i="1" a="1"/>
  <c r="AF799" i="1"/>
  <c r="AF799" i="1" a="1"/>
  <c r="BG798" i="1"/>
  <c r="BG798" i="1" a="1"/>
  <c r="AJ798" i="1"/>
  <c r="AJ798" i="1" a="1"/>
  <c r="AF798" i="1" a="1"/>
  <c r="AF798" i="1" s="1"/>
  <c r="BG797" i="1"/>
  <c r="BG797" i="1" a="1"/>
  <c r="AJ797" i="1"/>
  <c r="AJ797" i="1" a="1"/>
  <c r="AF797" i="1"/>
  <c r="AF797" i="1" a="1"/>
  <c r="BG796" i="1" a="1"/>
  <c r="BG796" i="1" s="1"/>
  <c r="AJ796" i="1" a="1"/>
  <c r="AJ796" i="1" s="1"/>
  <c r="AF796" i="1" a="1"/>
  <c r="AF796" i="1" s="1"/>
  <c r="BG795" i="1"/>
  <c r="BG795" i="1" a="1"/>
  <c r="AJ795" i="1" a="1"/>
  <c r="AJ795" i="1" s="1"/>
  <c r="AF795" i="1"/>
  <c r="AF795" i="1" a="1"/>
  <c r="BG794" i="1"/>
  <c r="BG794" i="1" a="1"/>
  <c r="AJ794" i="1"/>
  <c r="AJ794" i="1" a="1"/>
  <c r="AF794" i="1" a="1"/>
  <c r="AF794" i="1" s="1"/>
  <c r="BG793" i="1" a="1"/>
  <c r="BG793" i="1" s="1"/>
  <c r="AJ793" i="1"/>
  <c r="AJ793" i="1" a="1"/>
  <c r="AF793" i="1" a="1"/>
  <c r="AF793" i="1" s="1"/>
  <c r="BG792" i="1" a="1"/>
  <c r="BG792" i="1" s="1"/>
  <c r="AJ792" i="1" a="1"/>
  <c r="AJ792" i="1" s="1"/>
  <c r="AF792" i="1"/>
  <c r="AF792" i="1" a="1"/>
  <c r="BG791" i="1"/>
  <c r="BG791" i="1" a="1"/>
  <c r="AJ791" i="1"/>
  <c r="AJ791" i="1" a="1"/>
  <c r="AF791" i="1" a="1"/>
  <c r="AF791" i="1" s="1"/>
  <c r="BG790" i="1" a="1"/>
  <c r="BG790" i="1" s="1"/>
  <c r="AJ790" i="1"/>
  <c r="AJ790" i="1" a="1"/>
  <c r="AF790" i="1" a="1"/>
  <c r="AF790" i="1" s="1"/>
  <c r="BG789" i="1"/>
  <c r="BG789" i="1" a="1"/>
  <c r="AJ789" i="1"/>
  <c r="AJ789" i="1" a="1"/>
  <c r="AF789" i="1" a="1"/>
  <c r="AF789" i="1" s="1"/>
  <c r="BG788" i="1" a="1"/>
  <c r="BG788" i="1" s="1"/>
  <c r="AJ788" i="1"/>
  <c r="AJ788" i="1" a="1"/>
  <c r="AF788" i="1"/>
  <c r="AF788" i="1" a="1"/>
  <c r="BG787" i="1"/>
  <c r="BG787" i="1" a="1"/>
  <c r="AJ787" i="1" a="1"/>
  <c r="AJ787" i="1" s="1"/>
  <c r="AF787" i="1" a="1"/>
  <c r="AF787" i="1" s="1"/>
  <c r="BG786" i="1" a="1"/>
  <c r="BG786" i="1" s="1"/>
  <c r="AJ786" i="1"/>
  <c r="AJ786" i="1" a="1"/>
  <c r="AF786" i="1" a="1"/>
  <c r="AF786" i="1" s="1"/>
  <c r="BG785" i="1"/>
  <c r="BG785" i="1" a="1"/>
  <c r="AJ785" i="1"/>
  <c r="AJ785" i="1" a="1"/>
  <c r="AF785" i="1"/>
  <c r="AF785" i="1" a="1"/>
  <c r="BG784" i="1" a="1"/>
  <c r="BG784" i="1" s="1"/>
  <c r="AJ784" i="1"/>
  <c r="AJ784" i="1" a="1"/>
  <c r="AF784" i="1"/>
  <c r="AF784" i="1" a="1"/>
  <c r="BG783" i="1" a="1"/>
  <c r="BG783" i="1" s="1"/>
  <c r="AJ783" i="1"/>
  <c r="AJ783" i="1" a="1"/>
  <c r="AF783" i="1" a="1"/>
  <c r="AF783" i="1" s="1"/>
  <c r="BG782" i="1"/>
  <c r="BG782" i="1" a="1"/>
  <c r="AJ782" i="1"/>
  <c r="AJ782" i="1" a="1"/>
  <c r="AF782" i="1" a="1"/>
  <c r="AF782" i="1" s="1"/>
  <c r="BG781" i="1"/>
  <c r="BG781" i="1" a="1"/>
  <c r="AJ781" i="1"/>
  <c r="AJ781" i="1" a="1"/>
  <c r="AF781" i="1" a="1"/>
  <c r="AF781" i="1" s="1"/>
  <c r="BG780" i="1" a="1"/>
  <c r="BG780" i="1" s="1"/>
  <c r="AJ780" i="1" a="1"/>
  <c r="AJ780" i="1" s="1"/>
  <c r="AF780" i="1"/>
  <c r="AF780" i="1" a="1"/>
  <c r="BG779" i="1" a="1"/>
  <c r="BG779" i="1" s="1"/>
  <c r="AJ779" i="1" a="1"/>
  <c r="AJ779" i="1" s="1"/>
  <c r="AF779" i="1"/>
  <c r="AF779" i="1" a="1"/>
  <c r="BG778" i="1" a="1"/>
  <c r="BG778" i="1" s="1"/>
  <c r="AJ778" i="1"/>
  <c r="AJ778" i="1" a="1"/>
  <c r="AF778" i="1"/>
  <c r="AF778" i="1" a="1"/>
  <c r="BG777" i="1"/>
  <c r="BG777" i="1" a="1"/>
  <c r="AJ777" i="1"/>
  <c r="AJ777" i="1" a="1"/>
  <c r="AF777" i="1" a="1"/>
  <c r="AF777" i="1" s="1"/>
  <c r="BG776" i="1" a="1"/>
  <c r="BG776" i="1" s="1"/>
  <c r="AJ776" i="1" a="1"/>
  <c r="AJ776" i="1" s="1"/>
  <c r="AF776" i="1" a="1"/>
  <c r="AF776" i="1" s="1"/>
  <c r="BG775" i="1"/>
  <c r="BG775" i="1" a="1"/>
  <c r="AJ775" i="1" a="1"/>
  <c r="AJ775" i="1" s="1"/>
  <c r="AF775" i="1"/>
  <c r="AF775" i="1" a="1"/>
  <c r="BG774" i="1"/>
  <c r="BG774" i="1" a="1"/>
  <c r="AJ774" i="1" a="1"/>
  <c r="AJ774" i="1" s="1"/>
  <c r="AF774" i="1"/>
  <c r="AF774" i="1" a="1"/>
  <c r="BG773" i="1" a="1"/>
  <c r="BG773" i="1" s="1"/>
  <c r="AJ773" i="1"/>
  <c r="AJ773" i="1" a="1"/>
  <c r="AF773" i="1"/>
  <c r="AF773" i="1" a="1"/>
  <c r="BG772" i="1" a="1"/>
  <c r="BG772" i="1" s="1"/>
  <c r="AJ772" i="1"/>
  <c r="AJ772" i="1" a="1"/>
  <c r="AF772" i="1" a="1"/>
  <c r="AF772" i="1" s="1"/>
  <c r="BG771" i="1"/>
  <c r="BG771" i="1" a="1"/>
  <c r="AJ771" i="1" a="1"/>
  <c r="AJ771" i="1" s="1"/>
  <c r="AF771" i="1"/>
  <c r="AF771" i="1" a="1"/>
  <c r="BG770" i="1"/>
  <c r="BG770" i="1" a="1"/>
  <c r="AJ770" i="1"/>
  <c r="AJ770" i="1" a="1"/>
  <c r="AF770" i="1" a="1"/>
  <c r="AF770" i="1" s="1"/>
  <c r="BG769" i="1"/>
  <c r="BG769" i="1" a="1"/>
  <c r="AJ769" i="1"/>
  <c r="AJ769" i="1" a="1"/>
  <c r="AF769" i="1" a="1"/>
  <c r="AF769" i="1" s="1"/>
  <c r="BG768" i="1" a="1"/>
  <c r="BG768" i="1" s="1"/>
  <c r="AJ768" i="1" a="1"/>
  <c r="AJ768" i="1" s="1"/>
  <c r="AF768" i="1"/>
  <c r="AF768" i="1" a="1"/>
  <c r="BG767" i="1" a="1"/>
  <c r="BG767" i="1" s="1"/>
  <c r="AJ767" i="1" a="1"/>
  <c r="AJ767" i="1" s="1"/>
  <c r="AF767" i="1" a="1"/>
  <c r="AF767" i="1" s="1"/>
  <c r="BG766" i="1" a="1"/>
  <c r="BG766" i="1" s="1"/>
  <c r="AJ766" i="1" a="1"/>
  <c r="AJ766" i="1" s="1"/>
  <c r="AF766" i="1"/>
  <c r="AF766" i="1" a="1"/>
  <c r="BG765" i="1" a="1"/>
  <c r="BG765" i="1" s="1"/>
  <c r="AJ765" i="1" a="1"/>
  <c r="AJ765" i="1" s="1"/>
  <c r="AF765" i="1"/>
  <c r="AF765" i="1" a="1"/>
  <c r="BG764" i="1" a="1"/>
  <c r="BG764" i="1" s="1"/>
  <c r="AJ764" i="1"/>
  <c r="AJ764" i="1" a="1"/>
  <c r="AF764" i="1"/>
  <c r="AF764" i="1" a="1"/>
  <c r="BG763" i="1"/>
  <c r="BG763" i="1" a="1"/>
  <c r="AJ763" i="1" a="1"/>
  <c r="AJ763" i="1" s="1"/>
  <c r="AF763" i="1"/>
  <c r="AF763" i="1" a="1"/>
  <c r="BG762" i="1"/>
  <c r="BG762" i="1" a="1"/>
  <c r="AJ762" i="1" a="1"/>
  <c r="AJ762" i="1" s="1"/>
  <c r="AF762" i="1" a="1"/>
  <c r="AF762" i="1" s="1"/>
  <c r="BG761" i="1"/>
  <c r="BG761" i="1" a="1"/>
  <c r="AJ761" i="1" a="1"/>
  <c r="AJ761" i="1" s="1"/>
  <c r="AF761" i="1"/>
  <c r="AF761" i="1" a="1"/>
  <c r="BG760" i="1" a="1"/>
  <c r="BG760" i="1" s="1"/>
  <c r="AJ760" i="1" a="1"/>
  <c r="AJ760" i="1" s="1"/>
  <c r="AF760" i="1"/>
  <c r="AF760" i="1" a="1"/>
  <c r="BG759" i="1" a="1"/>
  <c r="BG759" i="1" s="1"/>
  <c r="AJ759" i="1" a="1"/>
  <c r="AJ759" i="1" s="1"/>
  <c r="AF759" i="1"/>
  <c r="AF759" i="1" a="1"/>
  <c r="BG758" i="1" a="1"/>
  <c r="BG758" i="1" s="1"/>
  <c r="AJ758" i="1" a="1"/>
  <c r="AJ758" i="1" s="1"/>
  <c r="AF758" i="1"/>
  <c r="AF758" i="1" a="1"/>
  <c r="BG757" i="1"/>
  <c r="BG757" i="1" a="1"/>
  <c r="AJ757" i="1"/>
  <c r="AJ757" i="1" a="1"/>
  <c r="AF757" i="1" a="1"/>
  <c r="AF757" i="1" s="1"/>
  <c r="BG756" i="1" a="1"/>
  <c r="BG756" i="1" s="1"/>
  <c r="AJ756" i="1" a="1"/>
  <c r="AJ756" i="1" s="1"/>
  <c r="AF756" i="1"/>
  <c r="AF756" i="1" a="1"/>
  <c r="BG755" i="1"/>
  <c r="BG755" i="1" a="1"/>
  <c r="AJ755" i="1"/>
  <c r="AJ755" i="1" a="1"/>
  <c r="AF755" i="1" a="1"/>
  <c r="AF755" i="1" s="1"/>
  <c r="BG754" i="1"/>
  <c r="BG754" i="1" a="1"/>
  <c r="AJ754" i="1" a="1"/>
  <c r="AJ754" i="1" s="1"/>
  <c r="AF754" i="1" a="1"/>
  <c r="AF754" i="1" s="1"/>
  <c r="BG753" i="1" a="1"/>
  <c r="BG753" i="1" s="1"/>
  <c r="AJ753" i="1" a="1"/>
  <c r="AJ753" i="1" s="1"/>
  <c r="AF753" i="1"/>
  <c r="AF753" i="1" a="1"/>
  <c r="BG752" i="1"/>
  <c r="BG752" i="1" a="1"/>
  <c r="AJ752" i="1"/>
  <c r="AJ752" i="1" a="1"/>
  <c r="AF752" i="1" a="1"/>
  <c r="AF752" i="1" s="1"/>
  <c r="BG751" i="1" a="1"/>
  <c r="BG751" i="1" s="1"/>
  <c r="AJ751" i="1" a="1"/>
  <c r="AJ751" i="1" s="1"/>
  <c r="AF751" i="1" a="1"/>
  <c r="AF751" i="1" s="1"/>
  <c r="BG750" i="1"/>
  <c r="BG750" i="1" a="1"/>
  <c r="AJ750" i="1" a="1"/>
  <c r="AJ750" i="1" s="1"/>
  <c r="AF750" i="1" a="1"/>
  <c r="AF750" i="1" s="1"/>
  <c r="BG749" i="1" a="1"/>
  <c r="BG749" i="1" s="1"/>
  <c r="AJ749" i="1" a="1"/>
  <c r="AJ749" i="1" s="1"/>
  <c r="AF749" i="1" a="1"/>
  <c r="AF749" i="1" s="1"/>
  <c r="BG748" i="1" a="1"/>
  <c r="BG748" i="1" s="1"/>
  <c r="AJ748" i="1" a="1"/>
  <c r="AJ748" i="1" s="1"/>
  <c r="AF748" i="1" a="1"/>
  <c r="AF748" i="1" s="1"/>
  <c r="BG747" i="1" a="1"/>
  <c r="BG747" i="1" s="1"/>
  <c r="AJ747" i="1"/>
  <c r="AJ747" i="1" a="1"/>
  <c r="AF747" i="1" a="1"/>
  <c r="AF747" i="1" s="1"/>
  <c r="BG746" i="1"/>
  <c r="BG746" i="1" a="1"/>
  <c r="AJ746" i="1"/>
  <c r="AJ746" i="1" a="1"/>
  <c r="AF746" i="1" a="1"/>
  <c r="AF746" i="1" s="1"/>
  <c r="BG745" i="1" a="1"/>
  <c r="BG745" i="1" s="1"/>
  <c r="AJ745" i="1"/>
  <c r="AJ745" i="1" a="1"/>
  <c r="AF745" i="1" a="1"/>
  <c r="AF745" i="1" s="1"/>
  <c r="BG744" i="1" a="1"/>
  <c r="BG744" i="1" s="1"/>
  <c r="AJ744" i="1"/>
  <c r="AJ744" i="1" a="1"/>
  <c r="AF744" i="1"/>
  <c r="AF744" i="1" a="1"/>
  <c r="BG743" i="1" a="1"/>
  <c r="BG743" i="1" s="1"/>
  <c r="AJ743" i="1" a="1"/>
  <c r="AJ743" i="1" s="1"/>
  <c r="AF743" i="1"/>
  <c r="AF743" i="1" a="1"/>
  <c r="BG742" i="1" a="1"/>
  <c r="BG742" i="1" s="1"/>
  <c r="AJ742" i="1"/>
  <c r="AJ742" i="1" a="1"/>
  <c r="AF742" i="1" a="1"/>
  <c r="AF742" i="1" s="1"/>
  <c r="BG741" i="1" a="1"/>
  <c r="BG741" i="1" s="1"/>
  <c r="AJ741" i="1" a="1"/>
  <c r="AJ741" i="1" s="1"/>
  <c r="AF741" i="1"/>
  <c r="AF741" i="1" a="1"/>
  <c r="BG740" i="1" a="1"/>
  <c r="BG740" i="1" s="1"/>
  <c r="AJ740" i="1"/>
  <c r="AJ740" i="1" a="1"/>
  <c r="AF740" i="1"/>
  <c r="AF740" i="1" a="1"/>
  <c r="BG739" i="1"/>
  <c r="BG739" i="1" a="1"/>
  <c r="AJ739" i="1" a="1"/>
  <c r="AJ739" i="1" s="1"/>
  <c r="AF739" i="1" a="1"/>
  <c r="AF739" i="1" s="1"/>
  <c r="BG738" i="1"/>
  <c r="BG738" i="1" a="1"/>
  <c r="AJ738" i="1" a="1"/>
  <c r="AJ738" i="1" s="1"/>
  <c r="AF738" i="1" a="1"/>
  <c r="AF738" i="1" s="1"/>
  <c r="BG737" i="1"/>
  <c r="BG737" i="1" a="1"/>
  <c r="AJ737" i="1"/>
  <c r="AJ737" i="1" a="1"/>
  <c r="AF737" i="1" a="1"/>
  <c r="AF737" i="1" s="1"/>
  <c r="BG736" i="1"/>
  <c r="BG736" i="1" a="1"/>
  <c r="AJ736" i="1"/>
  <c r="AJ736" i="1" a="1"/>
  <c r="AF736" i="1" a="1"/>
  <c r="AF736" i="1" s="1"/>
  <c r="BG735" i="1" a="1"/>
  <c r="BG735" i="1" s="1"/>
  <c r="AJ735" i="1" a="1"/>
  <c r="AJ735" i="1" s="1"/>
  <c r="AF735" i="1" a="1"/>
  <c r="AF735" i="1" s="1"/>
  <c r="BG734" i="1" a="1"/>
  <c r="BG734" i="1" s="1"/>
  <c r="AJ734" i="1" a="1"/>
  <c r="AJ734" i="1" s="1"/>
  <c r="AF734" i="1" a="1"/>
  <c r="AF734" i="1" s="1"/>
  <c r="BG733" i="1"/>
  <c r="BG733" i="1" a="1"/>
  <c r="AJ733" i="1"/>
  <c r="AJ733" i="1" a="1"/>
  <c r="AF733" i="1"/>
  <c r="AF733" i="1" a="1"/>
  <c r="BG732" i="1" a="1"/>
  <c r="BG732" i="1" s="1"/>
  <c r="AJ732" i="1"/>
  <c r="AJ732" i="1" a="1"/>
  <c r="AF732" i="1" a="1"/>
  <c r="AF732" i="1" s="1"/>
  <c r="BG731" i="1" a="1"/>
  <c r="BG731" i="1" s="1"/>
  <c r="AJ731" i="1"/>
  <c r="AJ731" i="1" a="1"/>
  <c r="AF731" i="1" a="1"/>
  <c r="AF731" i="1" s="1"/>
  <c r="BG730" i="1" a="1"/>
  <c r="BG730" i="1" s="1"/>
  <c r="AJ730" i="1" a="1"/>
  <c r="AJ730" i="1" s="1"/>
  <c r="AF730" i="1" a="1"/>
  <c r="AF730" i="1" s="1"/>
  <c r="BG729" i="1"/>
  <c r="BG729" i="1" a="1"/>
  <c r="AJ729" i="1" a="1"/>
  <c r="AJ729" i="1" s="1"/>
  <c r="AF729" i="1" a="1"/>
  <c r="AF729" i="1" s="1"/>
  <c r="BG728" i="1"/>
  <c r="BG728" i="1" a="1"/>
  <c r="AJ728" i="1"/>
  <c r="AJ728" i="1" a="1"/>
  <c r="AF728" i="1" a="1"/>
  <c r="AF728" i="1" s="1"/>
  <c r="BG727" i="1" a="1"/>
  <c r="BG727" i="1" s="1"/>
  <c r="AJ727" i="1" a="1"/>
  <c r="AJ727" i="1" s="1"/>
  <c r="AF727" i="1"/>
  <c r="AF727" i="1" a="1"/>
  <c r="BG726" i="1"/>
  <c r="BG726" i="1" a="1"/>
  <c r="AJ726" i="1"/>
  <c r="AJ726" i="1" a="1"/>
  <c r="AF726" i="1"/>
  <c r="AF726" i="1" a="1"/>
  <c r="BG725" i="1" a="1"/>
  <c r="BG725" i="1" s="1"/>
  <c r="AJ725" i="1" a="1"/>
  <c r="AJ725" i="1" s="1"/>
  <c r="AF725" i="1"/>
  <c r="AF725" i="1" a="1"/>
  <c r="BG724" i="1" a="1"/>
  <c r="BG724" i="1" s="1"/>
  <c r="AJ724" i="1" a="1"/>
  <c r="AJ724" i="1" s="1"/>
  <c r="AF724" i="1"/>
  <c r="AF724" i="1" a="1"/>
  <c r="BG723" i="1" a="1"/>
  <c r="BG723" i="1" s="1"/>
  <c r="AJ723" i="1"/>
  <c r="AJ723" i="1" a="1"/>
  <c r="AF723" i="1" a="1"/>
  <c r="AF723" i="1" s="1"/>
  <c r="BG722" i="1"/>
  <c r="BG722" i="1" a="1"/>
  <c r="AJ722" i="1" a="1"/>
  <c r="AJ722" i="1" s="1"/>
  <c r="AF722" i="1" a="1"/>
  <c r="AF722" i="1" s="1"/>
  <c r="BG721" i="1" a="1"/>
  <c r="BG721" i="1" s="1"/>
  <c r="AJ721" i="1" a="1"/>
  <c r="AJ721" i="1" s="1"/>
  <c r="AF721" i="1"/>
  <c r="AF721" i="1" a="1"/>
  <c r="BG720" i="1"/>
  <c r="BG720" i="1" a="1"/>
  <c r="AJ720" i="1" a="1"/>
  <c r="AJ720" i="1" s="1"/>
  <c r="AF720" i="1"/>
  <c r="AF720" i="1" a="1"/>
  <c r="BG719" i="1"/>
  <c r="BG719" i="1" a="1"/>
  <c r="AJ719" i="1" a="1"/>
  <c r="AJ719" i="1" s="1"/>
  <c r="AF719" i="1"/>
  <c r="AF719" i="1" a="1"/>
  <c r="BG718" i="1"/>
  <c r="BG718" i="1" a="1"/>
  <c r="AJ718" i="1" a="1"/>
  <c r="AJ718" i="1" s="1"/>
  <c r="AF718" i="1" a="1"/>
  <c r="AF718" i="1" s="1"/>
  <c r="BG717" i="1"/>
  <c r="BG717" i="1" a="1"/>
  <c r="AJ717" i="1" a="1"/>
  <c r="AJ717" i="1" s="1"/>
  <c r="AF717" i="1"/>
  <c r="AF717" i="1" a="1"/>
  <c r="BG716" i="1" a="1"/>
  <c r="BG716" i="1" s="1"/>
  <c r="AJ716" i="1" a="1"/>
  <c r="AJ716" i="1" s="1"/>
  <c r="AF716" i="1"/>
  <c r="AF716" i="1" a="1"/>
  <c r="BG715" i="1" a="1"/>
  <c r="BG715" i="1" s="1"/>
  <c r="AJ715" i="1"/>
  <c r="AJ715" i="1" a="1"/>
  <c r="AF715" i="1" a="1"/>
  <c r="AF715" i="1" s="1"/>
  <c r="BG714" i="1"/>
  <c r="BG714" i="1" a="1"/>
  <c r="AJ714" i="1"/>
  <c r="AJ714" i="1" a="1"/>
  <c r="AF714" i="1" a="1"/>
  <c r="AF714" i="1" s="1"/>
  <c r="BG713" i="1"/>
  <c r="BG713" i="1" a="1"/>
  <c r="AJ713" i="1" a="1"/>
  <c r="AJ713" i="1" s="1"/>
  <c r="AF713" i="1" a="1"/>
  <c r="AF713" i="1" s="1"/>
  <c r="BG712" i="1"/>
  <c r="BG712" i="1" a="1"/>
  <c r="AJ712" i="1" a="1"/>
  <c r="AJ712" i="1" s="1"/>
  <c r="AF712" i="1"/>
  <c r="AF712" i="1" a="1"/>
  <c r="BG711" i="1"/>
  <c r="BG711" i="1" a="1"/>
  <c r="AJ711" i="1" a="1"/>
  <c r="AJ711" i="1" s="1"/>
  <c r="AF711" i="1"/>
  <c r="AF711" i="1" a="1"/>
  <c r="BG710" i="1"/>
  <c r="BG710" i="1" a="1"/>
  <c r="AJ710" i="1"/>
  <c r="AJ710" i="1" a="1"/>
  <c r="AF710" i="1" a="1"/>
  <c r="AF710" i="1" s="1"/>
  <c r="BG709" i="1"/>
  <c r="BG709" i="1" a="1"/>
  <c r="AJ709" i="1" a="1"/>
  <c r="AJ709" i="1" s="1"/>
  <c r="AF709" i="1"/>
  <c r="AF709" i="1" a="1"/>
  <c r="BG708" i="1" a="1"/>
  <c r="BG708" i="1" s="1"/>
  <c r="AJ708" i="1" a="1"/>
  <c r="AJ708" i="1" s="1"/>
  <c r="AF708" i="1"/>
  <c r="AF708" i="1" a="1"/>
  <c r="BG707" i="1" a="1"/>
  <c r="BG707" i="1" s="1"/>
  <c r="AJ707" i="1"/>
  <c r="AJ707" i="1" a="1"/>
  <c r="AF707" i="1" a="1"/>
  <c r="AF707" i="1" s="1"/>
  <c r="BG706" i="1" a="1"/>
  <c r="BG706" i="1" s="1"/>
  <c r="AJ706" i="1"/>
  <c r="AJ706" i="1" a="1"/>
  <c r="AF706" i="1" a="1"/>
  <c r="AF706" i="1" s="1"/>
  <c r="BG705" i="1"/>
  <c r="BG705" i="1" a="1"/>
  <c r="AJ705" i="1" a="1"/>
  <c r="AJ705" i="1" s="1"/>
  <c r="AF705" i="1" a="1"/>
  <c r="AF705" i="1" s="1"/>
  <c r="BG704" i="1" a="1"/>
  <c r="BG704" i="1" s="1"/>
  <c r="AJ704" i="1"/>
  <c r="AJ704" i="1" a="1"/>
  <c r="AF704" i="1"/>
  <c r="AF704" i="1" a="1"/>
  <c r="BG703" i="1" a="1"/>
  <c r="BG703" i="1" s="1"/>
  <c r="AJ703" i="1" a="1"/>
  <c r="AJ703" i="1" s="1"/>
  <c r="AF703" i="1"/>
  <c r="AF703" i="1" a="1"/>
  <c r="BG702" i="1" a="1"/>
  <c r="BG702" i="1" s="1"/>
  <c r="AJ702" i="1"/>
  <c r="AJ702" i="1" a="1"/>
  <c r="AF702" i="1"/>
  <c r="AF702" i="1" a="1"/>
  <c r="BG701" i="1"/>
  <c r="BG701" i="1" a="1"/>
  <c r="AJ701" i="1" a="1"/>
  <c r="AJ701" i="1" s="1"/>
  <c r="AF701" i="1" a="1"/>
  <c r="AF701" i="1" s="1"/>
  <c r="BG700" i="1" a="1"/>
  <c r="BG700" i="1" s="1"/>
  <c r="AJ700" i="1" a="1"/>
  <c r="AJ700" i="1" s="1"/>
  <c r="AF700" i="1" a="1"/>
  <c r="AF700" i="1" s="1"/>
  <c r="BG699" i="1" a="1"/>
  <c r="BG699" i="1" s="1"/>
  <c r="AJ699" i="1"/>
  <c r="AJ699" i="1" a="1"/>
  <c r="AF699" i="1"/>
  <c r="AF699" i="1" a="1"/>
  <c r="BG698" i="1" a="1"/>
  <c r="BG698" i="1" s="1"/>
  <c r="AJ698" i="1"/>
  <c r="AJ698" i="1" a="1"/>
  <c r="AF698" i="1" a="1"/>
  <c r="AF698" i="1" s="1"/>
  <c r="BG697" i="1"/>
  <c r="BG697" i="1" a="1"/>
  <c r="AJ697" i="1" a="1"/>
  <c r="AJ697" i="1" s="1"/>
  <c r="AF697" i="1"/>
  <c r="AF697" i="1" a="1"/>
  <c r="BG696" i="1" a="1"/>
  <c r="BG696" i="1" s="1"/>
  <c r="AJ696" i="1"/>
  <c r="AJ696" i="1" a="1"/>
  <c r="AF696" i="1" a="1"/>
  <c r="AF696" i="1" s="1"/>
  <c r="BG695" i="1"/>
  <c r="BG695" i="1" a="1"/>
  <c r="AJ695" i="1" a="1"/>
  <c r="AJ695" i="1" s="1"/>
  <c r="AF695" i="1" a="1"/>
  <c r="AF695" i="1" s="1"/>
  <c r="BG694" i="1"/>
  <c r="BG694" i="1" a="1"/>
  <c r="AJ694" i="1" a="1"/>
  <c r="AJ694" i="1" s="1"/>
  <c r="AF694" i="1" a="1"/>
  <c r="AF694" i="1" s="1"/>
  <c r="BG693" i="1" a="1"/>
  <c r="BG693" i="1" s="1"/>
  <c r="AJ693" i="1"/>
  <c r="AJ693" i="1" a="1"/>
  <c r="AF693" i="1"/>
  <c r="AF693" i="1" a="1"/>
  <c r="BG692" i="1" a="1"/>
  <c r="BG692" i="1" s="1"/>
  <c r="AJ692" i="1" a="1"/>
  <c r="AJ692" i="1" s="1"/>
  <c r="AF692" i="1"/>
  <c r="AF692" i="1" a="1"/>
  <c r="BG691" i="1" a="1"/>
  <c r="BG691" i="1" s="1"/>
  <c r="AJ691" i="1"/>
  <c r="AJ691" i="1" a="1"/>
  <c r="AF691" i="1" a="1"/>
  <c r="AF691" i="1" s="1"/>
  <c r="BG690" i="1"/>
  <c r="BG690" i="1" a="1"/>
  <c r="AJ690" i="1"/>
  <c r="AJ690" i="1" a="1"/>
  <c r="AF690" i="1" a="1"/>
  <c r="AF690" i="1" s="1"/>
  <c r="BG689" i="1"/>
  <c r="BG689" i="1" a="1"/>
  <c r="AJ689" i="1" a="1"/>
  <c r="AJ689" i="1" s="1"/>
  <c r="AF689" i="1"/>
  <c r="AF689" i="1" a="1"/>
  <c r="BG688" i="1" a="1"/>
  <c r="BG688" i="1" s="1"/>
  <c r="AJ688" i="1"/>
  <c r="AJ688" i="1" a="1"/>
  <c r="AF688" i="1"/>
  <c r="AF688" i="1" a="1"/>
  <c r="BG687" i="1"/>
  <c r="BG687" i="1" a="1"/>
  <c r="AJ687" i="1" a="1"/>
  <c r="AJ687" i="1" s="1"/>
  <c r="AF687" i="1" a="1"/>
  <c r="AF687" i="1" s="1"/>
  <c r="BG686" i="1" a="1"/>
  <c r="BG686" i="1" s="1"/>
  <c r="AJ686" i="1" a="1"/>
  <c r="AJ686" i="1" s="1"/>
  <c r="AF686" i="1"/>
  <c r="AF686" i="1" a="1"/>
  <c r="BG685" i="1" a="1"/>
  <c r="BG685" i="1" s="1"/>
  <c r="AJ685" i="1"/>
  <c r="AJ685" i="1" a="1"/>
  <c r="AF685" i="1"/>
  <c r="AF685" i="1" a="1"/>
  <c r="BG684" i="1" a="1"/>
  <c r="BG684" i="1" s="1"/>
  <c r="AJ684" i="1"/>
  <c r="AJ684" i="1" a="1"/>
  <c r="AF684" i="1"/>
  <c r="AF684" i="1" a="1"/>
  <c r="BG683" i="1" a="1"/>
  <c r="BG683" i="1" s="1"/>
  <c r="AJ683" i="1" a="1"/>
  <c r="AJ683" i="1" s="1"/>
  <c r="AF683" i="1"/>
  <c r="AF683" i="1" a="1"/>
  <c r="BG682" i="1" a="1"/>
  <c r="BG682" i="1" s="1"/>
  <c r="AJ682" i="1" a="1"/>
  <c r="AJ682" i="1" s="1"/>
  <c r="AF682" i="1" a="1"/>
  <c r="AF682" i="1" s="1"/>
  <c r="BG681" i="1"/>
  <c r="BG681" i="1" a="1"/>
  <c r="AJ681" i="1" a="1"/>
  <c r="AJ681" i="1" s="1"/>
  <c r="AF681" i="1" a="1"/>
  <c r="AF681" i="1" s="1"/>
  <c r="BG680" i="1" a="1"/>
  <c r="BG680" i="1" s="1"/>
  <c r="AJ680" i="1"/>
  <c r="AJ680" i="1" a="1"/>
  <c r="AF680" i="1"/>
  <c r="AF680" i="1" a="1"/>
  <c r="BG679" i="1" a="1"/>
  <c r="BG679" i="1" s="1"/>
  <c r="AJ679" i="1" a="1"/>
  <c r="AJ679" i="1" s="1"/>
  <c r="AF679" i="1" a="1"/>
  <c r="AF679" i="1" s="1"/>
  <c r="BG678" i="1"/>
  <c r="BG678" i="1" a="1"/>
  <c r="AJ678" i="1"/>
  <c r="AJ678" i="1" a="1"/>
  <c r="AF678" i="1"/>
  <c r="AF678" i="1" a="1"/>
  <c r="BG677" i="1" a="1"/>
  <c r="BG677" i="1" s="1"/>
  <c r="AJ677" i="1"/>
  <c r="AJ677" i="1" a="1"/>
  <c r="AF677" i="1" a="1"/>
  <c r="AF677" i="1" s="1"/>
  <c r="BG676" i="1" a="1"/>
  <c r="BG676" i="1" s="1"/>
  <c r="AJ676" i="1" a="1"/>
  <c r="AJ676" i="1" s="1"/>
  <c r="AF676" i="1" a="1"/>
  <c r="AF676" i="1" s="1"/>
  <c r="BG675" i="1"/>
  <c r="BG675" i="1" a="1"/>
  <c r="AJ675" i="1" a="1"/>
  <c r="AJ675" i="1" s="1"/>
  <c r="AF675" i="1"/>
  <c r="AF675" i="1" a="1"/>
  <c r="BG674" i="1"/>
  <c r="BG674" i="1" a="1"/>
  <c r="AJ674" i="1"/>
  <c r="AJ674" i="1" a="1"/>
  <c r="AF674" i="1" a="1"/>
  <c r="AF674" i="1" s="1"/>
  <c r="BG673" i="1" a="1"/>
  <c r="BG673" i="1" s="1"/>
  <c r="AJ673" i="1" a="1"/>
  <c r="AJ673" i="1" s="1"/>
  <c r="AF673" i="1" a="1"/>
  <c r="AF673" i="1" s="1"/>
  <c r="BG672" i="1"/>
  <c r="BG672" i="1" a="1"/>
  <c r="AJ672" i="1" a="1"/>
  <c r="AJ672" i="1" s="1"/>
  <c r="AF672" i="1" a="1"/>
  <c r="AF672" i="1" s="1"/>
  <c r="BG671" i="1" a="1"/>
  <c r="BG671" i="1" s="1"/>
  <c r="AJ671" i="1" a="1"/>
  <c r="AJ671" i="1" s="1"/>
  <c r="AF671" i="1" a="1"/>
  <c r="AF671" i="1" s="1"/>
  <c r="BG670" i="1"/>
  <c r="BG670" i="1" a="1"/>
  <c r="AJ670" i="1"/>
  <c r="AJ670" i="1" a="1"/>
  <c r="AF670" i="1" a="1"/>
  <c r="AF670" i="1" s="1"/>
  <c r="BG669" i="1" a="1"/>
  <c r="BG669" i="1" s="1"/>
  <c r="AJ669" i="1"/>
  <c r="AJ669" i="1" a="1"/>
  <c r="AF669" i="1" a="1"/>
  <c r="AF669" i="1" s="1"/>
  <c r="BG668" i="1" a="1"/>
  <c r="BG668" i="1" s="1"/>
  <c r="AJ668" i="1"/>
  <c r="AJ668" i="1" a="1"/>
  <c r="AF668" i="1"/>
  <c r="AF668" i="1" a="1"/>
  <c r="BG667" i="1"/>
  <c r="BG667" i="1" a="1"/>
  <c r="AJ667" i="1" a="1"/>
  <c r="AJ667" i="1" s="1"/>
  <c r="AF667" i="1"/>
  <c r="AF667" i="1" a="1"/>
  <c r="BG666" i="1" a="1"/>
  <c r="BG666" i="1" s="1"/>
  <c r="AJ666" i="1"/>
  <c r="AJ666" i="1" a="1"/>
  <c r="AF666" i="1" a="1"/>
  <c r="AF666" i="1" s="1"/>
  <c r="BG665" i="1" a="1"/>
  <c r="BG665" i="1" s="1"/>
  <c r="AJ665" i="1"/>
  <c r="AJ665" i="1" a="1"/>
  <c r="AF665" i="1" a="1"/>
  <c r="AF665" i="1" s="1"/>
  <c r="BG664" i="1" a="1"/>
  <c r="BG664" i="1" s="1"/>
  <c r="AJ664" i="1" a="1"/>
  <c r="AJ664" i="1" s="1"/>
  <c r="AF664" i="1" a="1"/>
  <c r="AF664" i="1" s="1"/>
  <c r="BG663" i="1" a="1"/>
  <c r="BG663" i="1" s="1"/>
  <c r="AJ663" i="1" a="1"/>
  <c r="AJ663" i="1" s="1"/>
  <c r="AF663" i="1" a="1"/>
  <c r="AF663" i="1" s="1"/>
  <c r="BG662" i="1"/>
  <c r="BG662" i="1" a="1"/>
  <c r="AJ662" i="1" a="1"/>
  <c r="AJ662" i="1" s="1"/>
  <c r="AF662" i="1" a="1"/>
  <c r="AF662" i="1" s="1"/>
  <c r="BG661" i="1" a="1"/>
  <c r="BG661" i="1" s="1"/>
  <c r="AJ661" i="1"/>
  <c r="AJ661" i="1" a="1"/>
  <c r="AF661" i="1"/>
  <c r="AF661" i="1" a="1"/>
  <c r="BG660" i="1" a="1"/>
  <c r="BG660" i="1" s="1"/>
  <c r="AJ660" i="1"/>
  <c r="AJ660" i="1" a="1"/>
  <c r="AF660" i="1" a="1"/>
  <c r="AF660" i="1" s="1"/>
  <c r="BG659" i="1"/>
  <c r="BG659" i="1" a="1"/>
  <c r="AJ659" i="1" a="1"/>
  <c r="AJ659" i="1" s="1"/>
  <c r="AF659" i="1"/>
  <c r="AF659" i="1" a="1"/>
  <c r="BG658" i="1" a="1"/>
  <c r="BG658" i="1" s="1"/>
  <c r="AJ658" i="1" a="1"/>
  <c r="AJ658" i="1" s="1"/>
  <c r="AF658" i="1" a="1"/>
  <c r="AF658" i="1" s="1"/>
  <c r="BG657" i="1" a="1"/>
  <c r="BG657" i="1" s="1"/>
  <c r="AJ657" i="1"/>
  <c r="AJ657" i="1" a="1"/>
  <c r="AF657" i="1"/>
  <c r="AF657" i="1" a="1"/>
  <c r="BG656" i="1" a="1"/>
  <c r="BG656" i="1" s="1"/>
  <c r="AJ656" i="1"/>
  <c r="AJ656" i="1" a="1"/>
  <c r="AF656" i="1"/>
  <c r="AF656" i="1" a="1"/>
  <c r="BG655" i="1"/>
  <c r="BG655" i="1" a="1"/>
  <c r="AJ655" i="1" a="1"/>
  <c r="AJ655" i="1" s="1"/>
  <c r="AF655" i="1"/>
  <c r="AF655" i="1" a="1"/>
  <c r="BG654" i="1"/>
  <c r="BG654" i="1" a="1"/>
  <c r="AJ654" i="1" a="1"/>
  <c r="AJ654" i="1" s="1"/>
  <c r="AF654" i="1"/>
  <c r="AF654" i="1" a="1"/>
  <c r="BG653" i="1" a="1"/>
  <c r="BG653" i="1" s="1"/>
  <c r="AJ653" i="1"/>
  <c r="AJ653" i="1" a="1"/>
  <c r="AF653" i="1" a="1"/>
  <c r="AF653" i="1" s="1"/>
  <c r="BG652" i="1" a="1"/>
  <c r="BG652" i="1" s="1"/>
  <c r="AJ652" i="1" a="1"/>
  <c r="AJ652" i="1" s="1"/>
  <c r="AF652" i="1" a="1"/>
  <c r="AF652" i="1" s="1"/>
  <c r="BG651" i="1"/>
  <c r="BG651" i="1" a="1"/>
  <c r="AJ651" i="1" a="1"/>
  <c r="AJ651" i="1" s="1"/>
  <c r="AF651" i="1"/>
  <c r="AF651" i="1" a="1"/>
  <c r="BG650" i="1" a="1"/>
  <c r="BG650" i="1" s="1"/>
  <c r="AJ650" i="1"/>
  <c r="AJ650" i="1" a="1"/>
  <c r="AF650" i="1" a="1"/>
  <c r="AF650" i="1" s="1"/>
  <c r="BG649" i="1" a="1"/>
  <c r="BG649" i="1" s="1"/>
  <c r="AJ649" i="1"/>
  <c r="AJ649" i="1" a="1"/>
  <c r="AF649" i="1" a="1"/>
  <c r="AF649" i="1" s="1"/>
  <c r="BG648" i="1"/>
  <c r="BG648" i="1" a="1"/>
  <c r="AJ648" i="1"/>
  <c r="AJ648" i="1" a="1"/>
  <c r="AF648" i="1" a="1"/>
  <c r="AF648" i="1" s="1"/>
  <c r="BG647" i="1"/>
  <c r="BG647" i="1" a="1"/>
  <c r="AJ647" i="1"/>
  <c r="AJ647" i="1" a="1"/>
  <c r="AF647" i="1" a="1"/>
  <c r="AF647" i="1" s="1"/>
  <c r="BG646" i="1" a="1"/>
  <c r="BG646" i="1" s="1"/>
  <c r="AJ646" i="1"/>
  <c r="AJ646" i="1" a="1"/>
  <c r="AF646" i="1" a="1"/>
  <c r="AF646" i="1" s="1"/>
  <c r="BG645" i="1" a="1"/>
  <c r="BG645" i="1" s="1"/>
  <c r="AJ645" i="1"/>
  <c r="AJ645" i="1" a="1"/>
  <c r="AF645" i="1"/>
  <c r="AF645" i="1" a="1"/>
  <c r="BG644" i="1"/>
  <c r="BG644" i="1" a="1"/>
  <c r="AJ644" i="1" a="1"/>
  <c r="AJ644" i="1" s="1"/>
  <c r="AF644" i="1"/>
  <c r="AF644" i="1" a="1"/>
  <c r="BG643" i="1" a="1"/>
  <c r="BG643" i="1" s="1"/>
  <c r="AJ643" i="1" a="1"/>
  <c r="AJ643" i="1" s="1"/>
  <c r="AF643" i="1"/>
  <c r="AF643" i="1" a="1"/>
  <c r="BG642" i="1" a="1"/>
  <c r="BG642" i="1" s="1"/>
  <c r="AJ642" i="1" a="1"/>
  <c r="AJ642" i="1" s="1"/>
  <c r="AF642" i="1"/>
  <c r="AF642" i="1" a="1"/>
  <c r="BG641" i="1" a="1"/>
  <c r="BG641" i="1" s="1"/>
  <c r="AJ641" i="1" a="1"/>
  <c r="AJ641" i="1" s="1"/>
  <c r="AF641" i="1"/>
  <c r="AF641" i="1" a="1"/>
  <c r="BG640" i="1"/>
  <c r="BG640" i="1" a="1"/>
  <c r="AJ640" i="1"/>
  <c r="AJ640" i="1" a="1"/>
  <c r="AF640" i="1" a="1"/>
  <c r="AF640" i="1" s="1"/>
  <c r="BG639" i="1"/>
  <c r="BG639" i="1" a="1"/>
  <c r="AJ639" i="1" a="1"/>
  <c r="AJ639" i="1" s="1"/>
  <c r="AF639" i="1" a="1"/>
  <c r="AF639" i="1" s="1"/>
  <c r="BG638" i="1"/>
  <c r="BG638" i="1" a="1"/>
  <c r="AJ638" i="1"/>
  <c r="AJ638" i="1" a="1"/>
  <c r="AF638" i="1"/>
  <c r="AF638" i="1" a="1"/>
  <c r="BG637" i="1" a="1"/>
  <c r="BG637" i="1" s="1"/>
  <c r="AJ637" i="1"/>
  <c r="AJ637" i="1" a="1"/>
  <c r="AF637" i="1" a="1"/>
  <c r="AF637" i="1" s="1"/>
  <c r="BG636" i="1"/>
  <c r="BG636" i="1" a="1"/>
  <c r="AJ636" i="1" a="1"/>
  <c r="AJ636" i="1" s="1"/>
  <c r="AF636" i="1" a="1"/>
  <c r="AF636" i="1" s="1"/>
  <c r="BG635" i="1" a="1"/>
  <c r="BG635" i="1" s="1"/>
  <c r="AJ635" i="1"/>
  <c r="AJ635" i="1" a="1"/>
  <c r="AF635" i="1"/>
  <c r="AF635" i="1" a="1"/>
  <c r="BG634" i="1"/>
  <c r="BG634" i="1" a="1"/>
  <c r="AJ634" i="1" a="1"/>
  <c r="AJ634" i="1" s="1"/>
  <c r="AF634" i="1"/>
  <c r="AF634" i="1" a="1"/>
  <c r="BG633" i="1" a="1"/>
  <c r="BG633" i="1" s="1"/>
  <c r="AJ633" i="1"/>
  <c r="AJ633" i="1" a="1"/>
  <c r="AF633" i="1"/>
  <c r="AF633" i="1" a="1"/>
  <c r="BG632" i="1"/>
  <c r="BG632" i="1" a="1"/>
  <c r="AJ632" i="1"/>
  <c r="AJ632" i="1" a="1"/>
  <c r="AF632" i="1" a="1"/>
  <c r="AF632" i="1" s="1"/>
  <c r="BG631" i="1"/>
  <c r="BG631" i="1" a="1"/>
  <c r="AJ631" i="1"/>
  <c r="AJ631" i="1" a="1"/>
  <c r="AF631" i="1" a="1"/>
  <c r="AF631" i="1" s="1"/>
  <c r="BG630" i="1" a="1"/>
  <c r="BG630" i="1" s="1"/>
  <c r="AJ630" i="1"/>
  <c r="AJ630" i="1" a="1"/>
  <c r="AF630" i="1" a="1"/>
  <c r="AF630" i="1" s="1"/>
  <c r="BG629" i="1" a="1"/>
  <c r="BG629" i="1" s="1"/>
  <c r="AJ629" i="1"/>
  <c r="AJ629" i="1" a="1"/>
  <c r="AF629" i="1"/>
  <c r="AF629" i="1" a="1"/>
  <c r="BG628" i="1" a="1"/>
  <c r="BG628" i="1" s="1"/>
  <c r="AJ628" i="1" a="1"/>
  <c r="AJ628" i="1" s="1"/>
  <c r="AF628" i="1"/>
  <c r="AF628" i="1" a="1"/>
  <c r="BG627" i="1"/>
  <c r="BG627" i="1" a="1"/>
  <c r="AJ627" i="1"/>
  <c r="AJ627" i="1" a="1"/>
  <c r="AF627" i="1" a="1"/>
  <c r="AF627" i="1" s="1"/>
  <c r="BG626" i="1" a="1"/>
  <c r="BG626" i="1" s="1"/>
  <c r="AJ626" i="1" a="1"/>
  <c r="AJ626" i="1" s="1"/>
  <c r="AF626" i="1"/>
  <c r="AF626" i="1" a="1"/>
  <c r="BG625" i="1" a="1"/>
  <c r="BG625" i="1" s="1"/>
  <c r="AJ625" i="1" a="1"/>
  <c r="AJ625" i="1" s="1"/>
  <c r="AF625" i="1"/>
  <c r="AF625" i="1" a="1"/>
  <c r="BG624" i="1"/>
  <c r="BG624" i="1" a="1"/>
  <c r="AJ624" i="1" a="1"/>
  <c r="AJ624" i="1" s="1"/>
  <c r="AF624" i="1"/>
  <c r="AF624" i="1" a="1"/>
  <c r="BG623" i="1"/>
  <c r="BG623" i="1" a="1"/>
  <c r="AJ623" i="1" a="1"/>
  <c r="AJ623" i="1" s="1"/>
  <c r="AF623" i="1" a="1"/>
  <c r="AF623" i="1" s="1"/>
  <c r="BG622" i="1"/>
  <c r="BG622" i="1" a="1"/>
  <c r="AJ622" i="1" a="1"/>
  <c r="AJ622" i="1" s="1"/>
  <c r="AF622" i="1"/>
  <c r="AF622" i="1" a="1"/>
  <c r="BG621" i="1"/>
  <c r="BG621" i="1" a="1"/>
  <c r="AJ621" i="1"/>
  <c r="AJ621" i="1" a="1"/>
  <c r="AF621" i="1" a="1"/>
  <c r="AF621" i="1" s="1"/>
  <c r="BG620" i="1" a="1"/>
  <c r="BG620" i="1" s="1"/>
  <c r="AJ620" i="1" a="1"/>
  <c r="AJ620" i="1" s="1"/>
  <c r="AF620" i="1" a="1"/>
  <c r="AF620" i="1" s="1"/>
  <c r="BG619" i="1"/>
  <c r="BG619" i="1" a="1"/>
  <c r="AJ619" i="1" a="1"/>
  <c r="AJ619" i="1" s="1"/>
  <c r="AF619" i="1"/>
  <c r="AF619" i="1" a="1"/>
  <c r="BG618" i="1" a="1"/>
  <c r="BG618" i="1" s="1"/>
  <c r="AJ618" i="1" a="1"/>
  <c r="AJ618" i="1" s="1"/>
  <c r="AF618" i="1"/>
  <c r="AF618" i="1" a="1"/>
  <c r="BG617" i="1" a="1"/>
  <c r="BG617" i="1" s="1"/>
  <c r="AJ617" i="1"/>
  <c r="AJ617" i="1" a="1"/>
  <c r="AF617" i="1" a="1"/>
  <c r="AF617" i="1" s="1"/>
  <c r="BG616" i="1"/>
  <c r="BG616" i="1" a="1"/>
  <c r="AJ616" i="1" a="1"/>
  <c r="AJ616" i="1" s="1"/>
  <c r="AF616" i="1"/>
  <c r="AF616" i="1" a="1"/>
  <c r="BG615" i="1" a="1"/>
  <c r="BG615" i="1" s="1"/>
  <c r="AJ615" i="1" a="1"/>
  <c r="AJ615" i="1" s="1"/>
  <c r="AF615" i="1" a="1"/>
  <c r="AF615" i="1" s="1"/>
  <c r="BG614" i="1" a="1"/>
  <c r="BG614" i="1" s="1"/>
  <c r="AJ614" i="1" a="1"/>
  <c r="AJ614" i="1" s="1"/>
  <c r="AF614" i="1" a="1"/>
  <c r="AF614" i="1" s="1"/>
  <c r="BG613" i="1" a="1"/>
  <c r="BG613" i="1" s="1"/>
  <c r="AJ613" i="1" a="1"/>
  <c r="AJ613" i="1" s="1"/>
  <c r="AF613" i="1" a="1"/>
  <c r="AF613" i="1" s="1"/>
  <c r="BG612" i="1"/>
  <c r="BG612" i="1" a="1"/>
  <c r="AJ612" i="1" a="1"/>
  <c r="AJ612" i="1" s="1"/>
  <c r="AF612" i="1" a="1"/>
  <c r="AF612" i="1" s="1"/>
  <c r="BG611" i="1"/>
  <c r="BG611" i="1" a="1"/>
  <c r="AJ611" i="1"/>
  <c r="AJ611" i="1" a="1"/>
  <c r="AF611" i="1"/>
  <c r="AF611" i="1" a="1"/>
  <c r="BG610" i="1" a="1"/>
  <c r="BG610" i="1" s="1"/>
  <c r="AJ610" i="1"/>
  <c r="AJ610" i="1" a="1"/>
  <c r="AF610" i="1"/>
  <c r="AF610" i="1" a="1"/>
  <c r="BG609" i="1" a="1"/>
  <c r="BG609" i="1" s="1"/>
  <c r="AJ609" i="1"/>
  <c r="AJ609" i="1" a="1"/>
  <c r="AF609" i="1" a="1"/>
  <c r="AF609" i="1" s="1"/>
  <c r="BG608" i="1" a="1"/>
  <c r="BG608" i="1" s="1"/>
  <c r="AJ608" i="1"/>
  <c r="AJ608" i="1" a="1"/>
  <c r="AF608" i="1" a="1"/>
  <c r="AF608" i="1" s="1"/>
  <c r="BG607" i="1" a="1"/>
  <c r="BG607" i="1" s="1"/>
  <c r="AJ607" i="1" a="1"/>
  <c r="AJ607" i="1" s="1"/>
  <c r="AF607" i="1" a="1"/>
  <c r="AF607" i="1" s="1"/>
  <c r="BG606" i="1"/>
  <c r="BG606" i="1" a="1"/>
  <c r="AJ606" i="1" a="1"/>
  <c r="AJ606" i="1" s="1"/>
  <c r="AF606" i="1"/>
  <c r="AF606" i="1" a="1"/>
  <c r="BG605" i="1"/>
  <c r="BG605" i="1" a="1"/>
  <c r="AJ605" i="1"/>
  <c r="AJ605" i="1" a="1"/>
  <c r="AF605" i="1" a="1"/>
  <c r="AF605" i="1" s="1"/>
  <c r="BG604" i="1"/>
  <c r="BG604" i="1" a="1"/>
  <c r="AJ604" i="1" a="1"/>
  <c r="AJ604" i="1" s="1"/>
  <c r="AF604" i="1"/>
  <c r="AF604" i="1" a="1"/>
  <c r="BG603" i="1"/>
  <c r="BG603" i="1" a="1"/>
  <c r="AJ603" i="1"/>
  <c r="AJ603" i="1" a="1"/>
  <c r="AF603" i="1" a="1"/>
  <c r="AF603" i="1" s="1"/>
  <c r="BG602" i="1"/>
  <c r="BG602" i="1" a="1"/>
  <c r="AJ602" i="1" a="1"/>
  <c r="AJ602" i="1" s="1"/>
  <c r="AF602" i="1" a="1"/>
  <c r="AF602" i="1" s="1"/>
  <c r="BG601" i="1" a="1"/>
  <c r="BG601" i="1" s="1"/>
  <c r="AJ601" i="1" a="1"/>
  <c r="AJ601" i="1" s="1"/>
  <c r="AF601" i="1"/>
  <c r="AF601" i="1" a="1"/>
  <c r="BG600" i="1" a="1"/>
  <c r="BG600" i="1" s="1"/>
  <c r="AJ600" i="1"/>
  <c r="AJ600" i="1" a="1"/>
  <c r="AF600" i="1" a="1"/>
  <c r="AF600" i="1" s="1"/>
  <c r="BG599" i="1"/>
  <c r="BG599" i="1" a="1"/>
  <c r="AJ599" i="1" a="1"/>
  <c r="AJ599" i="1" s="1"/>
  <c r="AF599" i="1" a="1"/>
  <c r="AF599" i="1" s="1"/>
  <c r="BG598" i="1" a="1"/>
  <c r="BG598" i="1" s="1"/>
  <c r="AJ598" i="1"/>
  <c r="AJ598" i="1" a="1"/>
  <c r="AF598" i="1"/>
  <c r="AF598" i="1" a="1"/>
  <c r="BG597" i="1" a="1"/>
  <c r="BG597" i="1" s="1"/>
  <c r="AJ597" i="1" a="1"/>
  <c r="AJ597" i="1" s="1"/>
  <c r="AF597" i="1"/>
  <c r="AF597" i="1" a="1"/>
  <c r="BG596" i="1"/>
  <c r="BG596" i="1" a="1"/>
  <c r="AJ596" i="1" a="1"/>
  <c r="AJ596" i="1" s="1"/>
  <c r="AF596" i="1"/>
  <c r="AF596" i="1" a="1"/>
  <c r="BG595" i="1"/>
  <c r="BG595" i="1" a="1"/>
  <c r="AJ595" i="1" a="1"/>
  <c r="AJ595" i="1" s="1"/>
  <c r="AF595" i="1" a="1"/>
  <c r="AF595" i="1" s="1"/>
  <c r="BG594" i="1"/>
  <c r="BG594" i="1" a="1"/>
  <c r="AJ594" i="1" a="1"/>
  <c r="AJ594" i="1" s="1"/>
  <c r="AF594" i="1"/>
  <c r="AF594" i="1" a="1"/>
  <c r="BG593" i="1" a="1"/>
  <c r="BG593" i="1" s="1"/>
  <c r="AJ593" i="1"/>
  <c r="AJ593" i="1" a="1"/>
  <c r="AF593" i="1" a="1"/>
  <c r="AF593" i="1" s="1"/>
  <c r="BG592" i="1"/>
  <c r="BG592" i="1" a="1"/>
  <c r="AJ592" i="1"/>
  <c r="AJ592" i="1" a="1"/>
  <c r="AF592" i="1"/>
  <c r="AF592" i="1" a="1"/>
  <c r="BG591" i="1" a="1"/>
  <c r="BG591" i="1" s="1"/>
  <c r="AJ591" i="1" a="1"/>
  <c r="AJ591" i="1" s="1"/>
  <c r="AF591" i="1" a="1"/>
  <c r="AF591" i="1" s="1"/>
  <c r="BG590" i="1"/>
  <c r="BG590" i="1" a="1"/>
  <c r="AJ590" i="1"/>
  <c r="AJ590" i="1" a="1"/>
  <c r="AF590" i="1"/>
  <c r="AF590" i="1" a="1"/>
  <c r="BG589" i="1"/>
  <c r="BG589" i="1" a="1"/>
  <c r="AJ589" i="1" a="1"/>
  <c r="AJ589" i="1" s="1"/>
  <c r="AF589" i="1"/>
  <c r="AF589" i="1" a="1"/>
  <c r="BG588" i="1"/>
  <c r="BG588" i="1" a="1"/>
  <c r="AJ588" i="1" a="1"/>
  <c r="AJ588" i="1" s="1"/>
  <c r="AF588" i="1" a="1"/>
  <c r="AF588" i="1" s="1"/>
  <c r="BG587" i="1"/>
  <c r="BG587" i="1" a="1"/>
  <c r="AJ587" i="1" a="1"/>
  <c r="AJ587" i="1" s="1"/>
  <c r="AF587" i="1"/>
  <c r="AF587" i="1" a="1"/>
  <c r="BG586" i="1"/>
  <c r="BG586" i="1" a="1"/>
  <c r="AJ586" i="1"/>
  <c r="AJ586" i="1" a="1"/>
  <c r="AF586" i="1" a="1"/>
  <c r="AF586" i="1" s="1"/>
  <c r="BG585" i="1" a="1"/>
  <c r="BG585" i="1" s="1"/>
  <c r="AJ585" i="1"/>
  <c r="AJ585" i="1" a="1"/>
  <c r="AF585" i="1" a="1"/>
  <c r="AF585" i="1" s="1"/>
  <c r="BG584" i="1"/>
  <c r="BG584" i="1" a="1"/>
  <c r="AJ584" i="1" a="1"/>
  <c r="AJ584" i="1" s="1"/>
  <c r="AF584" i="1"/>
  <c r="AF584" i="1" a="1"/>
  <c r="BG583" i="1" a="1"/>
  <c r="BG583" i="1" s="1"/>
  <c r="AJ583" i="1"/>
  <c r="AJ583" i="1" a="1"/>
  <c r="AF583" i="1" a="1"/>
  <c r="AF583" i="1" s="1"/>
  <c r="BG582" i="1"/>
  <c r="BG582" i="1" a="1"/>
  <c r="AJ582" i="1"/>
  <c r="AJ582" i="1" a="1"/>
  <c r="AF582" i="1" a="1"/>
  <c r="AF582" i="1" s="1"/>
  <c r="BG581" i="1" a="1"/>
  <c r="BG581" i="1" s="1"/>
  <c r="AJ581" i="1"/>
  <c r="AJ581" i="1" a="1"/>
  <c r="AF581" i="1"/>
  <c r="AF581" i="1" a="1"/>
  <c r="BG580" i="1"/>
  <c r="BG580" i="1" a="1"/>
  <c r="AJ580" i="1" a="1"/>
  <c r="AJ580" i="1" s="1"/>
  <c r="AF580" i="1" a="1"/>
  <c r="AF580" i="1" s="1"/>
  <c r="BG579" i="1"/>
  <c r="BG579" i="1" a="1"/>
  <c r="AJ579" i="1"/>
  <c r="AJ579" i="1" a="1"/>
  <c r="AF579" i="1"/>
  <c r="AF579" i="1" a="1"/>
  <c r="BG578" i="1"/>
  <c r="BG578" i="1" a="1"/>
  <c r="AJ578" i="1" a="1"/>
  <c r="AJ578" i="1" s="1"/>
  <c r="AF578" i="1" a="1"/>
  <c r="AF578" i="1" s="1"/>
  <c r="BG577" i="1" a="1"/>
  <c r="BG577" i="1" s="1"/>
  <c r="AJ577" i="1" a="1"/>
  <c r="AJ577" i="1" s="1"/>
  <c r="AF577" i="1" a="1"/>
  <c r="AF577" i="1" s="1"/>
  <c r="BG576" i="1" a="1"/>
  <c r="BG576" i="1" s="1"/>
  <c r="AJ576" i="1"/>
  <c r="AJ576" i="1" a="1"/>
  <c r="AF576" i="1" a="1"/>
  <c r="AF576" i="1" s="1"/>
  <c r="BG575" i="1" a="1"/>
  <c r="BG575" i="1" s="1"/>
  <c r="AJ575" i="1"/>
  <c r="AJ575" i="1" a="1"/>
  <c r="AF575" i="1" a="1"/>
  <c r="AF575" i="1" s="1"/>
  <c r="BG574" i="1"/>
  <c r="BG574" i="1" a="1"/>
  <c r="AJ574" i="1" a="1"/>
  <c r="AJ574" i="1" s="1"/>
  <c r="AF574" i="1" a="1"/>
  <c r="AF574" i="1" s="1"/>
  <c r="BG573" i="1" a="1"/>
  <c r="BG573" i="1" s="1"/>
  <c r="AJ573" i="1"/>
  <c r="AJ573" i="1" a="1"/>
  <c r="AF573" i="1"/>
  <c r="AF573" i="1" a="1"/>
  <c r="BG572" i="1"/>
  <c r="BG572" i="1" a="1"/>
  <c r="AJ572" i="1" a="1"/>
  <c r="AJ572" i="1" s="1"/>
  <c r="AF572" i="1" a="1"/>
  <c r="AF572" i="1" s="1"/>
  <c r="BG571" i="1" a="1"/>
  <c r="BG571" i="1" s="1"/>
  <c r="AJ571" i="1" a="1"/>
  <c r="AJ571" i="1" s="1"/>
  <c r="AF571" i="1"/>
  <c r="AF571" i="1" a="1"/>
  <c r="BG570" i="1" a="1"/>
  <c r="BG570" i="1" s="1"/>
  <c r="AJ570" i="1" a="1"/>
  <c r="AJ570" i="1" s="1"/>
  <c r="AF570" i="1"/>
  <c r="AF570" i="1" a="1"/>
  <c r="BG569" i="1" a="1"/>
  <c r="BG569" i="1" s="1"/>
  <c r="AJ569" i="1" a="1"/>
  <c r="AJ569" i="1" s="1"/>
  <c r="AF569" i="1"/>
  <c r="AF569" i="1" a="1"/>
  <c r="BG568" i="1" a="1"/>
  <c r="BG568" i="1" s="1"/>
  <c r="AJ568" i="1"/>
  <c r="AJ568" i="1" a="1"/>
  <c r="AF568" i="1" a="1"/>
  <c r="AF568" i="1" s="1"/>
  <c r="BG567" i="1"/>
  <c r="BG567" i="1" a="1"/>
  <c r="AJ567" i="1"/>
  <c r="AJ567" i="1" a="1"/>
  <c r="AF567" i="1" a="1"/>
  <c r="AF567" i="1" s="1"/>
  <c r="BG566" i="1"/>
  <c r="BG566" i="1" a="1"/>
  <c r="AJ566" i="1" a="1"/>
  <c r="AJ566" i="1" s="1"/>
  <c r="AF566" i="1" a="1"/>
  <c r="AF566" i="1" s="1"/>
  <c r="BG565" i="1" a="1"/>
  <c r="BG565" i="1" s="1"/>
  <c r="AJ565" i="1"/>
  <c r="AJ565" i="1" a="1"/>
  <c r="AF565" i="1" a="1"/>
  <c r="AF565" i="1" s="1"/>
  <c r="BG564" i="1" a="1"/>
  <c r="BG564" i="1" s="1"/>
  <c r="AJ564" i="1" a="1"/>
  <c r="AJ564" i="1" s="1"/>
  <c r="AF564" i="1" a="1"/>
  <c r="AF564" i="1" s="1"/>
  <c r="BG563" i="1" a="1"/>
  <c r="BG563" i="1" s="1"/>
  <c r="AJ563" i="1"/>
  <c r="AJ563" i="1" a="1"/>
  <c r="AF563" i="1" a="1"/>
  <c r="AF563" i="1" s="1"/>
  <c r="BG562" i="1"/>
  <c r="BG562" i="1" a="1"/>
  <c r="AJ562" i="1" a="1"/>
  <c r="AJ562" i="1" s="1"/>
  <c r="AF562" i="1"/>
  <c r="AF562" i="1" a="1"/>
  <c r="BG561" i="1" a="1"/>
  <c r="BG561" i="1" s="1"/>
  <c r="AJ561" i="1" a="1"/>
  <c r="AJ561" i="1" s="1"/>
  <c r="AF561" i="1"/>
  <c r="AF561" i="1" a="1"/>
  <c r="BG560" i="1" a="1"/>
  <c r="BG560" i="1" s="1"/>
  <c r="AJ560" i="1" a="1"/>
  <c r="AJ560" i="1" s="1"/>
  <c r="AF560" i="1" a="1"/>
  <c r="AF560" i="1" s="1"/>
  <c r="BG559" i="1"/>
  <c r="BG559" i="1" a="1"/>
  <c r="AJ559" i="1" a="1"/>
  <c r="AJ559" i="1" s="1"/>
  <c r="AF559" i="1" a="1"/>
  <c r="AF559" i="1" s="1"/>
  <c r="BG558" i="1" a="1"/>
  <c r="BG558" i="1" s="1"/>
  <c r="AJ558" i="1" a="1"/>
  <c r="AJ558" i="1" s="1"/>
  <c r="AF558" i="1" a="1"/>
  <c r="AF558" i="1" s="1"/>
  <c r="BG557" i="1"/>
  <c r="BG557" i="1" a="1"/>
  <c r="AJ557" i="1"/>
  <c r="AJ557" i="1" a="1"/>
  <c r="AF557" i="1" a="1"/>
  <c r="AF557" i="1" s="1"/>
  <c r="BG556" i="1"/>
  <c r="BG556" i="1" a="1"/>
  <c r="AJ556" i="1" a="1"/>
  <c r="AJ556" i="1" s="1"/>
  <c r="AF556" i="1" a="1"/>
  <c r="AF556" i="1" s="1"/>
  <c r="BG555" i="1"/>
  <c r="BG555" i="1" a="1"/>
  <c r="AJ555" i="1"/>
  <c r="AJ555" i="1" a="1"/>
  <c r="AF555" i="1"/>
  <c r="AF555" i="1" a="1"/>
  <c r="BG554" i="1" a="1"/>
  <c r="BG554" i="1" s="1"/>
  <c r="AJ554" i="1" a="1"/>
  <c r="AJ554" i="1" s="1"/>
  <c r="AF554" i="1" a="1"/>
  <c r="AF554" i="1" s="1"/>
  <c r="BG553" i="1" a="1"/>
  <c r="BG553" i="1" s="1"/>
  <c r="AJ553" i="1"/>
  <c r="AJ553" i="1" a="1"/>
  <c r="AF553" i="1"/>
  <c r="AF553" i="1" a="1"/>
  <c r="BG552" i="1" a="1"/>
  <c r="BG552" i="1" s="1"/>
  <c r="AJ552" i="1" a="1"/>
  <c r="AJ552" i="1" s="1"/>
  <c r="AF552" i="1"/>
  <c r="AF552" i="1" a="1"/>
  <c r="BG551" i="1"/>
  <c r="BG551" i="1" a="1"/>
  <c r="AJ551" i="1"/>
  <c r="AJ551" i="1" a="1"/>
  <c r="AF551" i="1" a="1"/>
  <c r="AF551" i="1" s="1"/>
  <c r="BG550" i="1"/>
  <c r="BG550" i="1" a="1"/>
  <c r="AJ550" i="1" a="1"/>
  <c r="AJ550" i="1" s="1"/>
  <c r="AF550" i="1" a="1"/>
  <c r="AF550" i="1" s="1"/>
  <c r="BG549" i="1"/>
  <c r="BG549" i="1" a="1"/>
  <c r="AJ549" i="1" a="1"/>
  <c r="AJ549" i="1" s="1"/>
  <c r="AF549" i="1" a="1"/>
  <c r="AF549" i="1" s="1"/>
  <c r="BG548" i="1" a="1"/>
  <c r="BG548" i="1" s="1"/>
  <c r="AJ548" i="1" a="1"/>
  <c r="AJ548" i="1" s="1"/>
  <c r="AF548" i="1"/>
  <c r="AF548" i="1" a="1"/>
  <c r="BG547" i="1"/>
  <c r="BG547" i="1" a="1"/>
  <c r="AJ547" i="1"/>
  <c r="AJ547" i="1" a="1"/>
  <c r="AF547" i="1" a="1"/>
  <c r="AF547" i="1" s="1"/>
  <c r="BG546" i="1" a="1"/>
  <c r="BG546" i="1" s="1"/>
  <c r="AJ546" i="1"/>
  <c r="AJ546" i="1" a="1"/>
  <c r="AF546" i="1"/>
  <c r="AF546" i="1" a="1"/>
  <c r="BG545" i="1" a="1"/>
  <c r="BG545" i="1" s="1"/>
  <c r="AJ545" i="1" a="1"/>
  <c r="AJ545" i="1" s="1"/>
  <c r="AF545" i="1"/>
  <c r="AF545" i="1" a="1"/>
  <c r="BG544" i="1" a="1"/>
  <c r="BG544" i="1" s="1"/>
  <c r="AJ544" i="1"/>
  <c r="AJ544" i="1" a="1"/>
  <c r="AF544" i="1"/>
  <c r="AF544" i="1" a="1"/>
  <c r="BG543" i="1" a="1"/>
  <c r="BG543" i="1" s="1"/>
  <c r="AJ543" i="1" a="1"/>
  <c r="AJ543" i="1" s="1"/>
  <c r="AF543" i="1" a="1"/>
  <c r="AF543" i="1" s="1"/>
  <c r="BG542" i="1" a="1"/>
  <c r="BG542" i="1" s="1"/>
  <c r="AJ542" i="1" a="1"/>
  <c r="AJ542" i="1" s="1"/>
  <c r="AF542" i="1"/>
  <c r="AF542" i="1" a="1"/>
  <c r="BG541" i="1"/>
  <c r="BG541" i="1" a="1"/>
  <c r="AJ541" i="1"/>
  <c r="AJ541" i="1" a="1"/>
  <c r="AF541" i="1" a="1"/>
  <c r="AF541" i="1" s="1"/>
  <c r="BG540" i="1"/>
  <c r="BG540" i="1" a="1"/>
  <c r="AJ540" i="1" a="1"/>
  <c r="AJ540" i="1" s="1"/>
  <c r="AF540" i="1"/>
  <c r="AF540" i="1" a="1"/>
  <c r="BG539" i="1"/>
  <c r="BG539" i="1" a="1"/>
  <c r="AJ539" i="1" a="1"/>
  <c r="AJ539" i="1" s="1"/>
  <c r="AF539" i="1" a="1"/>
  <c r="AF539" i="1" s="1"/>
  <c r="BG538" i="1"/>
  <c r="BG538" i="1" a="1"/>
  <c r="AJ538" i="1"/>
  <c r="AJ538" i="1" a="1"/>
  <c r="AF538" i="1"/>
  <c r="AF538" i="1" a="1"/>
  <c r="BG537" i="1" a="1"/>
  <c r="BG537" i="1" s="1"/>
  <c r="AJ537" i="1" a="1"/>
  <c r="AJ537" i="1" s="1"/>
  <c r="AF537" i="1"/>
  <c r="AF537" i="1" a="1"/>
  <c r="BG536" i="1"/>
  <c r="BG536" i="1" a="1"/>
  <c r="AJ536" i="1"/>
  <c r="AJ536" i="1" a="1"/>
  <c r="AF536" i="1" a="1"/>
  <c r="AF536" i="1" s="1"/>
  <c r="BG535" i="1"/>
  <c r="BG535" i="1" a="1"/>
  <c r="AJ535" i="1" a="1"/>
  <c r="AJ535" i="1" s="1"/>
  <c r="AF535" i="1" a="1"/>
  <c r="AF535" i="1" s="1"/>
  <c r="BG534" i="1" a="1"/>
  <c r="BG534" i="1" s="1"/>
  <c r="AJ534" i="1" a="1"/>
  <c r="AJ534" i="1" s="1"/>
  <c r="AF534" i="1"/>
  <c r="AF534" i="1" a="1"/>
  <c r="BG533" i="1"/>
  <c r="BG533" i="1" a="1"/>
  <c r="AJ533" i="1" a="1"/>
  <c r="AJ533" i="1" s="1"/>
  <c r="AF533" i="1"/>
  <c r="AF533" i="1" a="1"/>
  <c r="BG532" i="1"/>
  <c r="BG532" i="1" a="1"/>
  <c r="AJ532" i="1" a="1"/>
  <c r="AJ532" i="1" s="1"/>
  <c r="AF532" i="1"/>
  <c r="AF532" i="1" a="1"/>
  <c r="BG531" i="1"/>
  <c r="BG531" i="1" a="1"/>
  <c r="AJ531" i="1" a="1"/>
  <c r="AJ531" i="1" s="1"/>
  <c r="AF531" i="1"/>
  <c r="AF531" i="1" a="1"/>
  <c r="BG530" i="1"/>
  <c r="BG530" i="1" a="1"/>
  <c r="AJ530" i="1" a="1"/>
  <c r="AJ530" i="1" s="1"/>
  <c r="AF530" i="1"/>
  <c r="AF530" i="1" a="1"/>
  <c r="BG529" i="1" a="1"/>
  <c r="BG529" i="1" s="1"/>
  <c r="AJ529" i="1"/>
  <c r="AJ529" i="1" a="1"/>
  <c r="AF529" i="1" a="1"/>
  <c r="AF529" i="1" s="1"/>
  <c r="BG528" i="1"/>
  <c r="BG528" i="1" a="1"/>
  <c r="AJ528" i="1" a="1"/>
  <c r="AJ528" i="1" s="1"/>
  <c r="AF528" i="1"/>
  <c r="AF528" i="1" a="1"/>
  <c r="BG527" i="1" a="1"/>
  <c r="BG527" i="1" s="1"/>
  <c r="AJ527" i="1"/>
  <c r="AJ527" i="1" a="1"/>
  <c r="AF527" i="1" a="1"/>
  <c r="AF527" i="1" s="1"/>
  <c r="BG526" i="1" a="1"/>
  <c r="BG526" i="1" s="1"/>
  <c r="AJ526" i="1"/>
  <c r="AJ526" i="1" a="1"/>
  <c r="AF526" i="1"/>
  <c r="AF526" i="1" a="1"/>
  <c r="BG525" i="1"/>
  <c r="BG525" i="1" a="1"/>
  <c r="AJ525" i="1"/>
  <c r="AJ525" i="1" a="1"/>
  <c r="AF525" i="1"/>
  <c r="AF525" i="1" a="1"/>
  <c r="BG524" i="1"/>
  <c r="BG524" i="1" a="1"/>
  <c r="AJ524" i="1" a="1"/>
  <c r="AJ524" i="1" s="1"/>
  <c r="AF524" i="1"/>
  <c r="AF524" i="1" a="1"/>
  <c r="BG523" i="1" a="1"/>
  <c r="BG523" i="1" s="1"/>
  <c r="AJ523" i="1" a="1"/>
  <c r="AJ523" i="1" s="1"/>
  <c r="AF523" i="1"/>
  <c r="AF523" i="1" a="1"/>
  <c r="BG522" i="1"/>
  <c r="BG522" i="1" a="1"/>
  <c r="AJ522" i="1"/>
  <c r="AJ522" i="1" a="1"/>
  <c r="AF522" i="1" a="1"/>
  <c r="AF522" i="1" s="1"/>
  <c r="BG521" i="1" a="1"/>
  <c r="BG521" i="1" s="1"/>
  <c r="AJ521" i="1"/>
  <c r="AJ521" i="1" a="1"/>
  <c r="AF521" i="1" a="1"/>
  <c r="AF521" i="1" s="1"/>
  <c r="BG520" i="1"/>
  <c r="BG520" i="1" a="1"/>
  <c r="AJ520" i="1" a="1"/>
  <c r="AJ520" i="1" s="1"/>
  <c r="AF520" i="1" a="1"/>
  <c r="AF520" i="1" s="1"/>
  <c r="BG519" i="1" a="1"/>
  <c r="BG519" i="1" s="1"/>
  <c r="AJ519" i="1"/>
  <c r="AJ519" i="1" a="1"/>
  <c r="AF519" i="1" a="1"/>
  <c r="AF519" i="1" s="1"/>
  <c r="BG518" i="1"/>
  <c r="BG518" i="1" a="1"/>
  <c r="AJ518" i="1"/>
  <c r="AJ518" i="1" a="1"/>
  <c r="AF518" i="1"/>
  <c r="AF518" i="1" a="1"/>
  <c r="BG517" i="1" a="1"/>
  <c r="BG517" i="1" s="1"/>
  <c r="AJ517" i="1" a="1"/>
  <c r="AJ517" i="1" s="1"/>
  <c r="AF517" i="1"/>
  <c r="AF517" i="1" a="1"/>
  <c r="BG516" i="1" a="1"/>
  <c r="BG516" i="1" s="1"/>
  <c r="AJ516" i="1" a="1"/>
  <c r="AJ516" i="1" s="1"/>
  <c r="AF516" i="1"/>
  <c r="AF516" i="1" a="1"/>
  <c r="BG515" i="1"/>
  <c r="BG515" i="1" a="1"/>
  <c r="AJ515" i="1" a="1"/>
  <c r="AJ515" i="1" s="1"/>
  <c r="AF515" i="1"/>
  <c r="AF515" i="1" a="1"/>
  <c r="BG514" i="1"/>
  <c r="BG514" i="1" a="1"/>
  <c r="AJ514" i="1"/>
  <c r="AJ514" i="1" a="1"/>
  <c r="AF514" i="1" a="1"/>
  <c r="AF514" i="1" s="1"/>
  <c r="BG513" i="1" a="1"/>
  <c r="BG513" i="1" s="1"/>
  <c r="AJ513" i="1" a="1"/>
  <c r="AJ513" i="1" s="1"/>
  <c r="AF513" i="1"/>
  <c r="AF513" i="1" a="1"/>
  <c r="BG512" i="1"/>
  <c r="BG512" i="1" a="1"/>
  <c r="AJ512" i="1" a="1"/>
  <c r="AJ512" i="1" s="1"/>
  <c r="AF512" i="1" a="1"/>
  <c r="AF512" i="1" s="1"/>
  <c r="BG511" i="1"/>
  <c r="BG511" i="1" a="1"/>
  <c r="AJ511" i="1"/>
  <c r="AJ511" i="1" a="1"/>
  <c r="AF511" i="1" a="1"/>
  <c r="AF511" i="1" s="1"/>
  <c r="BG510" i="1"/>
  <c r="BG510" i="1" a="1"/>
  <c r="AJ510" i="1" a="1"/>
  <c r="AJ510" i="1" s="1"/>
  <c r="AF510" i="1"/>
  <c r="AF510" i="1" a="1"/>
  <c r="BG509" i="1" a="1"/>
  <c r="BG509" i="1" s="1"/>
  <c r="AJ509" i="1"/>
  <c r="AJ509" i="1" a="1"/>
  <c r="AF509" i="1" a="1"/>
  <c r="AF509" i="1" s="1"/>
  <c r="BG508" i="1" a="1"/>
  <c r="BG508" i="1" s="1"/>
  <c r="AJ508" i="1" a="1"/>
  <c r="AJ508" i="1" s="1"/>
  <c r="AF508" i="1"/>
  <c r="AF508" i="1" a="1"/>
  <c r="BG507" i="1" a="1"/>
  <c r="BG507" i="1" s="1"/>
  <c r="AJ507" i="1"/>
  <c r="AJ507" i="1" a="1"/>
  <c r="AF507" i="1"/>
  <c r="AF507" i="1" a="1"/>
  <c r="BG506" i="1"/>
  <c r="BG506" i="1" a="1"/>
  <c r="AJ506" i="1" a="1"/>
  <c r="AJ506" i="1" s="1"/>
  <c r="AF506" i="1"/>
  <c r="AF506" i="1" a="1"/>
  <c r="BG505" i="1" a="1"/>
  <c r="BG505" i="1" s="1"/>
  <c r="AJ505" i="1" a="1"/>
  <c r="AJ505" i="1" s="1"/>
  <c r="AF505" i="1"/>
  <c r="AF505" i="1" a="1"/>
  <c r="BG504" i="1"/>
  <c r="BG504" i="1" a="1"/>
  <c r="AJ504" i="1"/>
  <c r="AJ504" i="1" a="1"/>
  <c r="AF504" i="1" a="1"/>
  <c r="AF504" i="1" s="1"/>
  <c r="BG503" i="1"/>
  <c r="BG503" i="1" a="1"/>
  <c r="AJ503" i="1" a="1"/>
  <c r="AJ503" i="1" s="1"/>
  <c r="AF503" i="1" a="1"/>
  <c r="AF503" i="1" s="1"/>
  <c r="BG502" i="1"/>
  <c r="BG502" i="1" a="1"/>
  <c r="AJ502" i="1"/>
  <c r="AJ502" i="1" a="1"/>
  <c r="AF502" i="1" a="1"/>
  <c r="AF502" i="1" s="1"/>
  <c r="BG501" i="1"/>
  <c r="BG501" i="1" a="1"/>
  <c r="AJ501" i="1"/>
  <c r="AJ501" i="1" a="1"/>
  <c r="AF501" i="1" a="1"/>
  <c r="AF501" i="1" s="1"/>
  <c r="BG500" i="1" a="1"/>
  <c r="BG500" i="1" s="1"/>
  <c r="AJ500" i="1" a="1"/>
  <c r="AJ500" i="1" s="1"/>
  <c r="AF500" i="1" a="1"/>
  <c r="AF500" i="1" s="1"/>
  <c r="BG499" i="1" a="1"/>
  <c r="BG499" i="1" s="1"/>
  <c r="AJ499" i="1"/>
  <c r="AJ499" i="1" a="1"/>
  <c r="AF499" i="1"/>
  <c r="AF499" i="1" a="1"/>
  <c r="BG498" i="1"/>
  <c r="BG498" i="1" a="1"/>
  <c r="AJ498" i="1" a="1"/>
  <c r="AJ498" i="1" s="1"/>
  <c r="AF498" i="1"/>
  <c r="AF498" i="1" a="1"/>
  <c r="BG497" i="1" a="1"/>
  <c r="BG497" i="1" s="1"/>
  <c r="AJ497" i="1"/>
  <c r="AJ497" i="1" a="1"/>
  <c r="AF497" i="1" a="1"/>
  <c r="AF497" i="1" s="1"/>
  <c r="BG496" i="1" a="1"/>
  <c r="BG496" i="1" s="1"/>
  <c r="AJ496" i="1" a="1"/>
  <c r="AJ496" i="1" s="1"/>
  <c r="AF496" i="1"/>
  <c r="AF496" i="1" a="1"/>
  <c r="BG495" i="1"/>
  <c r="BG495" i="1" a="1"/>
  <c r="AJ495" i="1" a="1"/>
  <c r="AJ495" i="1" s="1"/>
  <c r="AF495" i="1" a="1"/>
  <c r="AF495" i="1" s="1"/>
  <c r="BG494" i="1" a="1"/>
  <c r="BG494" i="1" s="1"/>
  <c r="AJ494" i="1"/>
  <c r="AJ494" i="1" a="1"/>
  <c r="AF494" i="1" a="1"/>
  <c r="AF494" i="1" s="1"/>
  <c r="BG493" i="1"/>
  <c r="BG493" i="1" a="1"/>
  <c r="AJ493" i="1" a="1"/>
  <c r="AJ493" i="1" s="1"/>
  <c r="AF493" i="1" a="1"/>
  <c r="AF493" i="1" s="1"/>
  <c r="BG492" i="1" a="1"/>
  <c r="BG492" i="1" s="1"/>
  <c r="AJ492" i="1" a="1"/>
  <c r="AJ492" i="1" s="1"/>
  <c r="AF492" i="1" a="1"/>
  <c r="AF492" i="1" s="1"/>
  <c r="BG491" i="1"/>
  <c r="BG491" i="1" a="1"/>
  <c r="AJ491" i="1"/>
  <c r="AJ491" i="1" a="1"/>
  <c r="AF491" i="1"/>
  <c r="AF491" i="1" a="1"/>
  <c r="BG490" i="1" a="1"/>
  <c r="BG490" i="1" s="1"/>
  <c r="AJ490" i="1"/>
  <c r="AJ490" i="1" a="1"/>
  <c r="AF490" i="1"/>
  <c r="AF490" i="1" a="1"/>
  <c r="BG489" i="1" a="1"/>
  <c r="BG489" i="1" s="1"/>
  <c r="AJ489" i="1"/>
  <c r="AJ489" i="1" a="1"/>
  <c r="AF489" i="1"/>
  <c r="AF489" i="1" a="1"/>
  <c r="BG488" i="1"/>
  <c r="BG488" i="1" a="1"/>
  <c r="AJ488" i="1"/>
  <c r="AJ488" i="1" a="1"/>
  <c r="AF488" i="1"/>
  <c r="AF488" i="1" a="1"/>
  <c r="BG487" i="1"/>
  <c r="BG487" i="1" a="1"/>
  <c r="AJ487" i="1" a="1"/>
  <c r="AJ487" i="1" s="1"/>
  <c r="AF487" i="1" a="1"/>
  <c r="AF487" i="1" s="1"/>
  <c r="BG486" i="1"/>
  <c r="BG486" i="1" a="1"/>
  <c r="AJ486" i="1" a="1"/>
  <c r="AJ486" i="1" s="1"/>
  <c r="AF486" i="1"/>
  <c r="AF486" i="1" a="1"/>
  <c r="BG485" i="1"/>
  <c r="BG485" i="1" a="1"/>
  <c r="AJ485" i="1" a="1"/>
  <c r="AJ485" i="1" s="1"/>
  <c r="AF485" i="1" a="1"/>
  <c r="AF485" i="1" s="1"/>
  <c r="BG484" i="1" a="1"/>
  <c r="BG484" i="1" s="1"/>
  <c r="AJ484" i="1" a="1"/>
  <c r="AJ484" i="1" s="1"/>
  <c r="AF484" i="1" a="1"/>
  <c r="AF484" i="1" s="1"/>
  <c r="BG483" i="1"/>
  <c r="BG483" i="1" a="1"/>
  <c r="AJ483" i="1" a="1"/>
  <c r="AJ483" i="1" s="1"/>
  <c r="AF483" i="1"/>
  <c r="AF483" i="1" a="1"/>
  <c r="BG482" i="1" a="1"/>
  <c r="BG482" i="1" s="1"/>
  <c r="AJ482" i="1"/>
  <c r="AJ482" i="1" a="1"/>
  <c r="AF482" i="1"/>
  <c r="AF482" i="1" a="1"/>
  <c r="BG481" i="1" a="1"/>
  <c r="BG481" i="1" s="1"/>
  <c r="AJ481" i="1"/>
  <c r="AJ481" i="1" a="1"/>
  <c r="AF481" i="1"/>
  <c r="AF481" i="1" a="1"/>
  <c r="BG480" i="1" a="1"/>
  <c r="BG480" i="1" s="1"/>
  <c r="AJ480" i="1" a="1"/>
  <c r="AJ480" i="1" s="1"/>
  <c r="AF480" i="1" a="1"/>
  <c r="AF480" i="1" s="1"/>
  <c r="BG479" i="1" a="1"/>
  <c r="BG479" i="1" s="1"/>
  <c r="AJ479" i="1" a="1"/>
  <c r="AJ479" i="1" s="1"/>
  <c r="AF479" i="1" a="1"/>
  <c r="AF479" i="1" s="1"/>
  <c r="BG478" i="1"/>
  <c r="BG478" i="1" a="1"/>
  <c r="AJ478" i="1" a="1"/>
  <c r="AJ478" i="1" s="1"/>
  <c r="AF478" i="1"/>
  <c r="AF478" i="1" a="1"/>
  <c r="BG477" i="1"/>
  <c r="BG477" i="1" a="1"/>
  <c r="AJ477" i="1" a="1"/>
  <c r="AJ477" i="1" s="1"/>
  <c r="AF477" i="1"/>
  <c r="AF477" i="1" a="1"/>
  <c r="BG476" i="1"/>
  <c r="BG476" i="1" a="1"/>
  <c r="AJ476" i="1" a="1"/>
  <c r="AJ476" i="1" s="1"/>
  <c r="AF476" i="1" a="1"/>
  <c r="AF476" i="1" s="1"/>
  <c r="BG475" i="1"/>
  <c r="BG475" i="1" a="1"/>
  <c r="AJ475" i="1" a="1"/>
  <c r="AJ475" i="1" s="1"/>
  <c r="AF475" i="1" a="1"/>
  <c r="AF475" i="1" s="1"/>
  <c r="BG474" i="1" a="1"/>
  <c r="BG474" i="1" s="1"/>
  <c r="AJ474" i="1"/>
  <c r="AJ474" i="1" a="1"/>
  <c r="AF474" i="1" a="1"/>
  <c r="AF474" i="1" s="1"/>
  <c r="BG473" i="1" a="1"/>
  <c r="BG473" i="1" s="1"/>
  <c r="AJ473" i="1"/>
  <c r="AJ473" i="1" a="1"/>
  <c r="AF473" i="1" a="1"/>
  <c r="AF473" i="1" s="1"/>
  <c r="BG472" i="1" a="1"/>
  <c r="BG472" i="1" s="1"/>
  <c r="AJ472" i="1"/>
  <c r="AJ472" i="1" a="1"/>
  <c r="AF472" i="1" a="1"/>
  <c r="AF472" i="1" s="1"/>
  <c r="BG471" i="1"/>
  <c r="BG471" i="1" a="1"/>
  <c r="AJ471" i="1"/>
  <c r="AJ471" i="1" a="1"/>
  <c r="AF471" i="1" a="1"/>
  <c r="AF471" i="1" s="1"/>
  <c r="BG470" i="1" a="1"/>
  <c r="BG470" i="1" s="1"/>
  <c r="AJ470" i="1" a="1"/>
  <c r="AJ470" i="1" s="1"/>
  <c r="AF470" i="1"/>
  <c r="AF470" i="1" a="1"/>
  <c r="BG469" i="1"/>
  <c r="BG469" i="1" a="1"/>
  <c r="AJ469" i="1" a="1"/>
  <c r="AJ469" i="1" s="1"/>
  <c r="AF469" i="1" a="1"/>
  <c r="AF469" i="1" s="1"/>
  <c r="BG468" i="1" a="1"/>
  <c r="BG468" i="1" s="1"/>
  <c r="AJ468" i="1" a="1"/>
  <c r="AJ468" i="1" s="1"/>
  <c r="AF468" i="1"/>
  <c r="AF468" i="1" a="1"/>
  <c r="BG467" i="1"/>
  <c r="BG467" i="1" a="1"/>
  <c r="AJ467" i="1" a="1"/>
  <c r="AJ467" i="1" s="1"/>
  <c r="AF467" i="1" a="1"/>
  <c r="AF467" i="1" s="1"/>
  <c r="BG466" i="1"/>
  <c r="BG466" i="1" a="1"/>
  <c r="AJ466" i="1"/>
  <c r="AJ466" i="1" a="1"/>
  <c r="AF466" i="1" a="1"/>
  <c r="AF466" i="1" s="1"/>
  <c r="BG465" i="1" a="1"/>
  <c r="BG465" i="1" s="1"/>
  <c r="AJ465" i="1"/>
  <c r="AJ465" i="1" a="1"/>
  <c r="AF465" i="1" a="1"/>
  <c r="AF465" i="1" s="1"/>
  <c r="BG464" i="1" a="1"/>
  <c r="BG464" i="1" s="1"/>
  <c r="AJ464" i="1"/>
  <c r="AJ464" i="1" a="1"/>
  <c r="AF464" i="1" a="1"/>
  <c r="AF464" i="1" s="1"/>
  <c r="BG463" i="1" a="1"/>
  <c r="BG463" i="1" s="1"/>
  <c r="AJ463" i="1"/>
  <c r="AJ463" i="1" a="1"/>
  <c r="AF463" i="1" a="1"/>
  <c r="AF463" i="1" s="1"/>
  <c r="BG462" i="1" a="1"/>
  <c r="BG462" i="1" s="1"/>
  <c r="AJ462" i="1"/>
  <c r="AJ462" i="1" a="1"/>
  <c r="AF462" i="1"/>
  <c r="AF462" i="1" a="1"/>
  <c r="BG461" i="1"/>
  <c r="BG461" i="1" a="1"/>
  <c r="AJ461" i="1" a="1"/>
  <c r="AJ461" i="1" s="1"/>
  <c r="AF461" i="1"/>
  <c r="AF461" i="1" a="1"/>
  <c r="BG460" i="1"/>
  <c r="BG460" i="1" a="1"/>
  <c r="AJ460" i="1" a="1"/>
  <c r="AJ460" i="1" s="1"/>
  <c r="AF460" i="1"/>
  <c r="AF460" i="1" a="1"/>
  <c r="BG459" i="1" a="1"/>
  <c r="BG459" i="1" s="1"/>
  <c r="AJ459" i="1" a="1"/>
  <c r="AJ459" i="1" s="1"/>
  <c r="AF459" i="1"/>
  <c r="AF459" i="1" a="1"/>
  <c r="BG458" i="1"/>
  <c r="BG458" i="1" a="1"/>
  <c r="AJ458" i="1"/>
  <c r="AJ458" i="1" a="1"/>
  <c r="AF458" i="1" a="1"/>
  <c r="AF458" i="1" s="1"/>
  <c r="BG457" i="1" a="1"/>
  <c r="BG457" i="1" s="1"/>
  <c r="AJ457" i="1"/>
  <c r="AJ457" i="1" a="1"/>
  <c r="AF457" i="1" a="1"/>
  <c r="AF457" i="1" s="1"/>
  <c r="BG456" i="1"/>
  <c r="BG456" i="1" a="1"/>
  <c r="AJ456" i="1" a="1"/>
  <c r="AJ456" i="1" s="1"/>
  <c r="AF456" i="1"/>
  <c r="AF456" i="1" a="1"/>
  <c r="BG455" i="1" a="1"/>
  <c r="BG455" i="1" s="1"/>
  <c r="AJ455" i="1"/>
  <c r="AJ455" i="1" a="1"/>
  <c r="AF455" i="1" a="1"/>
  <c r="AF455" i="1" s="1"/>
  <c r="BG454" i="1" a="1"/>
  <c r="BG454" i="1" s="1"/>
  <c r="AJ454" i="1"/>
  <c r="AJ454" i="1" a="1"/>
  <c r="AF454" i="1" a="1"/>
  <c r="AF454" i="1" s="1"/>
  <c r="BG453" i="1" a="1"/>
  <c r="BG453" i="1" s="1"/>
  <c r="AJ453" i="1" a="1"/>
  <c r="AJ453" i="1" s="1"/>
  <c r="AF453" i="1"/>
  <c r="AF453" i="1" a="1"/>
  <c r="BG452" i="1"/>
  <c r="BG452" i="1" a="1"/>
  <c r="AJ452" i="1" a="1"/>
  <c r="AJ452" i="1" s="1"/>
  <c r="AF452" i="1"/>
  <c r="AF452" i="1" a="1"/>
  <c r="BG451" i="1" a="1"/>
  <c r="BG451" i="1" s="1"/>
  <c r="AJ451" i="1"/>
  <c r="AJ451" i="1" a="1"/>
  <c r="AF451" i="1"/>
  <c r="AF451" i="1" a="1"/>
  <c r="BG450" i="1"/>
  <c r="BG450" i="1" a="1"/>
  <c r="AJ450" i="1"/>
  <c r="AJ450" i="1" a="1"/>
  <c r="AF450" i="1" a="1"/>
  <c r="AF450" i="1" s="1"/>
  <c r="BG449" i="1" a="1"/>
  <c r="BG449" i="1" s="1"/>
  <c r="AJ449" i="1" a="1"/>
  <c r="AJ449" i="1" s="1"/>
  <c r="AF449" i="1"/>
  <c r="AF449" i="1" a="1"/>
  <c r="BG448" i="1"/>
  <c r="BG448" i="1" a="1"/>
  <c r="AJ448" i="1" a="1"/>
  <c r="AJ448" i="1" s="1"/>
  <c r="AF448" i="1" a="1"/>
  <c r="AF448" i="1" s="1"/>
  <c r="BG447" i="1" a="1"/>
  <c r="BG447" i="1" s="1"/>
  <c r="AJ447" i="1"/>
  <c r="AJ447" i="1" a="1"/>
  <c r="AF447" i="1" a="1"/>
  <c r="AF447" i="1" s="1"/>
  <c r="BG446" i="1"/>
  <c r="BG446" i="1" a="1"/>
  <c r="AJ446" i="1"/>
  <c r="AJ446" i="1" a="1"/>
  <c r="AF446" i="1"/>
  <c r="AF446" i="1" a="1"/>
  <c r="BG445" i="1"/>
  <c r="BG445" i="1" a="1"/>
  <c r="AJ445" i="1"/>
  <c r="AJ445" i="1" a="1"/>
  <c r="AF445" i="1" a="1"/>
  <c r="AF445" i="1" s="1"/>
  <c r="BG444" i="1"/>
  <c r="BG444" i="1" a="1"/>
  <c r="AJ444" i="1" a="1"/>
  <c r="AJ444" i="1" s="1"/>
  <c r="AF444" i="1"/>
  <c r="AF444" i="1" a="1"/>
  <c r="BG443" i="1" a="1"/>
  <c r="BG443" i="1" s="1"/>
  <c r="AJ443" i="1" a="1"/>
  <c r="AJ443" i="1" s="1"/>
  <c r="AF443" i="1" a="1"/>
  <c r="AF443" i="1" s="1"/>
  <c r="BG442" i="1"/>
  <c r="BG442" i="1" a="1"/>
  <c r="AJ442" i="1" a="1"/>
  <c r="AJ442" i="1" s="1"/>
  <c r="AF442" i="1"/>
  <c r="AF442" i="1" a="1"/>
  <c r="BG441" i="1" a="1"/>
  <c r="BG441" i="1" s="1"/>
  <c r="AJ441" i="1" a="1"/>
  <c r="AJ441" i="1" s="1"/>
  <c r="AF441" i="1"/>
  <c r="AF441" i="1" a="1"/>
  <c r="BG440" i="1" a="1"/>
  <c r="BG440" i="1" s="1"/>
  <c r="AJ440" i="1"/>
  <c r="AJ440" i="1" a="1"/>
  <c r="AF440" i="1"/>
  <c r="AF440" i="1" a="1"/>
  <c r="BG439" i="1"/>
  <c r="BG439" i="1" a="1"/>
  <c r="AJ439" i="1"/>
  <c r="AJ439" i="1" a="1"/>
  <c r="AF439" i="1" a="1"/>
  <c r="AF439" i="1" s="1"/>
  <c r="BG438" i="1"/>
  <c r="BG438" i="1" a="1"/>
  <c r="AJ438" i="1"/>
  <c r="AJ438" i="1" a="1"/>
  <c r="AF438" i="1" a="1"/>
  <c r="AF438" i="1" s="1"/>
  <c r="BG437" i="1" a="1"/>
  <c r="BG437" i="1" s="1"/>
  <c r="AJ437" i="1"/>
  <c r="AJ437" i="1" a="1"/>
  <c r="AF437" i="1"/>
  <c r="AF437" i="1" a="1"/>
  <c r="BG436" i="1" a="1"/>
  <c r="BG436" i="1" s="1"/>
  <c r="AJ436" i="1" a="1"/>
  <c r="AJ436" i="1" s="1"/>
  <c r="AF436" i="1"/>
  <c r="AF436" i="1" a="1"/>
  <c r="BG435" i="1" a="1"/>
  <c r="BG435" i="1" s="1"/>
  <c r="AJ435" i="1"/>
  <c r="AJ435" i="1" a="1"/>
  <c r="AF435" i="1"/>
  <c r="AF435" i="1" a="1"/>
  <c r="BG434" i="1" a="1"/>
  <c r="BG434" i="1" s="1"/>
  <c r="AJ434" i="1" a="1"/>
  <c r="AJ434" i="1" s="1"/>
  <c r="AF434" i="1"/>
  <c r="AF434" i="1" a="1"/>
  <c r="BG433" i="1" a="1"/>
  <c r="BG433" i="1" s="1"/>
  <c r="AJ433" i="1" a="1"/>
  <c r="AJ433" i="1" s="1"/>
  <c r="AF433" i="1"/>
  <c r="AF433" i="1" a="1"/>
  <c r="BG432" i="1"/>
  <c r="BG432" i="1" a="1"/>
  <c r="AJ432" i="1" a="1"/>
  <c r="AJ432" i="1" s="1"/>
  <c r="AF432" i="1"/>
  <c r="AF432" i="1" a="1"/>
  <c r="BG431" i="1" a="1"/>
  <c r="BG431" i="1" s="1"/>
  <c r="AJ431" i="1"/>
  <c r="AJ431" i="1" a="1"/>
  <c r="AF431" i="1" a="1"/>
  <c r="AF431" i="1" s="1"/>
  <c r="BG430" i="1"/>
  <c r="BG430" i="1" a="1"/>
  <c r="AJ430" i="1"/>
  <c r="AJ430" i="1" a="1"/>
  <c r="AF430" i="1" a="1"/>
  <c r="AF430" i="1" s="1"/>
  <c r="BG429" i="1"/>
  <c r="BG429" i="1" a="1"/>
  <c r="AJ429" i="1" a="1"/>
  <c r="AJ429" i="1" s="1"/>
  <c r="AF429" i="1"/>
  <c r="AF429" i="1" a="1"/>
  <c r="BG428" i="1" a="1"/>
  <c r="BG428" i="1" s="1"/>
  <c r="AJ428" i="1" a="1"/>
  <c r="AJ428" i="1" s="1"/>
  <c r="AF428" i="1" a="1"/>
  <c r="AF428" i="1" s="1"/>
  <c r="BG427" i="1"/>
  <c r="BG427" i="1" a="1"/>
  <c r="AJ427" i="1"/>
  <c r="AJ427" i="1" a="1"/>
  <c r="AF427" i="1" a="1"/>
  <c r="AF427" i="1" s="1"/>
  <c r="BG426" i="1" a="1"/>
  <c r="BG426" i="1" s="1"/>
  <c r="AJ426" i="1"/>
  <c r="AJ426" i="1" a="1"/>
  <c r="AF426" i="1"/>
  <c r="AF426" i="1" a="1"/>
  <c r="BG425" i="1" a="1"/>
  <c r="BG425" i="1" s="1"/>
  <c r="AJ425" i="1"/>
  <c r="AJ425" i="1" a="1"/>
  <c r="AF425" i="1" a="1"/>
  <c r="AF425" i="1" s="1"/>
  <c r="BG424" i="1" a="1"/>
  <c r="BG424" i="1" s="1"/>
  <c r="AJ424" i="1" a="1"/>
  <c r="AJ424" i="1" s="1"/>
  <c r="AF424" i="1"/>
  <c r="AF424" i="1" a="1"/>
  <c r="BG423" i="1" a="1"/>
  <c r="BG423" i="1" s="1"/>
  <c r="AJ423" i="1"/>
  <c r="AJ423" i="1" a="1"/>
  <c r="AF423" i="1" a="1"/>
  <c r="AF423" i="1" s="1"/>
  <c r="BG422" i="1"/>
  <c r="BG422" i="1" a="1"/>
  <c r="AJ422" i="1" a="1"/>
  <c r="AJ422" i="1" s="1"/>
  <c r="AF422" i="1" a="1"/>
  <c r="AF422" i="1" s="1"/>
  <c r="BG421" i="1"/>
  <c r="BG421" i="1" a="1"/>
  <c r="AJ421" i="1" a="1"/>
  <c r="AJ421" i="1" s="1"/>
  <c r="AF421" i="1" a="1"/>
  <c r="AF421" i="1" s="1"/>
  <c r="BG420" i="1" a="1"/>
  <c r="BG420" i="1" s="1"/>
  <c r="AJ420" i="1" a="1"/>
  <c r="AJ420" i="1" s="1"/>
  <c r="AF420" i="1"/>
  <c r="AF420" i="1" a="1"/>
  <c r="BG419" i="1"/>
  <c r="BG419" i="1" a="1"/>
  <c r="AJ419" i="1"/>
  <c r="AJ419" i="1" a="1"/>
  <c r="AF419" i="1" a="1"/>
  <c r="AF419" i="1" s="1"/>
  <c r="BG418" i="1" a="1"/>
  <c r="BG418" i="1" s="1"/>
  <c r="AJ418" i="1"/>
  <c r="AJ418" i="1" a="1"/>
  <c r="AF418" i="1" a="1"/>
  <c r="AF418" i="1" s="1"/>
  <c r="BG417" i="1" a="1"/>
  <c r="BG417" i="1" s="1"/>
  <c r="AJ417" i="1" a="1"/>
  <c r="AJ417" i="1" s="1"/>
  <c r="AF417" i="1"/>
  <c r="AF417" i="1" a="1"/>
  <c r="BG416" i="1" a="1"/>
  <c r="BG416" i="1" s="1"/>
  <c r="AJ416" i="1"/>
  <c r="AJ416" i="1" a="1"/>
  <c r="AF416" i="1"/>
  <c r="AF416" i="1" a="1"/>
  <c r="BG415" i="1" a="1"/>
  <c r="BG415" i="1" s="1"/>
  <c r="AJ415" i="1" a="1"/>
  <c r="AJ415" i="1" s="1"/>
  <c r="AF415" i="1" a="1"/>
  <c r="AF415" i="1" s="1"/>
  <c r="BG414" i="1" a="1"/>
  <c r="BG414" i="1" s="1"/>
  <c r="AJ414" i="1"/>
  <c r="AJ414" i="1" a="1"/>
  <c r="AF414" i="1"/>
  <c r="AF414" i="1" a="1"/>
  <c r="BG413" i="1" a="1"/>
  <c r="BG413" i="1" s="1"/>
  <c r="AJ413" i="1"/>
  <c r="AJ413" i="1" a="1"/>
  <c r="AF413" i="1" a="1"/>
  <c r="AF413" i="1" s="1"/>
  <c r="BG412" i="1"/>
  <c r="BG412" i="1" a="1"/>
  <c r="AJ412" i="1" a="1"/>
  <c r="AJ412" i="1" s="1"/>
  <c r="AF412" i="1" a="1"/>
  <c r="AF412" i="1" s="1"/>
  <c r="BG411" i="1" a="1"/>
  <c r="BG411" i="1" s="1"/>
  <c r="AJ411" i="1" a="1"/>
  <c r="AJ411" i="1" s="1"/>
  <c r="AF411" i="1" a="1"/>
  <c r="AF411" i="1" s="1"/>
  <c r="BG410" i="1"/>
  <c r="BG410" i="1" a="1"/>
  <c r="AJ410" i="1"/>
  <c r="AJ410" i="1" a="1"/>
  <c r="AF410" i="1"/>
  <c r="AF410" i="1" a="1"/>
  <c r="BG409" i="1" a="1"/>
  <c r="BG409" i="1" s="1"/>
  <c r="AJ409" i="1" a="1"/>
  <c r="AJ409" i="1" s="1"/>
  <c r="AF409" i="1" a="1"/>
  <c r="AF409" i="1" s="1"/>
  <c r="BG408" i="1"/>
  <c r="BG408" i="1" a="1"/>
  <c r="AJ408" i="1" a="1"/>
  <c r="AJ408" i="1" s="1"/>
  <c r="AF408" i="1" a="1"/>
  <c r="AF408" i="1" s="1"/>
  <c r="BG407" i="1" a="1"/>
  <c r="BG407" i="1" s="1"/>
  <c r="AJ407" i="1" a="1"/>
  <c r="AJ407" i="1" s="1"/>
  <c r="AF407" i="1" a="1"/>
  <c r="AF407" i="1" s="1"/>
  <c r="BG406" i="1" a="1"/>
  <c r="BG406" i="1" s="1"/>
  <c r="AJ406" i="1" a="1"/>
  <c r="AJ406" i="1" s="1"/>
  <c r="AF406" i="1" a="1"/>
  <c r="AF406" i="1" s="1"/>
  <c r="BG405" i="1" a="1"/>
  <c r="BG405" i="1" s="1"/>
  <c r="AJ405" i="1"/>
  <c r="AJ405" i="1" a="1"/>
  <c r="AF405" i="1"/>
  <c r="AF405" i="1" a="1"/>
  <c r="BG404" i="1"/>
  <c r="BG404" i="1" a="1"/>
  <c r="AJ404" i="1" a="1"/>
  <c r="AJ404" i="1" s="1"/>
  <c r="AF404" i="1"/>
  <c r="AF404" i="1" a="1"/>
  <c r="BG403" i="1" a="1"/>
  <c r="BG403" i="1" s="1"/>
  <c r="AJ403" i="1" a="1"/>
  <c r="AJ403" i="1" s="1"/>
  <c r="AF403" i="1" a="1"/>
  <c r="AF403" i="1" s="1"/>
  <c r="BG402" i="1" a="1"/>
  <c r="BG402" i="1" s="1"/>
  <c r="AJ402" i="1" a="1"/>
  <c r="AJ402" i="1" s="1"/>
  <c r="AF402" i="1"/>
  <c r="AF402" i="1" a="1"/>
  <c r="BG401" i="1" a="1"/>
  <c r="BG401" i="1" s="1"/>
  <c r="AJ401" i="1"/>
  <c r="AJ401" i="1" a="1"/>
  <c r="AF401" i="1" a="1"/>
  <c r="AF401" i="1" s="1"/>
  <c r="BG400" i="1" a="1"/>
  <c r="BG400" i="1" s="1"/>
  <c r="AJ400" i="1" a="1"/>
  <c r="AJ400" i="1" s="1"/>
  <c r="AF400" i="1"/>
  <c r="AF400" i="1" a="1"/>
  <c r="BG399" i="1" a="1"/>
  <c r="BG399" i="1" s="1"/>
  <c r="AJ399" i="1"/>
  <c r="AJ399" i="1" a="1"/>
  <c r="AF399" i="1" a="1"/>
  <c r="AF399" i="1" s="1"/>
  <c r="BG398" i="1" a="1"/>
  <c r="BG398" i="1" s="1"/>
  <c r="AJ398" i="1"/>
  <c r="AJ398" i="1" a="1"/>
  <c r="AF398" i="1"/>
  <c r="AF398" i="1" a="1"/>
  <c r="BG397" i="1" a="1"/>
  <c r="BG397" i="1" s="1"/>
  <c r="AJ397" i="1"/>
  <c r="AJ397" i="1" a="1"/>
  <c r="AF397" i="1" a="1"/>
  <c r="AF397" i="1" s="1"/>
  <c r="BG396" i="1" a="1"/>
  <c r="BG396" i="1" s="1"/>
  <c r="AJ396" i="1" a="1"/>
  <c r="AJ396" i="1" s="1"/>
  <c r="AF396" i="1"/>
  <c r="AF396" i="1" a="1"/>
  <c r="BG395" i="1"/>
  <c r="BG395" i="1" a="1"/>
  <c r="AJ395" i="1" a="1"/>
  <c r="AJ395" i="1" s="1"/>
  <c r="AF395" i="1"/>
  <c r="AF395" i="1" a="1"/>
  <c r="BG394" i="1" a="1"/>
  <c r="BG394" i="1" s="1"/>
  <c r="AJ394" i="1"/>
  <c r="AJ394" i="1" a="1"/>
  <c r="AF394" i="1" a="1"/>
  <c r="AF394" i="1" s="1"/>
  <c r="BG393" i="1" a="1"/>
  <c r="BG393" i="1" s="1"/>
  <c r="AJ393" i="1" a="1"/>
  <c r="AJ393" i="1" s="1"/>
  <c r="AF393" i="1" a="1"/>
  <c r="AF393" i="1" s="1"/>
  <c r="BG392" i="1"/>
  <c r="BG392" i="1" a="1"/>
  <c r="AJ392" i="1" a="1"/>
  <c r="AJ392" i="1" s="1"/>
  <c r="AF392" i="1"/>
  <c r="AF392" i="1" a="1"/>
  <c r="BG391" i="1" a="1"/>
  <c r="BG391" i="1" s="1"/>
  <c r="AJ391" i="1" a="1"/>
  <c r="AJ391" i="1" s="1"/>
  <c r="AF391" i="1" a="1"/>
  <c r="AF391" i="1" s="1"/>
  <c r="BG390" i="1"/>
  <c r="BG390" i="1" a="1"/>
  <c r="AJ390" i="1"/>
  <c r="AJ390" i="1" a="1"/>
  <c r="AF390" i="1" a="1"/>
  <c r="AF390" i="1" s="1"/>
  <c r="BG389" i="1" a="1"/>
  <c r="BG389" i="1" s="1"/>
  <c r="AJ389" i="1" a="1"/>
  <c r="AJ389" i="1" s="1"/>
  <c r="AF389" i="1"/>
  <c r="AF389" i="1" a="1"/>
  <c r="BG388" i="1" a="1"/>
  <c r="BG388" i="1" s="1"/>
  <c r="AJ388" i="1" a="1"/>
  <c r="AJ388" i="1" s="1"/>
  <c r="AF388" i="1" a="1"/>
  <c r="AF388" i="1" s="1"/>
  <c r="BG387" i="1" a="1"/>
  <c r="BG387" i="1" s="1"/>
  <c r="AJ387" i="1" a="1"/>
  <c r="AJ387" i="1" s="1"/>
  <c r="AF387" i="1"/>
  <c r="AF387" i="1" a="1"/>
  <c r="BG386" i="1"/>
  <c r="BG386" i="1" a="1"/>
  <c r="AJ386" i="1" a="1"/>
  <c r="AJ386" i="1" s="1"/>
  <c r="AF386" i="1"/>
  <c r="AF386" i="1" a="1"/>
  <c r="BG385" i="1" a="1"/>
  <c r="BG385" i="1" s="1"/>
  <c r="AJ385" i="1" a="1"/>
  <c r="AJ385" i="1" s="1"/>
  <c r="AF385" i="1"/>
  <c r="AF385" i="1" a="1"/>
  <c r="BG384" i="1"/>
  <c r="BG384" i="1" a="1"/>
  <c r="AJ384" i="1"/>
  <c r="AJ384" i="1" a="1"/>
  <c r="AF384" i="1" a="1"/>
  <c r="AF384" i="1" s="1"/>
  <c r="BG383" i="1"/>
  <c r="BG383" i="1" a="1"/>
  <c r="AJ383" i="1" a="1"/>
  <c r="AJ383" i="1" s="1"/>
  <c r="AF383" i="1" a="1"/>
  <c r="AF383" i="1" s="1"/>
  <c r="BG382" i="1"/>
  <c r="BG382" i="1" a="1"/>
  <c r="AJ382" i="1"/>
  <c r="AJ382" i="1" a="1"/>
  <c r="AF382" i="1" a="1"/>
  <c r="AF382" i="1" s="1"/>
  <c r="BG381" i="1" a="1"/>
  <c r="BG381" i="1" s="1"/>
  <c r="AJ381" i="1"/>
  <c r="AJ381" i="1" a="1"/>
  <c r="AF381" i="1"/>
  <c r="AF381" i="1" a="1"/>
  <c r="BG380" i="1" a="1"/>
  <c r="BG380" i="1" s="1"/>
  <c r="AJ380" i="1" a="1"/>
  <c r="AJ380" i="1" s="1"/>
  <c r="AF380" i="1" a="1"/>
  <c r="AF380" i="1" s="1"/>
  <c r="BG379" i="1"/>
  <c r="BG379" i="1" a="1"/>
  <c r="AJ379" i="1" a="1"/>
  <c r="AJ379" i="1" s="1"/>
  <c r="AF379" i="1"/>
  <c r="AF379" i="1" a="1"/>
  <c r="BG378" i="1" a="1"/>
  <c r="BG378" i="1" s="1"/>
  <c r="AJ378" i="1" a="1"/>
  <c r="AJ378" i="1" s="1"/>
  <c r="AF378" i="1"/>
  <c r="AF378" i="1" a="1"/>
  <c r="BG377" i="1" a="1"/>
  <c r="BG377" i="1" s="1"/>
  <c r="AJ377" i="1"/>
  <c r="AJ377" i="1" a="1"/>
  <c r="AF377" i="1" a="1"/>
  <c r="AF377" i="1" s="1"/>
  <c r="BG376" i="1"/>
  <c r="BG376" i="1" a="1"/>
  <c r="AJ376" i="1"/>
  <c r="AJ376" i="1" a="1"/>
  <c r="AF376" i="1" a="1"/>
  <c r="AF376" i="1" s="1"/>
  <c r="BG375" i="1"/>
  <c r="BG375" i="1" a="1"/>
  <c r="AJ375" i="1" a="1"/>
  <c r="AJ375" i="1" s="1"/>
  <c r="AF375" i="1" a="1"/>
  <c r="AF375" i="1" s="1"/>
  <c r="BG374" i="1"/>
  <c r="BG374" i="1" a="1"/>
  <c r="AJ374" i="1"/>
  <c r="AJ374" i="1" a="1"/>
  <c r="AF374" i="1" a="1"/>
  <c r="AF374" i="1" s="1"/>
  <c r="BG373" i="1"/>
  <c r="BG373" i="1" a="1"/>
  <c r="AJ373" i="1"/>
  <c r="AJ373" i="1" a="1"/>
  <c r="AF373" i="1" a="1"/>
  <c r="AF373" i="1" s="1"/>
  <c r="BG372" i="1" a="1"/>
  <c r="BG372" i="1" s="1"/>
  <c r="AJ372" i="1" a="1"/>
  <c r="AJ372" i="1" s="1"/>
  <c r="AF372" i="1" a="1"/>
  <c r="AF372" i="1" s="1"/>
  <c r="BG371" i="1"/>
  <c r="BG371" i="1" a="1"/>
  <c r="AJ371" i="1"/>
  <c r="AJ371" i="1" a="1"/>
  <c r="AF371" i="1" a="1"/>
  <c r="AF371" i="1" s="1"/>
  <c r="BG370" i="1"/>
  <c r="BG370" i="1" a="1"/>
  <c r="AJ370" i="1" a="1"/>
  <c r="AJ370" i="1" s="1"/>
  <c r="AF370" i="1"/>
  <c r="AF370" i="1" a="1"/>
  <c r="BG369" i="1" a="1"/>
  <c r="BG369" i="1" s="1"/>
  <c r="AJ369" i="1" a="1"/>
  <c r="AJ369" i="1" s="1"/>
  <c r="AF369" i="1"/>
  <c r="AF369" i="1" a="1"/>
  <c r="BG368" i="1"/>
  <c r="BG368" i="1" a="1"/>
  <c r="AJ368" i="1"/>
  <c r="AJ368" i="1" a="1"/>
  <c r="AF368" i="1" a="1"/>
  <c r="AF368" i="1" s="1"/>
  <c r="BG367" i="1"/>
  <c r="BG367" i="1" a="1"/>
  <c r="AJ367" i="1"/>
  <c r="AJ367" i="1" a="1"/>
  <c r="AF367" i="1" a="1"/>
  <c r="AF367" i="1" s="1"/>
  <c r="BG366" i="1"/>
  <c r="BG366" i="1" a="1"/>
  <c r="AJ366" i="1" a="1"/>
  <c r="AJ366" i="1" s="1"/>
  <c r="AF366" i="1" a="1"/>
  <c r="AF366" i="1" s="1"/>
  <c r="BG365" i="1" a="1"/>
  <c r="BG365" i="1" s="1"/>
  <c r="AJ365" i="1" a="1"/>
  <c r="AJ365" i="1" s="1"/>
  <c r="AF365" i="1"/>
  <c r="AF365" i="1" a="1"/>
  <c r="BG364" i="1" a="1"/>
  <c r="BG364" i="1" s="1"/>
  <c r="AJ364" i="1" a="1"/>
  <c r="AJ364" i="1" s="1"/>
  <c r="AF364" i="1" a="1"/>
  <c r="AF364" i="1" s="1"/>
  <c r="BG363" i="1"/>
  <c r="BG363" i="1" a="1"/>
  <c r="AJ363" i="1" a="1"/>
  <c r="AJ363" i="1" s="1"/>
  <c r="AF363" i="1" a="1"/>
  <c r="AF363" i="1" s="1"/>
  <c r="BG362" i="1"/>
  <c r="BG362" i="1" a="1"/>
  <c r="AJ362" i="1"/>
  <c r="AJ362" i="1" a="1"/>
  <c r="AF362" i="1"/>
  <c r="AF362" i="1" a="1"/>
  <c r="BG361" i="1" a="1"/>
  <c r="BG361" i="1" s="1"/>
  <c r="AJ361" i="1"/>
  <c r="AJ361" i="1" a="1"/>
  <c r="AF361" i="1"/>
  <c r="AF361" i="1" a="1"/>
  <c r="BG360" i="1"/>
  <c r="BG360" i="1" a="1"/>
  <c r="AJ360" i="1"/>
  <c r="AJ360" i="1" a="1"/>
  <c r="AF360" i="1" a="1"/>
  <c r="AF360" i="1" s="1"/>
  <c r="BG359" i="1"/>
  <c r="BG359" i="1" a="1"/>
  <c r="AJ359" i="1" a="1"/>
  <c r="AJ359" i="1" s="1"/>
  <c r="AF359" i="1" a="1"/>
  <c r="AF359" i="1" s="1"/>
  <c r="BG358" i="1"/>
  <c r="BG358" i="1" a="1"/>
  <c r="AJ358" i="1" a="1"/>
  <c r="AJ358" i="1" s="1"/>
  <c r="AF358" i="1"/>
  <c r="AF358" i="1" a="1"/>
  <c r="BG357" i="1"/>
  <c r="BG357" i="1" a="1"/>
  <c r="AJ357" i="1" a="1"/>
  <c r="AJ357" i="1" s="1"/>
  <c r="AF357" i="1" a="1"/>
  <c r="AF357" i="1" s="1"/>
  <c r="BG356" i="1"/>
  <c r="BG356" i="1" a="1"/>
  <c r="AJ356" i="1" a="1"/>
  <c r="AJ356" i="1" s="1"/>
  <c r="AF356" i="1" a="1"/>
  <c r="AF356" i="1" s="1"/>
  <c r="BG355" i="1"/>
  <c r="BG355" i="1" a="1"/>
  <c r="AJ355" i="1" a="1"/>
  <c r="AJ355" i="1" s="1"/>
  <c r="AF355" i="1" a="1"/>
  <c r="AF355" i="1" s="1"/>
  <c r="BG354" i="1"/>
  <c r="BG354" i="1" a="1"/>
  <c r="AJ354" i="1"/>
  <c r="AJ354" i="1" a="1"/>
  <c r="AF354" i="1" a="1"/>
  <c r="AF354" i="1" s="1"/>
  <c r="BG353" i="1" a="1"/>
  <c r="BG353" i="1" s="1"/>
  <c r="AJ353" i="1"/>
  <c r="AJ353" i="1" a="1"/>
  <c r="AF353" i="1" a="1"/>
  <c r="AF353" i="1" s="1"/>
  <c r="BG352" i="1" a="1"/>
  <c r="BG352" i="1" s="1"/>
  <c r="AJ352" i="1" a="1"/>
  <c r="AJ352" i="1" s="1"/>
  <c r="AF352" i="1" a="1"/>
  <c r="AF352" i="1" s="1"/>
  <c r="BG351" i="1"/>
  <c r="BG351" i="1" a="1"/>
  <c r="AJ351" i="1"/>
  <c r="AJ351" i="1" a="1"/>
  <c r="AF351" i="1" a="1"/>
  <c r="AF351" i="1" s="1"/>
  <c r="BG350" i="1"/>
  <c r="BG350" i="1" a="1"/>
  <c r="AJ350" i="1" a="1"/>
  <c r="AJ350" i="1" s="1"/>
  <c r="AF350" i="1"/>
  <c r="AF350" i="1" a="1"/>
  <c r="BG349" i="1"/>
  <c r="BG349" i="1" a="1"/>
  <c r="AJ349" i="1" a="1"/>
  <c r="AJ349" i="1" s="1"/>
  <c r="AF349" i="1" a="1"/>
  <c r="AF349" i="1" s="1"/>
  <c r="BG348" i="1" a="1"/>
  <c r="BG348" i="1" s="1"/>
  <c r="AJ348" i="1" a="1"/>
  <c r="AJ348" i="1" s="1"/>
  <c r="AF348" i="1"/>
  <c r="AF348" i="1" a="1"/>
  <c r="BG347" i="1"/>
  <c r="BG347" i="1" a="1"/>
  <c r="AJ347" i="1"/>
  <c r="AJ347" i="1" a="1"/>
  <c r="AF347" i="1" a="1"/>
  <c r="AF347" i="1" s="1"/>
  <c r="BG346" i="1"/>
  <c r="BG346" i="1" a="1"/>
  <c r="AJ346" i="1" a="1"/>
  <c r="AJ346" i="1" s="1"/>
  <c r="AF346" i="1"/>
  <c r="AF346" i="1" a="1"/>
  <c r="BG345" i="1" a="1"/>
  <c r="BG345" i="1" s="1"/>
  <c r="AJ345" i="1" a="1"/>
  <c r="AJ345" i="1" s="1"/>
  <c r="AF345" i="1"/>
  <c r="AF345" i="1" a="1"/>
  <c r="BG344" i="1" a="1"/>
  <c r="BG344" i="1" s="1"/>
  <c r="AJ344" i="1"/>
  <c r="AJ344" i="1" a="1"/>
  <c r="AF344" i="1" a="1"/>
  <c r="AF344" i="1" s="1"/>
  <c r="BG343" i="1"/>
  <c r="BG343" i="1" a="1"/>
  <c r="AJ343" i="1" a="1"/>
  <c r="AJ343" i="1" s="1"/>
  <c r="AF343" i="1" a="1"/>
  <c r="AF343" i="1" s="1"/>
  <c r="BG342" i="1"/>
  <c r="BG342" i="1" a="1"/>
  <c r="AJ342" i="1" a="1"/>
  <c r="AJ342" i="1" s="1"/>
  <c r="AF342" i="1"/>
  <c r="AF342" i="1" a="1"/>
  <c r="BG341" i="1" a="1"/>
  <c r="BG341" i="1" s="1"/>
  <c r="AJ341" i="1" a="1"/>
  <c r="AJ341" i="1" s="1"/>
  <c r="AF341" i="1" a="1"/>
  <c r="AF341" i="1" s="1"/>
  <c r="BG340" i="1"/>
  <c r="BG340" i="1" a="1"/>
  <c r="AJ340" i="1" a="1"/>
  <c r="AJ340" i="1" s="1"/>
  <c r="AF340" i="1"/>
  <c r="AF340" i="1" a="1"/>
  <c r="BG339" i="1" a="1"/>
  <c r="BG339" i="1" s="1"/>
  <c r="AJ339" i="1"/>
  <c r="AJ339" i="1" a="1"/>
  <c r="AF339" i="1" a="1"/>
  <c r="AF339" i="1" s="1"/>
  <c r="BG338" i="1"/>
  <c r="BG338" i="1" a="1"/>
  <c r="AJ338" i="1"/>
  <c r="AJ338" i="1" a="1"/>
  <c r="AF338" i="1" a="1"/>
  <c r="AF338" i="1" s="1"/>
  <c r="BG337" i="1" a="1"/>
  <c r="BG337" i="1" s="1"/>
  <c r="AJ337" i="1"/>
  <c r="AJ337" i="1" a="1"/>
  <c r="AF337" i="1"/>
  <c r="AF337" i="1" a="1"/>
  <c r="BG336" i="1"/>
  <c r="BG336" i="1" a="1"/>
  <c r="AJ336" i="1"/>
  <c r="AJ336" i="1" a="1"/>
  <c r="AF336" i="1" a="1"/>
  <c r="AF336" i="1" s="1"/>
  <c r="BG335" i="1" a="1"/>
  <c r="BG335" i="1" s="1"/>
  <c r="AJ335" i="1" a="1"/>
  <c r="AJ335" i="1" s="1"/>
  <c r="AF335" i="1" a="1"/>
  <c r="AF335" i="1" s="1"/>
  <c r="BG334" i="1" a="1"/>
  <c r="BG334" i="1" s="1"/>
  <c r="AJ334" i="1"/>
  <c r="AJ334" i="1" a="1"/>
  <c r="AF334" i="1" a="1"/>
  <c r="AF334" i="1" s="1"/>
  <c r="BG333" i="1"/>
  <c r="BG333" i="1" a="1"/>
  <c r="AJ333" i="1" a="1"/>
  <c r="AJ333" i="1" s="1"/>
  <c r="AF333" i="1"/>
  <c r="AF333" i="1" a="1"/>
  <c r="BG332" i="1" a="1"/>
  <c r="BG332" i="1" s="1"/>
  <c r="AJ332" i="1"/>
  <c r="AJ332" i="1" a="1"/>
  <c r="AF332" i="1" a="1"/>
  <c r="AF332" i="1" s="1"/>
  <c r="BG331" i="1"/>
  <c r="BG331" i="1" a="1"/>
  <c r="AJ331" i="1" a="1"/>
  <c r="AJ331" i="1" s="1"/>
  <c r="AF331" i="1" a="1"/>
  <c r="AF331" i="1" s="1"/>
  <c r="BG330" i="1" a="1"/>
  <c r="BG330" i="1" s="1"/>
  <c r="AJ330" i="1"/>
  <c r="AJ330" i="1" a="1"/>
  <c r="AF330" i="1"/>
  <c r="AF330" i="1" a="1"/>
  <c r="BG329" i="1" a="1"/>
  <c r="BG329" i="1" s="1"/>
  <c r="AJ329" i="1"/>
  <c r="AJ329" i="1" a="1"/>
  <c r="AF329" i="1"/>
  <c r="AF329" i="1" a="1"/>
  <c r="BG328" i="1"/>
  <c r="BG328" i="1" a="1"/>
  <c r="AJ328" i="1" a="1"/>
  <c r="AJ328" i="1" s="1"/>
  <c r="AF328" i="1" a="1"/>
  <c r="AF328" i="1" s="1"/>
  <c r="BG327" i="1"/>
  <c r="BG327" i="1" a="1"/>
  <c r="AJ327" i="1" a="1"/>
  <c r="AJ327" i="1" s="1"/>
  <c r="AF327" i="1"/>
  <c r="AF327" i="1" a="1"/>
  <c r="BG326" i="1" a="1"/>
  <c r="BG326" i="1" s="1"/>
  <c r="AJ326" i="1" a="1"/>
  <c r="AJ326" i="1" s="1"/>
  <c r="AF326" i="1"/>
  <c r="AF326" i="1" a="1"/>
  <c r="BG325" i="1" a="1"/>
  <c r="BG325" i="1" s="1"/>
  <c r="AJ325" i="1" a="1"/>
  <c r="AJ325" i="1" s="1"/>
  <c r="AF325" i="1"/>
  <c r="AF325" i="1" a="1"/>
  <c r="BG324" i="1" a="1"/>
  <c r="BG324" i="1" s="1"/>
  <c r="AJ324" i="1"/>
  <c r="AJ324" i="1" a="1"/>
  <c r="AF324" i="1" a="1"/>
  <c r="AF324" i="1" s="1"/>
  <c r="BG323" i="1"/>
  <c r="BG323" i="1" a="1"/>
  <c r="AJ323" i="1" a="1"/>
  <c r="AJ323" i="1" s="1"/>
  <c r="AF323" i="1"/>
  <c r="AF323" i="1" a="1"/>
  <c r="BG322" i="1" a="1"/>
  <c r="BG322" i="1" s="1"/>
  <c r="AJ322" i="1"/>
  <c r="AJ322" i="1" a="1"/>
  <c r="AF322" i="1"/>
  <c r="AF322" i="1" a="1"/>
  <c r="BG321" i="1" a="1"/>
  <c r="BG321" i="1" s="1"/>
  <c r="AJ321" i="1" a="1"/>
  <c r="AJ321" i="1" s="1"/>
  <c r="AF321" i="1"/>
  <c r="AF321" i="1" a="1"/>
  <c r="BG320" i="1" a="1"/>
  <c r="BG320" i="1" s="1"/>
  <c r="AJ320" i="1"/>
  <c r="AJ320" i="1" a="1"/>
  <c r="AF320" i="1" a="1"/>
  <c r="AF320" i="1" s="1"/>
  <c r="BG319" i="1"/>
  <c r="BG319" i="1" a="1"/>
  <c r="AJ319" i="1"/>
  <c r="AJ319" i="1" a="1"/>
  <c r="AF319" i="1" a="1"/>
  <c r="AF319" i="1" s="1"/>
  <c r="BG318" i="1" a="1"/>
  <c r="BG318" i="1" s="1"/>
  <c r="AJ318" i="1" a="1"/>
  <c r="AJ318" i="1" s="1"/>
  <c r="AF318" i="1"/>
  <c r="AF318" i="1" a="1"/>
  <c r="BG317" i="1" a="1"/>
  <c r="BG317" i="1" s="1"/>
  <c r="AJ317" i="1" a="1"/>
  <c r="AJ317" i="1" s="1"/>
  <c r="AF317" i="1"/>
  <c r="AF317" i="1" a="1"/>
  <c r="BG316" i="1"/>
  <c r="BG316" i="1" a="1"/>
  <c r="AJ316" i="1" a="1"/>
  <c r="AJ316" i="1" s="1"/>
  <c r="AF316" i="1"/>
  <c r="AF316" i="1" a="1"/>
  <c r="BG315" i="1"/>
  <c r="BG315" i="1" a="1"/>
  <c r="AJ315" i="1" a="1"/>
  <c r="AJ315" i="1" s="1"/>
  <c r="AF315" i="1" a="1"/>
  <c r="AF315" i="1" s="1"/>
  <c r="BG314" i="1" a="1"/>
  <c r="BG314" i="1" s="1"/>
  <c r="AJ314" i="1"/>
  <c r="AJ314" i="1" a="1"/>
  <c r="AF314" i="1"/>
  <c r="AF314" i="1" a="1"/>
  <c r="BG313" i="1"/>
  <c r="BG313" i="1" a="1"/>
  <c r="AJ313" i="1" a="1"/>
  <c r="AJ313" i="1" s="1"/>
  <c r="AF313" i="1"/>
  <c r="AF313" i="1" a="1"/>
  <c r="BG312" i="1"/>
  <c r="BG312" i="1" a="1"/>
  <c r="AJ312" i="1"/>
  <c r="AJ312" i="1" a="1"/>
  <c r="AF312" i="1" a="1"/>
  <c r="AF312" i="1" s="1"/>
  <c r="BG311" i="1"/>
  <c r="BG311" i="1" a="1"/>
  <c r="AJ311" i="1" a="1"/>
  <c r="AJ311" i="1" s="1"/>
  <c r="AF311" i="1"/>
  <c r="AF311" i="1" a="1"/>
  <c r="BG310" i="1"/>
  <c r="BG310" i="1" a="1"/>
  <c r="AJ310" i="1" a="1"/>
  <c r="AJ310" i="1" s="1"/>
  <c r="AF310" i="1"/>
  <c r="AF310" i="1" a="1"/>
  <c r="BG309" i="1"/>
  <c r="BG309" i="1" a="1"/>
  <c r="AJ309" i="1" a="1"/>
  <c r="AJ309" i="1" s="1"/>
  <c r="AF309" i="1"/>
  <c r="AF309" i="1" a="1"/>
  <c r="BG308" i="1"/>
  <c r="BG308" i="1" a="1"/>
  <c r="AJ308" i="1"/>
  <c r="AJ308" i="1" a="1"/>
  <c r="AF308" i="1"/>
  <c r="AF308" i="1" a="1"/>
  <c r="BG307" i="1"/>
  <c r="BG307" i="1" a="1"/>
  <c r="AJ307" i="1"/>
  <c r="AJ307" i="1" a="1"/>
  <c r="AF307" i="1" a="1"/>
  <c r="AF307" i="1" s="1"/>
  <c r="BG306" i="1" a="1"/>
  <c r="BG306" i="1" s="1"/>
  <c r="AJ306" i="1"/>
  <c r="AJ306" i="1" a="1"/>
  <c r="AF306" i="1" a="1"/>
  <c r="AF306" i="1" s="1"/>
  <c r="BG305" i="1" a="1"/>
  <c r="BG305" i="1" s="1"/>
  <c r="AJ305" i="1" a="1"/>
  <c r="AJ305" i="1" s="1"/>
  <c r="AF305" i="1"/>
  <c r="AF305" i="1" a="1"/>
  <c r="BG304" i="1"/>
  <c r="BG304" i="1" a="1"/>
  <c r="AJ304" i="1" a="1"/>
  <c r="AJ304" i="1" s="1"/>
  <c r="AF304" i="1" a="1"/>
  <c r="AF304" i="1" s="1"/>
  <c r="BG303" i="1"/>
  <c r="BG303" i="1" a="1"/>
  <c r="AJ303" i="1" a="1"/>
  <c r="AJ303" i="1" s="1"/>
  <c r="AF303" i="1"/>
  <c r="AF303" i="1" a="1"/>
  <c r="BG302" i="1" a="1"/>
  <c r="BG302" i="1" s="1"/>
  <c r="AJ302" i="1" a="1"/>
  <c r="AJ302" i="1" s="1"/>
  <c r="AF302" i="1"/>
  <c r="AF302" i="1" a="1"/>
  <c r="BG301" i="1"/>
  <c r="BG301" i="1" a="1"/>
  <c r="AJ301" i="1" a="1"/>
  <c r="AJ301" i="1" s="1"/>
  <c r="AF301" i="1"/>
  <c r="AF301" i="1" a="1"/>
  <c r="BG300" i="1" a="1"/>
  <c r="BG300" i="1" s="1"/>
  <c r="AJ300" i="1"/>
  <c r="AJ300" i="1" a="1"/>
  <c r="AF300" i="1" a="1"/>
  <c r="AF300" i="1" s="1"/>
  <c r="BG299" i="1" a="1"/>
  <c r="BG299" i="1" s="1"/>
  <c r="AJ299" i="1" a="1"/>
  <c r="AJ299" i="1" s="1"/>
  <c r="AF299" i="1" a="1"/>
  <c r="AF299" i="1" s="1"/>
  <c r="BG298" i="1" a="1"/>
  <c r="BG298" i="1" s="1"/>
  <c r="AJ298" i="1"/>
  <c r="AJ298" i="1" a="1"/>
  <c r="AF298" i="1"/>
  <c r="AF298" i="1" a="1"/>
  <c r="BG297" i="1"/>
  <c r="BG297" i="1" a="1"/>
  <c r="AJ297" i="1"/>
  <c r="AJ297" i="1" a="1"/>
  <c r="AF297" i="1" a="1"/>
  <c r="AF297" i="1" s="1"/>
  <c r="BG296" i="1" a="1"/>
  <c r="BG296" i="1" s="1"/>
  <c r="AJ296" i="1"/>
  <c r="AJ296" i="1" a="1"/>
  <c r="AF296" i="1" a="1"/>
  <c r="AF296" i="1" s="1"/>
  <c r="BG295" i="1"/>
  <c r="BG295" i="1" a="1"/>
  <c r="AJ295" i="1"/>
  <c r="AJ295" i="1" a="1"/>
  <c r="AF295" i="1" a="1"/>
  <c r="AF295" i="1" s="1"/>
  <c r="BG294" i="1"/>
  <c r="BG294" i="1" a="1"/>
  <c r="AJ294" i="1" a="1"/>
  <c r="AJ294" i="1" s="1"/>
  <c r="AF294" i="1"/>
  <c r="AF294" i="1" a="1"/>
  <c r="BG293" i="1" a="1"/>
  <c r="BG293" i="1" s="1"/>
  <c r="AJ293" i="1" a="1"/>
  <c r="AJ293" i="1" s="1"/>
  <c r="AF293" i="1"/>
  <c r="AF293" i="1" a="1"/>
  <c r="BG292" i="1" a="1"/>
  <c r="BG292" i="1" s="1"/>
  <c r="AJ292" i="1"/>
  <c r="AJ292" i="1" a="1"/>
  <c r="AF292" i="1"/>
  <c r="AF292" i="1" a="1"/>
  <c r="BG291" i="1"/>
  <c r="BG291" i="1" a="1"/>
  <c r="AJ291" i="1" a="1"/>
  <c r="AJ291" i="1" s="1"/>
  <c r="AF291" i="1" a="1"/>
  <c r="AF291" i="1" s="1"/>
  <c r="BG290" i="1" a="1"/>
  <c r="BG290" i="1" s="1"/>
  <c r="AJ290" i="1"/>
  <c r="AJ290" i="1" a="1"/>
  <c r="AF290" i="1" a="1"/>
  <c r="AF290" i="1" s="1"/>
  <c r="BG289" i="1" a="1"/>
  <c r="BG289" i="1" s="1"/>
  <c r="AJ289" i="1" a="1"/>
  <c r="AJ289" i="1" s="1"/>
  <c r="AF289" i="1"/>
  <c r="AF289" i="1" a="1"/>
  <c r="BG288" i="1" a="1"/>
  <c r="BG288" i="1" s="1"/>
  <c r="AJ288" i="1" a="1"/>
  <c r="AJ288" i="1" s="1"/>
  <c r="AF288" i="1" a="1"/>
  <c r="AF288" i="1" s="1"/>
  <c r="BG287" i="1"/>
  <c r="BG287" i="1" a="1"/>
  <c r="AJ287" i="1" a="1"/>
  <c r="AJ287" i="1" s="1"/>
  <c r="AF287" i="1" a="1"/>
  <c r="AF287" i="1" s="1"/>
  <c r="BG286" i="1"/>
  <c r="BG286" i="1" a="1"/>
  <c r="AJ286" i="1"/>
  <c r="AJ286" i="1" a="1"/>
  <c r="AF286" i="1"/>
  <c r="AF286" i="1" a="1"/>
  <c r="BG285" i="1"/>
  <c r="BG285" i="1" a="1"/>
  <c r="AJ285" i="1" a="1"/>
  <c r="AJ285" i="1" s="1"/>
  <c r="AF285" i="1"/>
  <c r="AF285" i="1" a="1"/>
  <c r="BG284" i="1" a="1"/>
  <c r="BG284" i="1" s="1"/>
  <c r="AJ284" i="1"/>
  <c r="AJ284" i="1" a="1"/>
  <c r="AF284" i="1" a="1"/>
  <c r="AF284" i="1" s="1"/>
  <c r="BG283" i="1" a="1"/>
  <c r="BG283" i="1" s="1"/>
  <c r="AJ283" i="1" a="1"/>
  <c r="AJ283" i="1" s="1"/>
  <c r="AF283" i="1" a="1"/>
  <c r="AF283" i="1" s="1"/>
  <c r="BG282" i="1" a="1"/>
  <c r="BG282" i="1" s="1"/>
  <c r="AJ282" i="1"/>
  <c r="AJ282" i="1" a="1"/>
  <c r="AF282" i="1"/>
  <c r="AF282" i="1" a="1"/>
  <c r="BG281" i="1" a="1"/>
  <c r="BG281" i="1" s="1"/>
  <c r="AJ281" i="1" a="1"/>
  <c r="AJ281" i="1" s="1"/>
  <c r="AF281" i="1"/>
  <c r="AF281" i="1" a="1"/>
  <c r="BG280" i="1"/>
  <c r="BG280" i="1" a="1"/>
  <c r="AJ280" i="1"/>
  <c r="AJ280" i="1" a="1"/>
  <c r="AF280" i="1" a="1"/>
  <c r="AF280" i="1" s="1"/>
  <c r="BG279" i="1"/>
  <c r="BG279" i="1" a="1"/>
  <c r="AJ279" i="1" a="1"/>
  <c r="AJ279" i="1" s="1"/>
  <c r="AF279" i="1"/>
  <c r="AF279" i="1" a="1"/>
  <c r="BG278" i="1" a="1"/>
  <c r="BG278" i="1" s="1"/>
  <c r="AJ278" i="1"/>
  <c r="AJ278" i="1" a="1"/>
  <c r="AF278" i="1" a="1"/>
  <c r="AF278" i="1" s="1"/>
  <c r="BG277" i="1" a="1"/>
  <c r="BG277" i="1" s="1"/>
  <c r="AJ277" i="1" a="1"/>
  <c r="AJ277" i="1" s="1"/>
  <c r="AF277" i="1"/>
  <c r="AF277" i="1" a="1"/>
  <c r="BG276" i="1" a="1"/>
  <c r="BG276" i="1" s="1"/>
  <c r="AJ276" i="1" a="1"/>
  <c r="AJ276" i="1" s="1"/>
  <c r="AF276" i="1"/>
  <c r="AF276" i="1" a="1"/>
  <c r="BG275" i="1" a="1"/>
  <c r="BG275" i="1" s="1"/>
  <c r="AJ275" i="1"/>
  <c r="AJ275" i="1" a="1"/>
  <c r="AF275" i="1"/>
  <c r="AF275" i="1" a="1"/>
  <c r="BG274" i="1" a="1"/>
  <c r="BG274" i="1" s="1"/>
  <c r="AJ274" i="1"/>
  <c r="AJ274" i="1" a="1"/>
  <c r="AF274" i="1" a="1"/>
  <c r="AF274" i="1" s="1"/>
  <c r="BG273" i="1"/>
  <c r="BG273" i="1" a="1"/>
  <c r="AJ273" i="1" a="1"/>
  <c r="AJ273" i="1" s="1"/>
  <c r="AF273" i="1" a="1"/>
  <c r="AF273" i="1" s="1"/>
  <c r="BG272" i="1" a="1"/>
  <c r="BG272" i="1" s="1"/>
  <c r="AJ272" i="1" a="1"/>
  <c r="AJ272" i="1" s="1"/>
  <c r="AF272" i="1" a="1"/>
  <c r="AF272" i="1" s="1"/>
  <c r="BG271" i="1"/>
  <c r="BG271" i="1" a="1"/>
  <c r="AJ271" i="1"/>
  <c r="AJ271" i="1" a="1"/>
  <c r="AF271" i="1" a="1"/>
  <c r="AF271" i="1" s="1"/>
  <c r="BG270" i="1"/>
  <c r="BG270" i="1" a="1"/>
  <c r="AJ270" i="1"/>
  <c r="AJ270" i="1" a="1"/>
  <c r="AF270" i="1" a="1"/>
  <c r="AF270" i="1" s="1"/>
  <c r="BG269" i="1"/>
  <c r="BG269" i="1" a="1"/>
  <c r="AJ269" i="1" a="1"/>
  <c r="AJ269" i="1" s="1"/>
  <c r="AF269" i="1"/>
  <c r="AF269" i="1" a="1"/>
  <c r="BG268" i="1" a="1"/>
  <c r="BG268" i="1" s="1"/>
  <c r="AJ268" i="1"/>
  <c r="AJ268" i="1" a="1"/>
  <c r="AF268" i="1"/>
  <c r="AF268" i="1" a="1"/>
  <c r="BG267" i="1"/>
  <c r="BG267" i="1" a="1"/>
  <c r="AJ267" i="1" a="1"/>
  <c r="AJ267" i="1" s="1"/>
  <c r="AF267" i="1" a="1"/>
  <c r="AF267" i="1" s="1"/>
  <c r="BG266" i="1" a="1"/>
  <c r="BG266" i="1" s="1"/>
  <c r="AJ266" i="1"/>
  <c r="AJ266" i="1" a="1"/>
  <c r="AF266" i="1"/>
  <c r="AF266" i="1" a="1"/>
  <c r="BG265" i="1"/>
  <c r="BG265" i="1" a="1"/>
  <c r="AJ265" i="1"/>
  <c r="AJ265" i="1" a="1"/>
  <c r="AF265" i="1"/>
  <c r="AF265" i="1" a="1"/>
  <c r="BG264" i="1" a="1"/>
  <c r="BG264" i="1" s="1"/>
  <c r="AJ264" i="1"/>
  <c r="AJ264" i="1" a="1"/>
  <c r="AF264" i="1" a="1"/>
  <c r="AF264" i="1" s="1"/>
  <c r="BG263" i="1"/>
  <c r="BG263" i="1" a="1"/>
  <c r="AJ263" i="1"/>
  <c r="AJ263" i="1" a="1"/>
  <c r="AF263" i="1" a="1"/>
  <c r="AF263" i="1" s="1"/>
  <c r="BG262" i="1" a="1"/>
  <c r="BG262" i="1" s="1"/>
  <c r="AJ262" i="1"/>
  <c r="AJ262" i="1" a="1"/>
  <c r="AF262" i="1"/>
  <c r="AF262" i="1" a="1"/>
  <c r="BG261" i="1" a="1"/>
  <c r="BG261" i="1" s="1"/>
  <c r="AJ261" i="1" a="1"/>
  <c r="AJ261" i="1" s="1"/>
  <c r="AF261" i="1"/>
  <c r="AF261" i="1" a="1"/>
  <c r="BG260" i="1" a="1"/>
  <c r="BG260" i="1" s="1"/>
  <c r="AJ260" i="1"/>
  <c r="AJ260" i="1" a="1"/>
  <c r="AF260" i="1"/>
  <c r="AF260" i="1" a="1"/>
  <c r="BG259" i="1"/>
  <c r="BG259" i="1" a="1"/>
  <c r="AJ259" i="1"/>
  <c r="AJ259" i="1" a="1"/>
  <c r="AF259" i="1"/>
  <c r="AF259" i="1" a="1"/>
  <c r="BG258" i="1" a="1"/>
  <c r="BG258" i="1" s="1"/>
  <c r="AJ258" i="1"/>
  <c r="AJ258" i="1" a="1"/>
  <c r="AF258" i="1" a="1"/>
  <c r="AF258" i="1" s="1"/>
  <c r="BG257" i="1" a="1"/>
  <c r="BG257" i="1" s="1"/>
  <c r="AJ257" i="1" a="1"/>
  <c r="AJ257" i="1" s="1"/>
  <c r="AF257" i="1" a="1"/>
  <c r="AF257" i="1" s="1"/>
  <c r="BG256" i="1"/>
  <c r="BG256" i="1" a="1"/>
  <c r="AJ256" i="1"/>
  <c r="AJ256" i="1" a="1"/>
  <c r="AF256" i="1" a="1"/>
  <c r="AF256" i="1" s="1"/>
  <c r="BG255" i="1"/>
  <c r="BG255" i="1" a="1"/>
  <c r="AJ255" i="1"/>
  <c r="AJ255" i="1" a="1"/>
  <c r="AF255" i="1" a="1"/>
  <c r="AF255" i="1" s="1"/>
  <c r="BG254" i="1"/>
  <c r="BG254" i="1" a="1"/>
  <c r="AJ254" i="1" a="1"/>
  <c r="AJ254" i="1" s="1"/>
  <c r="AF254" i="1" a="1"/>
  <c r="AF254" i="1" s="1"/>
  <c r="BG253" i="1"/>
  <c r="BG253" i="1" a="1"/>
  <c r="AJ253" i="1" a="1"/>
  <c r="AJ253" i="1" s="1"/>
  <c r="AF253" i="1"/>
  <c r="AF253" i="1" a="1"/>
  <c r="BG252" i="1" a="1"/>
  <c r="BG252" i="1" s="1"/>
  <c r="AJ252" i="1" a="1"/>
  <c r="AJ252" i="1" s="1"/>
  <c r="AF252" i="1" a="1"/>
  <c r="AF252" i="1" s="1"/>
  <c r="BG251" i="1" a="1"/>
  <c r="BG251" i="1" s="1"/>
  <c r="AJ251" i="1" a="1"/>
  <c r="AJ251" i="1" s="1"/>
  <c r="AF251" i="1" a="1"/>
  <c r="AF251" i="1" s="1"/>
  <c r="BG250" i="1" a="1"/>
  <c r="BG250" i="1" s="1"/>
  <c r="AJ250" i="1"/>
  <c r="AJ250" i="1" a="1"/>
  <c r="AF250" i="1"/>
  <c r="AF250" i="1" a="1"/>
  <c r="BG249" i="1"/>
  <c r="BG249" i="1" a="1"/>
  <c r="AJ249" i="1"/>
  <c r="AJ249" i="1" a="1"/>
  <c r="AF249" i="1"/>
  <c r="AF249" i="1" a="1"/>
  <c r="BG248" i="1" a="1"/>
  <c r="BG248" i="1" s="1"/>
  <c r="AJ248" i="1" a="1"/>
  <c r="AJ248" i="1" s="1"/>
  <c r="AF248" i="1" a="1"/>
  <c r="AF248" i="1" s="1"/>
  <c r="BG247" i="1"/>
  <c r="BG247" i="1" a="1"/>
  <c r="AJ247" i="1" a="1"/>
  <c r="AJ247" i="1" s="1"/>
  <c r="AF247" i="1"/>
  <c r="AF247" i="1" a="1"/>
  <c r="BG246" i="1" a="1"/>
  <c r="BG246" i="1" s="1"/>
  <c r="AJ246" i="1" a="1"/>
  <c r="AJ246" i="1" s="1"/>
  <c r="AF246" i="1" a="1"/>
  <c r="AF246" i="1" s="1"/>
  <c r="BG245" i="1" a="1"/>
  <c r="BG245" i="1" s="1"/>
  <c r="AJ245" i="1" a="1"/>
  <c r="AJ245" i="1" s="1"/>
  <c r="AF245" i="1"/>
  <c r="AF245" i="1" a="1"/>
  <c r="BG244" i="1"/>
  <c r="BG244" i="1" a="1"/>
  <c r="AJ244" i="1" a="1"/>
  <c r="AJ244" i="1" s="1"/>
  <c r="AF244" i="1"/>
  <c r="AF244" i="1" a="1"/>
  <c r="BG243" i="1"/>
  <c r="BG243" i="1" a="1"/>
  <c r="AJ243" i="1"/>
  <c r="AJ243" i="1" a="1"/>
  <c r="AF243" i="1" a="1"/>
  <c r="AF243" i="1" s="1"/>
  <c r="BG242" i="1" a="1"/>
  <c r="BG242" i="1" s="1"/>
  <c r="AJ242" i="1"/>
  <c r="AJ242" i="1" a="1"/>
  <c r="AF242" i="1"/>
  <c r="AF242" i="1" a="1"/>
  <c r="BG241" i="1"/>
  <c r="BG241" i="1" a="1"/>
  <c r="AJ241" i="1" a="1"/>
  <c r="AJ241" i="1" s="1"/>
  <c r="AF241" i="1" a="1"/>
  <c r="AF241" i="1" s="1"/>
  <c r="BG240" i="1"/>
  <c r="BG240" i="1" a="1"/>
  <c r="AJ240" i="1" a="1"/>
  <c r="AJ240" i="1" s="1"/>
  <c r="AF240" i="1" a="1"/>
  <c r="AF240" i="1" s="1"/>
  <c r="BG239" i="1"/>
  <c r="BG239" i="1" a="1"/>
  <c r="AJ239" i="1" a="1"/>
  <c r="AJ239" i="1" s="1"/>
  <c r="AF239" i="1"/>
  <c r="AF239" i="1" a="1"/>
  <c r="BG238" i="1"/>
  <c r="BG238" i="1" a="1"/>
  <c r="AJ238" i="1"/>
  <c r="AJ238" i="1" a="1"/>
  <c r="AF238" i="1" a="1"/>
  <c r="AF238" i="1" s="1"/>
  <c r="BG237" i="1"/>
  <c r="BG237" i="1" a="1"/>
  <c r="AJ237" i="1" a="1"/>
  <c r="AJ237" i="1" s="1"/>
  <c r="AF237" i="1"/>
  <c r="AF237" i="1" a="1"/>
  <c r="BG236" i="1" a="1"/>
  <c r="BG236" i="1" s="1"/>
  <c r="AJ236" i="1"/>
  <c r="AJ236" i="1" a="1"/>
  <c r="AF236" i="1"/>
  <c r="AF236" i="1" a="1"/>
  <c r="BG235" i="1"/>
  <c r="BG235" i="1" a="1"/>
  <c r="AJ235" i="1" a="1"/>
  <c r="AJ235" i="1" s="1"/>
  <c r="AF235" i="1"/>
  <c r="AF235" i="1" a="1"/>
  <c r="BG234" i="1" a="1"/>
  <c r="BG234" i="1" s="1"/>
  <c r="AJ234" i="1"/>
  <c r="AJ234" i="1" a="1"/>
  <c r="AF234" i="1"/>
  <c r="AF234" i="1" a="1"/>
  <c r="BG233" i="1" a="1"/>
  <c r="BG233" i="1" s="1"/>
  <c r="AJ233" i="1" a="1"/>
  <c r="AJ233" i="1" s="1"/>
  <c r="AF233" i="1"/>
  <c r="AF233" i="1" a="1"/>
  <c r="BG232" i="1"/>
  <c r="BG232" i="1" a="1"/>
  <c r="AJ232" i="1" a="1"/>
  <c r="AJ232" i="1" s="1"/>
  <c r="AF232" i="1" a="1"/>
  <c r="AF232" i="1" s="1"/>
  <c r="BG231" i="1"/>
  <c r="BG231" i="1" a="1"/>
  <c r="AJ231" i="1" a="1"/>
  <c r="AJ231" i="1" s="1"/>
  <c r="AF231" i="1" a="1"/>
  <c r="AF231" i="1" s="1"/>
  <c r="BG230" i="1" a="1"/>
  <c r="BG230" i="1" s="1"/>
  <c r="AJ230" i="1"/>
  <c r="AJ230" i="1" a="1"/>
  <c r="AF230" i="1"/>
  <c r="AF230" i="1" a="1"/>
  <c r="BG229" i="1" a="1"/>
  <c r="BG229" i="1" s="1"/>
  <c r="AJ229" i="1" a="1"/>
  <c r="AJ229" i="1" s="1"/>
  <c r="AF229" i="1"/>
  <c r="AF229" i="1" a="1"/>
  <c r="BG228" i="1"/>
  <c r="BG228" i="1" a="1"/>
  <c r="AJ228" i="1" a="1"/>
  <c r="AJ228" i="1" s="1"/>
  <c r="AF228" i="1" a="1"/>
  <c r="AF228" i="1" s="1"/>
  <c r="BG227" i="1" a="1"/>
  <c r="BG227" i="1" s="1"/>
  <c r="AJ227" i="1"/>
  <c r="AJ227" i="1" a="1"/>
  <c r="AF227" i="1"/>
  <c r="AF227" i="1" a="1"/>
  <c r="BG226" i="1" a="1"/>
  <c r="BG226" i="1" s="1"/>
  <c r="AJ226" i="1"/>
  <c r="AJ226" i="1" a="1"/>
  <c r="AF226" i="1" a="1"/>
  <c r="AF226" i="1" s="1"/>
  <c r="BG225" i="1"/>
  <c r="BG225" i="1" a="1"/>
  <c r="AJ225" i="1"/>
  <c r="AJ225" i="1" a="1"/>
  <c r="AF225" i="1" a="1"/>
  <c r="AF225" i="1" s="1"/>
  <c r="BG224" i="1" a="1"/>
  <c r="BG224" i="1" s="1"/>
  <c r="AJ224" i="1" a="1"/>
  <c r="AJ224" i="1" s="1"/>
  <c r="AF224" i="1" a="1"/>
  <c r="AF224" i="1" s="1"/>
  <c r="BG223" i="1"/>
  <c r="BG223" i="1" a="1"/>
  <c r="AJ223" i="1"/>
  <c r="AJ223" i="1" a="1"/>
  <c r="AF223" i="1"/>
  <c r="AF223" i="1" a="1"/>
  <c r="BG222" i="1" a="1"/>
  <c r="BG222" i="1" s="1"/>
  <c r="AJ222" i="1"/>
  <c r="AJ222" i="1" a="1"/>
  <c r="AF222" i="1" a="1"/>
  <c r="AF222" i="1" s="1"/>
  <c r="BG221" i="1"/>
  <c r="BG221" i="1" a="1"/>
  <c r="AJ221" i="1" a="1"/>
  <c r="AJ221" i="1" s="1"/>
  <c r="AF221" i="1"/>
  <c r="AF221" i="1" a="1"/>
  <c r="BG220" i="1"/>
  <c r="BG220" i="1" a="1"/>
  <c r="AJ220" i="1" a="1"/>
  <c r="AJ220" i="1" s="1"/>
  <c r="AF220" i="1" a="1"/>
  <c r="AF220" i="1" s="1"/>
  <c r="BG219" i="1" a="1"/>
  <c r="BG219" i="1" s="1"/>
  <c r="AJ219" i="1"/>
  <c r="AJ219" i="1" a="1"/>
  <c r="AF219" i="1" a="1"/>
  <c r="AF219" i="1" s="1"/>
  <c r="BG218" i="1" a="1"/>
  <c r="BG218" i="1" s="1"/>
  <c r="AJ218" i="1"/>
  <c r="AJ218" i="1" a="1"/>
  <c r="AF218" i="1" a="1"/>
  <c r="AF218" i="1" s="1"/>
  <c r="BG217" i="1"/>
  <c r="BG217" i="1" a="1"/>
  <c r="AJ217" i="1"/>
  <c r="AJ217" i="1" a="1"/>
  <c r="AF217" i="1"/>
  <c r="AF217" i="1" a="1"/>
  <c r="BG216" i="1"/>
  <c r="BG216" i="1" a="1"/>
  <c r="AJ216" i="1" a="1"/>
  <c r="AJ216" i="1" s="1"/>
  <c r="AF216" i="1" a="1"/>
  <c r="AF216" i="1" s="1"/>
  <c r="BG215" i="1"/>
  <c r="BG215" i="1" a="1"/>
  <c r="AJ215" i="1" a="1"/>
  <c r="AJ215" i="1" s="1"/>
  <c r="AF215" i="1" a="1"/>
  <c r="AF215" i="1" s="1"/>
  <c r="BG214" i="1" a="1"/>
  <c r="BG214" i="1" s="1"/>
  <c r="AJ214" i="1" a="1"/>
  <c r="AJ214" i="1" s="1"/>
  <c r="AF214" i="1"/>
  <c r="AF214" i="1" a="1"/>
  <c r="BG213" i="1" a="1"/>
  <c r="BG213" i="1" s="1"/>
  <c r="AJ213" i="1" a="1"/>
  <c r="AJ213" i="1" s="1"/>
  <c r="AF213" i="1"/>
  <c r="AF213" i="1" a="1"/>
  <c r="BG212" i="1"/>
  <c r="BG212" i="1" a="1"/>
  <c r="AJ212" i="1"/>
  <c r="AJ212" i="1" a="1"/>
  <c r="AF212" i="1"/>
  <c r="AF212" i="1" a="1"/>
  <c r="BG211" i="1" a="1"/>
  <c r="BG211" i="1" s="1"/>
  <c r="AJ211" i="1" a="1"/>
  <c r="AJ211" i="1" s="1"/>
  <c r="AF211" i="1"/>
  <c r="AF211" i="1" a="1"/>
  <c r="BG210" i="1" a="1"/>
  <c r="BG210" i="1" s="1"/>
  <c r="AJ210" i="1"/>
  <c r="AJ210" i="1" a="1"/>
  <c r="AF210" i="1" a="1"/>
  <c r="AF210" i="1" s="1"/>
  <c r="BG209" i="1" a="1"/>
  <c r="BG209" i="1" s="1"/>
  <c r="AJ209" i="1"/>
  <c r="AJ209" i="1" a="1"/>
  <c r="AF209" i="1" a="1"/>
  <c r="AF209" i="1" s="1"/>
  <c r="BG208" i="1"/>
  <c r="BG208" i="1" a="1"/>
  <c r="AJ208" i="1" a="1"/>
  <c r="AJ208" i="1" s="1"/>
  <c r="AF208" i="1" a="1"/>
  <c r="AF208" i="1" s="1"/>
  <c r="BG207" i="1"/>
  <c r="BG207" i="1" a="1"/>
  <c r="AJ207" i="1" a="1"/>
  <c r="AJ207" i="1" s="1"/>
  <c r="AF207" i="1"/>
  <c r="AF207" i="1" a="1"/>
  <c r="BG206" i="1" a="1"/>
  <c r="BG206" i="1" s="1"/>
  <c r="AJ206" i="1"/>
  <c r="AJ206" i="1" a="1"/>
  <c r="AF206" i="1"/>
  <c r="AF206" i="1" a="1"/>
  <c r="BG205" i="1"/>
  <c r="BG205" i="1" a="1"/>
  <c r="AJ205" i="1" a="1"/>
  <c r="AJ205" i="1" s="1"/>
  <c r="AF205" i="1"/>
  <c r="AF205" i="1" a="1"/>
  <c r="BG204" i="1" a="1"/>
  <c r="BG204" i="1" s="1"/>
  <c r="AJ204" i="1"/>
  <c r="AJ204" i="1" a="1"/>
  <c r="AF204" i="1" a="1"/>
  <c r="AF204" i="1" s="1"/>
  <c r="BG203" i="1" a="1"/>
  <c r="BG203" i="1" s="1"/>
  <c r="AJ203" i="1"/>
  <c r="AJ203" i="1" a="1"/>
  <c r="AF203" i="1"/>
  <c r="AF203" i="1" a="1"/>
  <c r="BG202" i="1" a="1"/>
  <c r="BG202" i="1" s="1"/>
  <c r="AJ202" i="1"/>
  <c r="AJ202" i="1" a="1"/>
  <c r="AF202" i="1"/>
  <c r="AF202" i="1" a="1"/>
  <c r="BG201" i="1" a="1"/>
  <c r="BG201" i="1" s="1"/>
  <c r="AJ201" i="1"/>
  <c r="AJ201" i="1" a="1"/>
  <c r="AF201" i="1" a="1"/>
  <c r="AF201" i="1" s="1"/>
  <c r="BG200" i="1" a="1"/>
  <c r="BG200" i="1" s="1"/>
  <c r="AJ200" i="1" a="1"/>
  <c r="AJ200" i="1" s="1"/>
  <c r="AF200" i="1" a="1"/>
  <c r="AF200" i="1" s="1"/>
  <c r="BG199" i="1"/>
  <c r="BG199" i="1" a="1"/>
  <c r="AJ199" i="1"/>
  <c r="AJ199" i="1" a="1"/>
  <c r="AF199" i="1"/>
  <c r="AF199" i="1" a="1"/>
  <c r="BG198" i="1" a="1"/>
  <c r="BG198" i="1" s="1"/>
  <c r="AJ198" i="1" a="1"/>
  <c r="AJ198" i="1" s="1"/>
  <c r="AF198" i="1" a="1"/>
  <c r="AF198" i="1" s="1"/>
  <c r="BG197" i="1"/>
  <c r="BG197" i="1" a="1"/>
  <c r="AJ197" i="1" a="1"/>
  <c r="AJ197" i="1" s="1"/>
  <c r="AF197" i="1"/>
  <c r="AF197" i="1" a="1"/>
  <c r="BG196" i="1"/>
  <c r="BG196" i="1" a="1"/>
  <c r="AJ196" i="1"/>
  <c r="AJ196" i="1" a="1"/>
  <c r="AF196" i="1"/>
  <c r="AF196" i="1" a="1"/>
  <c r="BG195" i="1"/>
  <c r="BG195" i="1" a="1"/>
  <c r="AJ195" i="1" a="1"/>
  <c r="AJ195" i="1" s="1"/>
  <c r="AF195" i="1" a="1"/>
  <c r="AF195" i="1" s="1"/>
  <c r="BG194" i="1" a="1"/>
  <c r="BG194" i="1" s="1"/>
  <c r="AJ194" i="1"/>
  <c r="AJ194" i="1" a="1"/>
  <c r="AF194" i="1"/>
  <c r="AF194" i="1" a="1"/>
  <c r="BG193" i="1"/>
  <c r="BG193" i="1" a="1"/>
  <c r="AJ193" i="1"/>
  <c r="AJ193" i="1" a="1"/>
  <c r="AF193" i="1" a="1"/>
  <c r="AF193" i="1" s="1"/>
  <c r="BG192" i="1" a="1"/>
  <c r="BG192" i="1" s="1"/>
  <c r="AJ192" i="1" a="1"/>
  <c r="AJ192" i="1" s="1"/>
  <c r="AF192" i="1" a="1"/>
  <c r="AF192" i="1" s="1"/>
  <c r="BG191" i="1"/>
  <c r="BG191" i="1" a="1"/>
  <c r="AJ191" i="1" a="1"/>
  <c r="AJ191" i="1" s="1"/>
  <c r="AF191" i="1"/>
  <c r="AF191" i="1" a="1"/>
  <c r="BG190" i="1"/>
  <c r="BG190" i="1" a="1"/>
  <c r="AJ190" i="1"/>
  <c r="AJ190" i="1" a="1"/>
  <c r="AF190" i="1"/>
  <c r="AF190" i="1" a="1"/>
  <c r="BG189" i="1"/>
  <c r="BG189" i="1" a="1"/>
  <c r="AJ189" i="1" a="1"/>
  <c r="AJ189" i="1" s="1"/>
  <c r="AF189" i="1"/>
  <c r="AF189" i="1" a="1"/>
  <c r="BG188" i="1"/>
  <c r="BG188" i="1" a="1"/>
  <c r="AJ188" i="1" a="1"/>
  <c r="AJ188" i="1" s="1"/>
  <c r="AF188" i="1" a="1"/>
  <c r="AF188" i="1" s="1"/>
  <c r="BG187" i="1" a="1"/>
  <c r="BG187" i="1" s="1"/>
  <c r="AJ187" i="1"/>
  <c r="AJ187" i="1" a="1"/>
  <c r="AF187" i="1" a="1"/>
  <c r="AF187" i="1" s="1"/>
  <c r="BG186" i="1" a="1"/>
  <c r="BG186" i="1" s="1"/>
  <c r="AJ186" i="1"/>
  <c r="AJ186" i="1" a="1"/>
  <c r="AF186" i="1" a="1"/>
  <c r="AF186" i="1" s="1"/>
  <c r="BG185" i="1" a="1"/>
  <c r="BG185" i="1" s="1"/>
  <c r="AJ185" i="1" a="1"/>
  <c r="AJ185" i="1" s="1"/>
  <c r="AF185" i="1"/>
  <c r="AF185" i="1" a="1"/>
  <c r="BG184" i="1"/>
  <c r="BG184" i="1" a="1"/>
  <c r="AJ184" i="1"/>
  <c r="AJ184" i="1" a="1"/>
  <c r="AF184" i="1" a="1"/>
  <c r="AF184" i="1" s="1"/>
  <c r="BG183" i="1"/>
  <c r="BG183" i="1" a="1"/>
  <c r="AJ183" i="1" a="1"/>
  <c r="AJ183" i="1" s="1"/>
  <c r="AF183" i="1"/>
  <c r="AF183" i="1" a="1"/>
  <c r="BG182" i="1" a="1"/>
  <c r="BG182" i="1" s="1"/>
  <c r="AJ182" i="1" a="1"/>
  <c r="AJ182" i="1" s="1"/>
  <c r="AF182" i="1"/>
  <c r="AF182" i="1" a="1"/>
  <c r="BG181" i="1"/>
  <c r="BG181" i="1" a="1"/>
  <c r="AJ181" i="1" a="1"/>
  <c r="AJ181" i="1" s="1"/>
  <c r="AF181" i="1"/>
  <c r="AF181" i="1" a="1"/>
  <c r="BG180" i="1" a="1"/>
  <c r="BG180" i="1" s="1"/>
  <c r="AJ180" i="1" a="1"/>
  <c r="AJ180" i="1" s="1"/>
  <c r="AF180" i="1" a="1"/>
  <c r="AF180" i="1" s="1"/>
  <c r="BG179" i="1"/>
  <c r="BG179" i="1" a="1"/>
  <c r="AJ179" i="1"/>
  <c r="AJ179" i="1" a="1"/>
  <c r="AF179" i="1" a="1"/>
  <c r="AF179" i="1" s="1"/>
  <c r="BG178" i="1" a="1"/>
  <c r="BG178" i="1" s="1"/>
  <c r="AJ178" i="1"/>
  <c r="AJ178" i="1" a="1"/>
  <c r="AF178" i="1"/>
  <c r="AF178" i="1" a="1"/>
  <c r="BG177" i="1" a="1"/>
  <c r="BG177" i="1" s="1"/>
  <c r="AJ177" i="1"/>
  <c r="AJ177" i="1" a="1"/>
  <c r="AF177" i="1" a="1"/>
  <c r="AF177" i="1" s="1"/>
  <c r="BG176" i="1" a="1"/>
  <c r="BG176" i="1" s="1"/>
  <c r="AJ176" i="1"/>
  <c r="AJ176" i="1" a="1"/>
  <c r="AF176" i="1" a="1"/>
  <c r="AF176" i="1" s="1"/>
  <c r="BG175" i="1"/>
  <c r="BG175" i="1" a="1"/>
  <c r="AJ175" i="1"/>
  <c r="AJ175" i="1" a="1"/>
  <c r="AF175" i="1" a="1"/>
  <c r="AF175" i="1" s="1"/>
  <c r="BG174" i="1" a="1"/>
  <c r="BG174" i="1" s="1"/>
  <c r="AJ174" i="1"/>
  <c r="AJ174" i="1" a="1"/>
  <c r="AF174" i="1"/>
  <c r="AF174" i="1" a="1"/>
  <c r="BG173" i="1"/>
  <c r="BG173" i="1" a="1"/>
  <c r="AJ173" i="1" a="1"/>
  <c r="AJ173" i="1" s="1"/>
  <c r="AF173" i="1"/>
  <c r="AF173" i="1" a="1"/>
  <c r="BG172" i="1" a="1"/>
  <c r="BG172" i="1" s="1"/>
  <c r="AJ172" i="1"/>
  <c r="AJ172" i="1" a="1"/>
  <c r="AF172" i="1" a="1"/>
  <c r="AF172" i="1" s="1"/>
  <c r="BG171" i="1" a="1"/>
  <c r="BG171" i="1" s="1"/>
  <c r="AJ171" i="1"/>
  <c r="AJ171" i="1" a="1"/>
  <c r="AF171" i="1"/>
  <c r="AF171" i="1" a="1"/>
  <c r="BG170" i="1" a="1"/>
  <c r="BG170" i="1" s="1"/>
  <c r="AJ170" i="1"/>
  <c r="AJ170" i="1" a="1"/>
  <c r="AF170" i="1"/>
  <c r="AF170" i="1" a="1"/>
  <c r="BG169" i="1" a="1"/>
  <c r="BG169" i="1" s="1"/>
  <c r="AJ169" i="1"/>
  <c r="AJ169" i="1" a="1"/>
  <c r="AF169" i="1" a="1"/>
  <c r="AF169" i="1" s="1"/>
  <c r="BG168" i="1" a="1"/>
  <c r="BG168" i="1" s="1"/>
  <c r="AJ168" i="1" a="1"/>
  <c r="AJ168" i="1" s="1"/>
  <c r="AF168" i="1" a="1"/>
  <c r="AF168" i="1" s="1"/>
  <c r="BG167" i="1"/>
  <c r="BG167" i="1" a="1"/>
  <c r="AJ167" i="1"/>
  <c r="AJ167" i="1" a="1"/>
  <c r="AF167" i="1" a="1"/>
  <c r="AF167" i="1" s="1"/>
  <c r="BG166" i="1" a="1"/>
  <c r="BG166" i="1" s="1"/>
  <c r="AJ166" i="1"/>
  <c r="AJ166" i="1" a="1"/>
  <c r="AF166" i="1" a="1"/>
  <c r="AF166" i="1" s="1"/>
  <c r="BG165" i="1" a="1"/>
  <c r="BG165" i="1" s="1"/>
  <c r="AJ165" i="1" a="1"/>
  <c r="AJ165" i="1" s="1"/>
  <c r="AF165" i="1"/>
  <c r="AF165" i="1" a="1"/>
  <c r="BG164" i="1"/>
  <c r="BG164" i="1" a="1"/>
  <c r="AJ164" i="1"/>
  <c r="AJ164" i="1" a="1"/>
  <c r="AF164" i="1"/>
  <c r="AF164" i="1" a="1"/>
  <c r="BG163" i="1"/>
  <c r="BG163" i="1" a="1"/>
  <c r="AJ163" i="1" a="1"/>
  <c r="AJ163" i="1" s="1"/>
  <c r="AF163" i="1" a="1"/>
  <c r="AF163" i="1" s="1"/>
  <c r="BG162" i="1" a="1"/>
  <c r="BG162" i="1" s="1"/>
  <c r="AJ162" i="1"/>
  <c r="AJ162" i="1" a="1"/>
  <c r="AF162" i="1" a="1"/>
  <c r="AF162" i="1" s="1"/>
  <c r="BG161" i="1" a="1"/>
  <c r="BG161" i="1" s="1"/>
  <c r="AJ161" i="1" a="1"/>
  <c r="AJ161" i="1" s="1"/>
  <c r="AF161" i="1"/>
  <c r="AF161" i="1" a="1"/>
  <c r="BG160" i="1"/>
  <c r="BG160" i="1" a="1"/>
  <c r="AJ160" i="1" a="1"/>
  <c r="AJ160" i="1" s="1"/>
  <c r="AF160" i="1" a="1"/>
  <c r="AF160" i="1" s="1"/>
  <c r="BG159" i="1"/>
  <c r="BG159" i="1" a="1"/>
  <c r="AJ159" i="1" a="1"/>
  <c r="AJ159" i="1" s="1"/>
  <c r="AF159" i="1"/>
  <c r="AF159" i="1" a="1"/>
  <c r="BG158" i="1"/>
  <c r="BG158" i="1" a="1"/>
  <c r="AJ158" i="1"/>
  <c r="AJ158" i="1" a="1"/>
  <c r="AF158" i="1" a="1"/>
  <c r="AF158" i="1" s="1"/>
  <c r="BG157" i="1"/>
  <c r="BG157" i="1" a="1"/>
  <c r="AJ157" i="1" a="1"/>
  <c r="AJ157" i="1" s="1"/>
  <c r="AF157" i="1"/>
  <c r="AF157" i="1" a="1"/>
  <c r="BG156" i="1" a="1"/>
  <c r="BG156" i="1" s="1"/>
  <c r="AJ156" i="1" a="1"/>
  <c r="AJ156" i="1" s="1"/>
  <c r="AF156" i="1"/>
  <c r="AF156" i="1" a="1"/>
  <c r="BG155" i="1" a="1"/>
  <c r="BG155" i="1" s="1"/>
  <c r="AJ155" i="1" a="1"/>
  <c r="AJ155" i="1" s="1"/>
  <c r="AF155" i="1" a="1"/>
  <c r="AF155" i="1" s="1"/>
  <c r="BG154" i="1" a="1"/>
  <c r="BG154" i="1" s="1"/>
  <c r="AJ154" i="1"/>
  <c r="AJ154" i="1" a="1"/>
  <c r="AF154" i="1" a="1"/>
  <c r="AF154" i="1" s="1"/>
  <c r="BG153" i="1"/>
  <c r="BG153" i="1" a="1"/>
  <c r="AJ153" i="1" a="1"/>
  <c r="AJ153" i="1" s="1"/>
  <c r="AF153" i="1"/>
  <c r="AF153" i="1" a="1"/>
  <c r="BG152" i="1"/>
  <c r="BG152" i="1" a="1"/>
  <c r="AJ152" i="1"/>
  <c r="AJ152" i="1" a="1"/>
  <c r="AF152" i="1" a="1"/>
  <c r="AF152" i="1" s="1"/>
  <c r="BG151" i="1"/>
  <c r="BG151" i="1" a="1"/>
  <c r="AJ151" i="1" a="1"/>
  <c r="AJ151" i="1" s="1"/>
  <c r="AF151" i="1"/>
  <c r="AF151" i="1" a="1"/>
  <c r="BG150" i="1"/>
  <c r="BG150" i="1" a="1"/>
  <c r="AJ150" i="1" a="1"/>
  <c r="AJ150" i="1" s="1"/>
  <c r="AF150" i="1" a="1"/>
  <c r="AF150" i="1" s="1"/>
  <c r="BG149" i="1" a="1"/>
  <c r="BG149" i="1" s="1"/>
  <c r="AJ149" i="1" a="1"/>
  <c r="AJ149" i="1" s="1"/>
  <c r="AF149" i="1"/>
  <c r="AF149" i="1" a="1"/>
  <c r="BG148" i="1"/>
  <c r="BG148" i="1" a="1"/>
  <c r="AJ148" i="1" a="1"/>
  <c r="AJ148" i="1" s="1"/>
  <c r="AF148" i="1"/>
  <c r="AF148" i="1" a="1"/>
  <c r="BG147" i="1" a="1"/>
  <c r="BG147" i="1" s="1"/>
  <c r="AJ147" i="1"/>
  <c r="AJ147" i="1" a="1"/>
  <c r="AF147" i="1"/>
  <c r="AF147" i="1" a="1"/>
  <c r="BG146" i="1" a="1"/>
  <c r="BG146" i="1" s="1"/>
  <c r="AJ146" i="1"/>
  <c r="AJ146" i="1" a="1"/>
  <c r="AF146" i="1"/>
  <c r="AF146" i="1" a="1"/>
  <c r="BG145" i="1" a="1"/>
  <c r="BG145" i="1" s="1"/>
  <c r="AJ145" i="1" a="1"/>
  <c r="AJ145" i="1" s="1"/>
  <c r="AF145" i="1"/>
  <c r="AF145" i="1" a="1"/>
  <c r="BG144" i="1"/>
  <c r="BG144" i="1" a="1"/>
  <c r="AJ144" i="1" a="1"/>
  <c r="AJ144" i="1" s="1"/>
  <c r="AF144" i="1" a="1"/>
  <c r="AF144" i="1" s="1"/>
  <c r="BG143" i="1"/>
  <c r="BG143" i="1" a="1"/>
  <c r="AJ143" i="1"/>
  <c r="AJ143" i="1" a="1"/>
  <c r="AF143" i="1"/>
  <c r="AF143" i="1" a="1"/>
  <c r="BG142" i="1" a="1"/>
  <c r="BG142" i="1" s="1"/>
  <c r="AJ142" i="1" a="1"/>
  <c r="AJ142" i="1" s="1"/>
  <c r="AF142" i="1"/>
  <c r="AF142" i="1" a="1"/>
  <c r="BG141" i="1"/>
  <c r="BG141" i="1" a="1"/>
  <c r="AJ141" i="1" a="1"/>
  <c r="AJ141" i="1" s="1"/>
  <c r="AF141" i="1"/>
  <c r="AF141" i="1" a="1"/>
  <c r="BG140" i="1"/>
  <c r="BG140" i="1" a="1"/>
  <c r="AJ140" i="1" a="1"/>
  <c r="AJ140" i="1" s="1"/>
  <c r="AF140" i="1"/>
  <c r="AF140" i="1" a="1"/>
  <c r="BG139" i="1" a="1"/>
  <c r="BG139" i="1" s="1"/>
  <c r="AJ139" i="1" a="1"/>
  <c r="AJ139" i="1" s="1"/>
  <c r="AF139" i="1" a="1"/>
  <c r="AF139" i="1" s="1"/>
  <c r="BG138" i="1" a="1"/>
  <c r="BG138" i="1" s="1"/>
  <c r="AJ138" i="1"/>
  <c r="AJ138" i="1" a="1"/>
  <c r="AF138" i="1"/>
  <c r="AF138" i="1" a="1"/>
  <c r="BG137" i="1"/>
  <c r="BG137" i="1" a="1"/>
  <c r="AJ137" i="1" a="1"/>
  <c r="AJ137" i="1" s="1"/>
  <c r="AF137" i="1" a="1"/>
  <c r="AF137" i="1" s="1"/>
  <c r="BG136" i="1" a="1"/>
  <c r="BG136" i="1" s="1"/>
  <c r="AJ136" i="1"/>
  <c r="AJ136" i="1" a="1"/>
  <c r="AF136" i="1" a="1"/>
  <c r="AF136" i="1" s="1"/>
  <c r="BG135" i="1"/>
  <c r="BG135" i="1" a="1"/>
  <c r="AJ135" i="1"/>
  <c r="AJ135" i="1" a="1"/>
  <c r="AF135" i="1"/>
  <c r="AF135" i="1" a="1"/>
  <c r="BG134" i="1" a="1"/>
  <c r="BG134" i="1" s="1"/>
  <c r="AJ134" i="1"/>
  <c r="AJ134" i="1" a="1"/>
  <c r="AF134" i="1" a="1"/>
  <c r="AF134" i="1" s="1"/>
  <c r="BG133" i="1"/>
  <c r="BG133" i="1" a="1"/>
  <c r="AJ133" i="1" a="1"/>
  <c r="AJ133" i="1" s="1"/>
  <c r="AF133" i="1"/>
  <c r="AF133" i="1" a="1"/>
  <c r="BG132" i="1"/>
  <c r="BG132" i="1" a="1"/>
  <c r="AJ132" i="1"/>
  <c r="AJ132" i="1" a="1"/>
  <c r="AF132" i="1"/>
  <c r="AF132" i="1" a="1"/>
  <c r="BG131" i="1"/>
  <c r="BG131" i="1" a="1"/>
  <c r="AJ131" i="1" a="1"/>
  <c r="AJ131" i="1" s="1"/>
  <c r="AF131" i="1" a="1"/>
  <c r="AF131" i="1" s="1"/>
  <c r="BG130" i="1" a="1"/>
  <c r="BG130" i="1" s="1"/>
  <c r="AJ130" i="1"/>
  <c r="AJ130" i="1" a="1"/>
  <c r="AF130" i="1" a="1"/>
  <c r="AF130" i="1" s="1"/>
  <c r="BG129" i="1"/>
  <c r="BG129" i="1" a="1"/>
  <c r="AJ129" i="1"/>
  <c r="AJ129" i="1" a="1"/>
  <c r="AF129" i="1"/>
  <c r="AF129" i="1" a="1"/>
  <c r="BG128" i="1"/>
  <c r="BG128" i="1" a="1"/>
  <c r="AJ128" i="1" a="1"/>
  <c r="AJ128" i="1" s="1"/>
  <c r="AF128" i="1" a="1"/>
  <c r="AF128" i="1" s="1"/>
  <c r="BG127" i="1"/>
  <c r="BG127" i="1" a="1"/>
  <c r="AJ127" i="1"/>
  <c r="AJ127" i="1" a="1"/>
  <c r="AF127" i="1" a="1"/>
  <c r="AF127" i="1" s="1"/>
  <c r="BG126" i="1"/>
  <c r="BG126" i="1" a="1"/>
  <c r="AJ126" i="1"/>
  <c r="AJ126" i="1" a="1"/>
  <c r="AF126" i="1" a="1"/>
  <c r="AF126" i="1" s="1"/>
  <c r="BG125" i="1"/>
  <c r="BG125" i="1" a="1"/>
  <c r="AJ125" i="1" a="1"/>
  <c r="AJ125" i="1" s="1"/>
  <c r="AF125" i="1"/>
  <c r="AF125" i="1" a="1"/>
  <c r="BG124" i="1"/>
  <c r="BG124" i="1" a="1"/>
  <c r="AJ124" i="1" a="1"/>
  <c r="AJ124" i="1" s="1"/>
  <c r="AF124" i="1"/>
  <c r="AF124" i="1" a="1"/>
  <c r="BG123" i="1" a="1"/>
  <c r="BG123" i="1" s="1"/>
  <c r="AJ123" i="1" a="1"/>
  <c r="AJ123" i="1" s="1"/>
  <c r="AF123" i="1" a="1"/>
  <c r="AF123" i="1" s="1"/>
  <c r="BG122" i="1" a="1"/>
  <c r="BG122" i="1" s="1"/>
  <c r="AJ122" i="1"/>
  <c r="AJ122" i="1" a="1"/>
  <c r="AF122" i="1" a="1"/>
  <c r="AF122" i="1" s="1"/>
  <c r="BG121" i="1"/>
  <c r="BG121" i="1" a="1"/>
  <c r="AJ121" i="1"/>
  <c r="AJ121" i="1" a="1"/>
  <c r="AF121" i="1" a="1"/>
  <c r="AF121" i="1" s="1"/>
  <c r="BG120" i="1" a="1"/>
  <c r="BG120" i="1" s="1"/>
  <c r="AJ120" i="1"/>
  <c r="AJ120" i="1" a="1"/>
  <c r="AF120" i="1" a="1"/>
  <c r="AF120" i="1" s="1"/>
  <c r="BG119" i="1"/>
  <c r="BG119" i="1" a="1"/>
  <c r="AJ119" i="1" a="1"/>
  <c r="AJ119" i="1" s="1"/>
  <c r="AF119" i="1"/>
  <c r="AF119" i="1" a="1"/>
  <c r="BG118" i="1" a="1"/>
  <c r="BG118" i="1" s="1"/>
  <c r="AJ118" i="1" a="1"/>
  <c r="AJ118" i="1" s="1"/>
  <c r="AF118" i="1"/>
  <c r="AF118" i="1" a="1"/>
  <c r="BG117" i="1"/>
  <c r="BG117" i="1" a="1"/>
  <c r="AJ117" i="1" a="1"/>
  <c r="AJ117" i="1" s="1"/>
  <c r="AF117" i="1"/>
  <c r="AF117" i="1" a="1"/>
  <c r="BG116" i="1"/>
  <c r="BG116" i="1" a="1"/>
  <c r="AJ116" i="1" a="1"/>
  <c r="AJ116" i="1" s="1"/>
  <c r="AF116" i="1"/>
  <c r="AF116" i="1" a="1"/>
  <c r="BG115" i="1"/>
  <c r="BG115" i="1" a="1"/>
  <c r="AJ115" i="1" a="1"/>
  <c r="AJ115" i="1" s="1"/>
  <c r="AF115" i="1"/>
  <c r="AF115" i="1" a="1"/>
  <c r="BG114" i="1" a="1"/>
  <c r="BG114" i="1" s="1"/>
  <c r="AJ114" i="1"/>
  <c r="AJ114" i="1" a="1"/>
  <c r="AF114" i="1"/>
  <c r="AF114" i="1" a="1"/>
  <c r="BG113" i="1" a="1"/>
  <c r="BG113" i="1" s="1"/>
  <c r="AJ113" i="1" a="1"/>
  <c r="AJ113" i="1" s="1"/>
  <c r="AF113" i="1" a="1"/>
  <c r="AF113" i="1" s="1"/>
  <c r="BG112" i="1"/>
  <c r="BG112" i="1" a="1"/>
  <c r="AJ112" i="1"/>
  <c r="AJ112" i="1" a="1"/>
  <c r="AF112" i="1" a="1"/>
  <c r="AF112" i="1" s="1"/>
  <c r="BG111" i="1"/>
  <c r="BG111" i="1" a="1"/>
  <c r="AJ111" i="1"/>
  <c r="AJ111" i="1" a="1"/>
  <c r="AF111" i="1" a="1"/>
  <c r="AF111" i="1" s="1"/>
  <c r="BG110" i="1" a="1"/>
  <c r="BG110" i="1" s="1"/>
  <c r="AJ110" i="1"/>
  <c r="AJ110" i="1" a="1"/>
  <c r="AF110" i="1" a="1"/>
  <c r="AF110" i="1" s="1"/>
  <c r="BG109" i="1"/>
  <c r="BG109" i="1" a="1"/>
  <c r="AJ109" i="1" a="1"/>
  <c r="AJ109" i="1" s="1"/>
  <c r="AF109" i="1"/>
  <c r="AF109" i="1" a="1"/>
  <c r="BG108" i="1"/>
  <c r="BG108" i="1" a="1"/>
  <c r="AJ108" i="1" a="1"/>
  <c r="AJ108" i="1" s="1"/>
  <c r="AF108" i="1"/>
  <c r="AF108" i="1" a="1"/>
  <c r="BG107" i="1" a="1"/>
  <c r="BG107" i="1" s="1"/>
  <c r="AJ107" i="1" a="1"/>
  <c r="AJ107" i="1" s="1"/>
  <c r="AF107" i="1" a="1"/>
  <c r="AF107" i="1" s="1"/>
  <c r="BG106" i="1" a="1"/>
  <c r="BG106" i="1" s="1"/>
  <c r="AJ106" i="1"/>
  <c r="AJ106" i="1" a="1"/>
  <c r="AF106" i="1"/>
  <c r="AF106" i="1" a="1"/>
  <c r="BG105" i="1"/>
  <c r="BG105" i="1" a="1"/>
  <c r="AJ105" i="1" a="1"/>
  <c r="AJ105" i="1" s="1"/>
  <c r="AF105" i="1"/>
  <c r="AF105" i="1" a="1"/>
  <c r="BG104" i="1"/>
  <c r="BG104" i="1" a="1"/>
  <c r="AJ104" i="1" a="1"/>
  <c r="AJ104" i="1" s="1"/>
  <c r="AF104" i="1" a="1"/>
  <c r="AF104" i="1" s="1"/>
  <c r="BG103" i="1"/>
  <c r="BG103" i="1" a="1"/>
  <c r="AJ103" i="1"/>
  <c r="AJ103" i="1" a="1"/>
  <c r="AF103" i="1"/>
  <c r="AF103" i="1" a="1"/>
  <c r="BG102" i="1"/>
  <c r="BG102" i="1" a="1"/>
  <c r="AJ102" i="1"/>
  <c r="AJ102" i="1" a="1"/>
  <c r="AF102" i="1" a="1"/>
  <c r="AF102" i="1" s="1"/>
  <c r="BG101" i="1" a="1"/>
  <c r="BG101" i="1" s="1"/>
  <c r="AJ101" i="1" a="1"/>
  <c r="AJ101" i="1" s="1"/>
  <c r="AF101" i="1"/>
  <c r="AF101" i="1" a="1"/>
  <c r="BG100" i="1" a="1"/>
  <c r="BG100" i="1" s="1"/>
  <c r="AJ100" i="1" a="1"/>
  <c r="AJ100" i="1" s="1"/>
  <c r="AF100" i="1"/>
  <c r="AF100" i="1" a="1"/>
  <c r="BG99" i="1"/>
  <c r="BG99" i="1" a="1"/>
  <c r="AJ99" i="1" a="1"/>
  <c r="AJ99" i="1" s="1"/>
  <c r="AF99" i="1"/>
  <c r="AF99" i="1" a="1"/>
  <c r="BG98" i="1" a="1"/>
  <c r="BG98" i="1" s="1"/>
  <c r="AJ98" i="1"/>
  <c r="AJ98" i="1" a="1"/>
  <c r="AF98" i="1"/>
  <c r="AF98" i="1" a="1"/>
  <c r="BG97" i="1"/>
  <c r="BG97" i="1" a="1"/>
  <c r="AJ97" i="1"/>
  <c r="AJ97" i="1" a="1"/>
  <c r="AF97" i="1"/>
  <c r="AF97" i="1" a="1"/>
  <c r="BG96" i="1" a="1"/>
  <c r="BG96" i="1" s="1"/>
  <c r="AJ96" i="1"/>
  <c r="AJ96" i="1" a="1"/>
  <c r="AF96" i="1" a="1"/>
  <c r="AF96" i="1" s="1"/>
  <c r="BG95" i="1"/>
  <c r="BG95" i="1" a="1"/>
  <c r="AJ95" i="1" a="1"/>
  <c r="AJ95" i="1" s="1"/>
  <c r="AF95" i="1"/>
  <c r="AF95" i="1" a="1"/>
  <c r="BG94" i="1"/>
  <c r="BG94" i="1" a="1"/>
  <c r="AJ94" i="1"/>
  <c r="AJ94" i="1" a="1"/>
  <c r="AF94" i="1"/>
  <c r="AF94" i="1" a="1"/>
  <c r="BG93" i="1"/>
  <c r="BG93" i="1" a="1"/>
  <c r="AJ93" i="1" a="1"/>
  <c r="AJ93" i="1" s="1"/>
  <c r="AF93" i="1"/>
  <c r="AF93" i="1" a="1"/>
  <c r="BG92" i="1"/>
  <c r="BG92" i="1" a="1"/>
  <c r="AJ92" i="1" a="1"/>
  <c r="AJ92" i="1" s="1"/>
  <c r="AF92" i="1" a="1"/>
  <c r="AF92" i="1" s="1"/>
  <c r="BG91" i="1" a="1"/>
  <c r="BG91" i="1" s="1"/>
  <c r="AJ91" i="1"/>
  <c r="AJ91" i="1" a="1"/>
  <c r="AF91" i="1" a="1"/>
  <c r="AF91" i="1" s="1"/>
  <c r="BG90" i="1" a="1"/>
  <c r="BG90" i="1" s="1"/>
  <c r="AJ90" i="1"/>
  <c r="AJ90" i="1" a="1"/>
  <c r="AF90" i="1" a="1"/>
  <c r="AF90" i="1" s="1"/>
  <c r="BG89" i="1" a="1"/>
  <c r="BG89" i="1" s="1"/>
  <c r="AJ89" i="1" a="1"/>
  <c r="AJ89" i="1" s="1"/>
  <c r="AF89" i="1"/>
  <c r="AF89" i="1" a="1"/>
  <c r="BG88" i="1"/>
  <c r="BG88" i="1" a="1"/>
  <c r="AJ88" i="1"/>
  <c r="AJ88" i="1" a="1"/>
  <c r="AF88" i="1" a="1"/>
  <c r="AF88" i="1" s="1"/>
  <c r="BG87" i="1"/>
  <c r="BG87" i="1" a="1"/>
  <c r="AJ87" i="1" a="1"/>
  <c r="AJ87" i="1" s="1"/>
  <c r="AF87" i="1" a="1"/>
  <c r="AF87" i="1" s="1"/>
  <c r="BG86" i="1"/>
  <c r="BG86" i="1" a="1"/>
  <c r="AJ86" i="1"/>
  <c r="AJ86" i="1" a="1"/>
  <c r="AF86" i="1" a="1"/>
  <c r="AF86" i="1" s="1"/>
  <c r="BG85" i="1" a="1"/>
  <c r="BG85" i="1" s="1"/>
  <c r="AJ85" i="1" a="1"/>
  <c r="AJ85" i="1" s="1"/>
  <c r="AF85" i="1"/>
  <c r="AF85" i="1" a="1"/>
  <c r="BG84" i="1"/>
  <c r="BG84" i="1" a="1"/>
  <c r="AJ84" i="1" a="1"/>
  <c r="AJ84" i="1" s="1"/>
  <c r="AF84" i="1" a="1"/>
  <c r="AF84" i="1" s="1"/>
  <c r="BG83" i="1" a="1"/>
  <c r="BG83" i="1" s="1"/>
  <c r="AJ83" i="1"/>
  <c r="AJ83" i="1" a="1"/>
  <c r="AF83" i="1" a="1"/>
  <c r="AF83" i="1" s="1"/>
  <c r="BG82" i="1" a="1"/>
  <c r="BG82" i="1" s="1"/>
  <c r="AJ82" i="1"/>
  <c r="AJ82" i="1" a="1"/>
  <c r="AF82" i="1"/>
  <c r="AF82" i="1" a="1"/>
  <c r="BG81" i="1" a="1"/>
  <c r="BG81" i="1" s="1"/>
  <c r="AJ81" i="1" a="1"/>
  <c r="AJ81" i="1" s="1"/>
  <c r="AF81" i="1"/>
  <c r="AF81" i="1" a="1"/>
  <c r="BG80" i="1"/>
  <c r="BG80" i="1" a="1"/>
  <c r="AJ80" i="1" a="1"/>
  <c r="AJ80" i="1" s="1"/>
  <c r="AF80" i="1" a="1"/>
  <c r="AF80" i="1" s="1"/>
  <c r="BG79" i="1"/>
  <c r="BG79" i="1" a="1"/>
  <c r="AJ79" i="1"/>
  <c r="AJ79" i="1" a="1"/>
  <c r="AF79" i="1"/>
  <c r="AF79" i="1" a="1"/>
  <c r="BG78" i="1" a="1"/>
  <c r="BG78" i="1" s="1"/>
  <c r="AJ78" i="1" a="1"/>
  <c r="AJ78" i="1" s="1"/>
  <c r="AF78" i="1"/>
  <c r="AF78" i="1" a="1"/>
  <c r="BG77" i="1" a="1"/>
  <c r="BG77" i="1" s="1"/>
  <c r="AJ77" i="1" a="1"/>
  <c r="AJ77" i="1" s="1"/>
  <c r="AF77" i="1"/>
  <c r="AF77" i="1" a="1"/>
  <c r="BG76" i="1" a="1"/>
  <c r="BG76" i="1" s="1"/>
  <c r="AJ76" i="1" a="1"/>
  <c r="AJ76" i="1" s="1"/>
  <c r="AF76" i="1" a="1"/>
  <c r="AF76" i="1" s="1"/>
  <c r="BG75" i="1" a="1"/>
  <c r="BG75" i="1" s="1"/>
  <c r="AJ75" i="1" a="1"/>
  <c r="AJ75" i="1" s="1"/>
  <c r="AF75" i="1"/>
  <c r="AF75" i="1" a="1"/>
  <c r="BG74" i="1" a="1"/>
  <c r="BG74" i="1" s="1"/>
  <c r="AJ74" i="1"/>
  <c r="AJ74" i="1" a="1"/>
  <c r="AF74" i="1" a="1"/>
  <c r="AF74" i="1" s="1"/>
  <c r="BG73" i="1" a="1"/>
  <c r="BG73" i="1" s="1"/>
  <c r="AJ73" i="1"/>
  <c r="AJ73" i="1" a="1"/>
  <c r="AF73" i="1"/>
  <c r="AF73" i="1" a="1"/>
  <c r="BG72" i="1" a="1"/>
  <c r="BG72" i="1" s="1"/>
  <c r="AJ72" i="1"/>
  <c r="AJ72" i="1" a="1"/>
  <c r="AF72" i="1" a="1"/>
  <c r="AF72" i="1" s="1"/>
  <c r="BG71" i="1"/>
  <c r="BG71" i="1" a="1"/>
  <c r="AJ71" i="1"/>
  <c r="AJ71" i="1" a="1"/>
  <c r="AF71" i="1" a="1"/>
  <c r="AF71" i="1" s="1"/>
  <c r="BG70" i="1"/>
  <c r="BG70" i="1" a="1"/>
  <c r="AJ70" i="1" a="1"/>
  <c r="AJ70" i="1" s="1"/>
  <c r="AF70" i="1"/>
  <c r="AF70" i="1" a="1"/>
  <c r="BG69" i="1" a="1"/>
  <c r="BG69" i="1" s="1"/>
  <c r="AJ69" i="1" a="1"/>
  <c r="AJ69" i="1" s="1"/>
  <c r="AF69" i="1"/>
  <c r="AF69" i="1" a="1"/>
  <c r="BG68" i="1"/>
  <c r="BG68" i="1" a="1"/>
  <c r="AJ68" i="1"/>
  <c r="AJ68" i="1" a="1"/>
  <c r="AF68" i="1"/>
  <c r="AF68" i="1" a="1"/>
  <c r="BG67" i="1"/>
  <c r="BG67" i="1" a="1"/>
  <c r="AJ67" i="1" a="1"/>
  <c r="AJ67" i="1" s="1"/>
  <c r="AF67" i="1" a="1"/>
  <c r="AF67" i="1" s="1"/>
  <c r="BG66" i="1" a="1"/>
  <c r="BG66" i="1" s="1"/>
  <c r="AJ66" i="1"/>
  <c r="AJ66" i="1" a="1"/>
  <c r="AF66" i="1"/>
  <c r="AF66" i="1" a="1"/>
  <c r="BG65" i="1"/>
  <c r="BG65" i="1" a="1"/>
  <c r="AJ65" i="1"/>
  <c r="AJ65" i="1" a="1"/>
  <c r="AF65" i="1"/>
  <c r="AF65" i="1" a="1"/>
  <c r="BG64" i="1" a="1"/>
  <c r="BG64" i="1" s="1"/>
  <c r="AJ64" i="1" a="1"/>
  <c r="AJ64" i="1" s="1"/>
  <c r="AF64" i="1" a="1"/>
  <c r="AF64" i="1" s="1"/>
  <c r="BG63" i="1"/>
  <c r="BG63" i="1" a="1"/>
  <c r="AJ63" i="1"/>
  <c r="AJ63" i="1" a="1"/>
  <c r="AF63" i="1"/>
  <c r="AF63" i="1" a="1"/>
  <c r="BG62" i="1"/>
  <c r="BG62" i="1" a="1"/>
  <c r="AJ62" i="1"/>
  <c r="AJ62" i="1" a="1"/>
  <c r="AF62" i="1"/>
  <c r="AF62" i="1" a="1"/>
  <c r="BG61" i="1" a="1"/>
  <c r="BG61" i="1" s="1"/>
  <c r="AJ61" i="1" a="1"/>
  <c r="AJ61" i="1" s="1"/>
  <c r="AF61" i="1"/>
  <c r="AF61" i="1" a="1"/>
  <c r="BG60" i="1" a="1"/>
  <c r="BG60" i="1" s="1"/>
  <c r="AJ60" i="1" a="1"/>
  <c r="AJ60" i="1" s="1"/>
  <c r="AF60" i="1" a="1"/>
  <c r="AF60" i="1" s="1"/>
  <c r="BG59" i="1" a="1"/>
  <c r="BG59" i="1" s="1"/>
  <c r="AJ59" i="1"/>
  <c r="AJ59" i="1" a="1"/>
  <c r="AF59" i="1" a="1"/>
  <c r="AF59" i="1" s="1"/>
  <c r="BG58" i="1" a="1"/>
  <c r="BG58" i="1" s="1"/>
  <c r="AJ58" i="1"/>
  <c r="AJ58" i="1" a="1"/>
  <c r="AF58" i="1" a="1"/>
  <c r="AF58" i="1" s="1"/>
  <c r="BG57" i="1" a="1"/>
  <c r="BG57" i="1" s="1"/>
  <c r="AJ57" i="1"/>
  <c r="AJ57" i="1" a="1"/>
  <c r="AF57" i="1" a="1"/>
  <c r="AF57" i="1" s="1"/>
  <c r="BG56" i="1" a="1"/>
  <c r="BG56" i="1" s="1"/>
  <c r="AJ56" i="1"/>
  <c r="AJ56" i="1" a="1"/>
  <c r="AF56" i="1" a="1"/>
  <c r="AF56" i="1" s="1"/>
  <c r="BG55" i="1"/>
  <c r="BG55" i="1" a="1"/>
  <c r="AJ55" i="1"/>
  <c r="AJ55" i="1" a="1"/>
  <c r="AF55" i="1" a="1"/>
  <c r="AF55" i="1" s="1"/>
  <c r="BG54" i="1" a="1"/>
  <c r="BG54" i="1" s="1"/>
  <c r="AJ54" i="1"/>
  <c r="AJ54" i="1" a="1"/>
  <c r="AF54" i="1" a="1"/>
  <c r="AF54" i="1" s="1"/>
  <c r="BG53" i="1" a="1"/>
  <c r="BG53" i="1" s="1"/>
  <c r="AJ53" i="1" a="1"/>
  <c r="AJ53" i="1" s="1"/>
  <c r="AF53" i="1"/>
  <c r="AF53" i="1" a="1"/>
  <c r="BG52" i="1"/>
  <c r="BG52" i="1" a="1"/>
  <c r="AJ52" i="1" a="1"/>
  <c r="AJ52" i="1" s="1"/>
  <c r="AF52" i="1" a="1"/>
  <c r="AF52" i="1" s="1"/>
  <c r="BG51" i="1"/>
  <c r="BG51" i="1" a="1"/>
  <c r="AJ51" i="1" a="1"/>
  <c r="AJ51" i="1" s="1"/>
  <c r="AF51" i="1"/>
  <c r="AF51" i="1" a="1"/>
  <c r="BG50" i="1" a="1"/>
  <c r="BG50" i="1" s="1"/>
  <c r="AJ50" i="1"/>
  <c r="AJ50" i="1" a="1"/>
  <c r="AF50" i="1" a="1"/>
  <c r="AF50" i="1" s="1"/>
  <c r="BG49" i="1"/>
  <c r="BG49" i="1" a="1"/>
  <c r="AJ49" i="1" a="1"/>
  <c r="AJ49" i="1" s="1"/>
  <c r="AF49" i="1"/>
  <c r="AF49" i="1" a="1"/>
  <c r="BG48" i="1" a="1"/>
  <c r="BG48" i="1" s="1"/>
  <c r="AJ48" i="1" a="1"/>
  <c r="AJ48" i="1" s="1"/>
  <c r="AF48" i="1" a="1"/>
  <c r="AF48" i="1" s="1"/>
  <c r="BG47" i="1"/>
  <c r="BG47" i="1" a="1"/>
  <c r="AJ47" i="1"/>
  <c r="AJ47" i="1" a="1"/>
  <c r="AF47" i="1"/>
  <c r="AF47" i="1" a="1"/>
  <c r="BG46" i="1" a="1"/>
  <c r="BG46" i="1" s="1"/>
  <c r="AJ46" i="1" a="1"/>
  <c r="AJ46" i="1" s="1"/>
  <c r="AF46" i="1"/>
  <c r="AF46" i="1" a="1"/>
  <c r="BG45" i="1"/>
  <c r="BG45" i="1" a="1"/>
  <c r="AJ45" i="1" a="1"/>
  <c r="AJ45" i="1" s="1"/>
  <c r="AF45" i="1"/>
  <c r="AF45" i="1" a="1"/>
  <c r="BG44" i="1" a="1"/>
  <c r="BG44" i="1" s="1"/>
  <c r="AJ44" i="1"/>
  <c r="AJ44" i="1" a="1"/>
  <c r="AF44" i="1"/>
  <c r="AF44" i="1" a="1"/>
  <c r="BG43" i="1" a="1"/>
  <c r="BG43" i="1" s="1"/>
  <c r="AJ43" i="1" a="1"/>
  <c r="AJ43" i="1" s="1"/>
  <c r="AF43" i="1"/>
  <c r="AF43" i="1" a="1"/>
  <c r="BG42" i="1" a="1"/>
  <c r="BG42" i="1" s="1"/>
  <c r="AJ42" i="1"/>
  <c r="AJ42" i="1" a="1"/>
  <c r="AF42" i="1"/>
  <c r="AF42" i="1" a="1"/>
  <c r="BG41" i="1" a="1"/>
  <c r="BG41" i="1" s="1"/>
  <c r="AJ41" i="1" a="1"/>
  <c r="AJ41" i="1" s="1"/>
  <c r="AF41" i="1"/>
  <c r="AF41" i="1" a="1"/>
  <c r="BG40" i="1" a="1"/>
  <c r="BG40" i="1" s="1"/>
  <c r="AJ40" i="1" a="1"/>
  <c r="AJ40" i="1" s="1"/>
  <c r="AF40" i="1" a="1"/>
  <c r="AF40" i="1" s="1"/>
  <c r="BG39" i="1"/>
  <c r="BG39" i="1" a="1"/>
  <c r="AJ39" i="1"/>
  <c r="AJ39" i="1" a="1"/>
  <c r="AF39" i="1"/>
  <c r="AF39" i="1" a="1"/>
  <c r="BG38" i="1"/>
  <c r="BG38" i="1" a="1"/>
  <c r="AJ38" i="1" a="1"/>
  <c r="AJ38" i="1" s="1"/>
  <c r="AF38" i="1" a="1"/>
  <c r="AF38" i="1" s="1"/>
  <c r="BG37" i="1" a="1"/>
  <c r="BG37" i="1" s="1"/>
  <c r="AJ37" i="1" a="1"/>
  <c r="AJ37" i="1" s="1"/>
  <c r="AF37" i="1"/>
  <c r="AF37" i="1" a="1"/>
  <c r="BG36" i="1"/>
  <c r="BG36" i="1" a="1"/>
  <c r="AJ36" i="1"/>
  <c r="AJ36" i="1" a="1"/>
  <c r="AF36" i="1"/>
  <c r="AF36" i="1" a="1"/>
  <c r="BG35" i="1" a="1"/>
  <c r="BG35" i="1" s="1"/>
  <c r="AJ35" i="1"/>
  <c r="AJ35" i="1" a="1"/>
  <c r="AF35" i="1" a="1"/>
  <c r="AF35" i="1" s="1"/>
  <c r="BG34" i="1" a="1"/>
  <c r="BG34" i="1" s="1"/>
  <c r="AJ34" i="1"/>
  <c r="AJ34" i="1" a="1"/>
  <c r="AF34" i="1" a="1"/>
  <c r="AF34" i="1" s="1"/>
  <c r="BG33" i="1" a="1"/>
  <c r="BG33" i="1" s="1"/>
  <c r="AJ33" i="1"/>
  <c r="AJ33" i="1" a="1"/>
  <c r="AF33" i="1"/>
  <c r="AF33" i="1" a="1"/>
  <c r="BG32" i="1" a="1"/>
  <c r="BG32" i="1" s="1"/>
  <c r="AJ32" i="1" a="1"/>
  <c r="AJ32" i="1" s="1"/>
  <c r="AF32" i="1" a="1"/>
  <c r="AF32" i="1" s="1"/>
  <c r="BG31" i="1"/>
  <c r="BG31" i="1" a="1"/>
  <c r="AJ31" i="1" a="1"/>
  <c r="AJ31" i="1" s="1"/>
  <c r="AF31" i="1" a="1"/>
  <c r="AF31" i="1" s="1"/>
  <c r="BG30" i="1" a="1"/>
  <c r="BG30" i="1" s="1"/>
  <c r="AJ30" i="1"/>
  <c r="AJ30" i="1" a="1"/>
  <c r="AF30" i="1" a="1"/>
  <c r="AF30" i="1" s="1"/>
  <c r="BG29" i="1"/>
  <c r="BG29" i="1" a="1"/>
  <c r="AJ29" i="1" a="1"/>
  <c r="AJ29" i="1" s="1"/>
  <c r="AF29" i="1"/>
  <c r="AF29" i="1" a="1"/>
  <c r="BG28" i="1"/>
  <c r="BG28" i="1" a="1"/>
  <c r="AJ28" i="1" a="1"/>
  <c r="AJ28" i="1" s="1"/>
  <c r="AF28" i="1" a="1"/>
  <c r="AF28" i="1" s="1"/>
  <c r="BG27" i="1" a="1"/>
  <c r="BG27" i="1" s="1"/>
  <c r="AJ27" i="1"/>
  <c r="AJ27" i="1" a="1"/>
  <c r="AF27" i="1"/>
  <c r="AF27" i="1" a="1"/>
  <c r="BG26" i="1" a="1"/>
  <c r="BG26" i="1" s="1"/>
  <c r="AJ26" i="1"/>
  <c r="AJ26" i="1" a="1"/>
  <c r="AF26" i="1" a="1"/>
  <c r="AF26" i="1" s="1"/>
  <c r="BG25" i="1"/>
  <c r="BG25" i="1" a="1"/>
  <c r="AJ25" i="1"/>
  <c r="AJ25" i="1" a="1"/>
  <c r="AF25" i="1"/>
  <c r="AF25" i="1" a="1"/>
  <c r="BG24" i="1"/>
  <c r="BG24" i="1" a="1"/>
  <c r="AJ24" i="1" a="1"/>
  <c r="AJ24" i="1" s="1"/>
  <c r="AF24" i="1" a="1"/>
  <c r="AF24" i="1" s="1"/>
  <c r="BG23" i="1"/>
  <c r="BG23" i="1" a="1"/>
  <c r="AJ23" i="1"/>
  <c r="AJ23" i="1" a="1"/>
  <c r="AF23" i="1" a="1"/>
  <c r="AF23" i="1" s="1"/>
  <c r="BG22" i="1"/>
  <c r="BG22" i="1" a="1"/>
  <c r="AJ22" i="1"/>
  <c r="AJ22" i="1" a="1"/>
  <c r="AF22" i="1"/>
  <c r="AF22" i="1" a="1"/>
  <c r="BG21" i="1"/>
  <c r="BG21" i="1" a="1"/>
  <c r="AJ21" i="1" a="1"/>
  <c r="AJ21" i="1" s="1"/>
  <c r="AF21" i="1"/>
  <c r="AF21" i="1" a="1"/>
  <c r="BG20" i="1" a="1"/>
  <c r="BG20" i="1" s="1"/>
  <c r="AJ20" i="1"/>
  <c r="AJ20" i="1" a="1"/>
  <c r="AF20" i="1" a="1"/>
  <c r="AF20" i="1" s="1"/>
  <c r="BG19" i="1" a="1"/>
  <c r="BG19" i="1" s="1"/>
  <c r="AJ19" i="1"/>
  <c r="AJ19" i="1" a="1"/>
  <c r="AF19" i="1"/>
  <c r="AF19" i="1" a="1"/>
  <c r="BG18" i="1" a="1"/>
  <c r="BG18" i="1" s="1"/>
  <c r="AJ18" i="1"/>
  <c r="AJ18" i="1" a="1"/>
  <c r="AF18" i="1" a="1"/>
  <c r="AF18" i="1" s="1"/>
  <c r="BG17" i="1"/>
  <c r="BG17" i="1" a="1"/>
  <c r="AJ17" i="1"/>
  <c r="AJ17" i="1" a="1"/>
  <c r="AF17" i="1" a="1"/>
  <c r="AF17" i="1" s="1"/>
  <c r="BG16" i="1" a="1"/>
  <c r="BG16" i="1" s="1"/>
  <c r="AJ16" i="1"/>
  <c r="AJ16" i="1" a="1"/>
  <c r="AF16" i="1" a="1"/>
  <c r="AF16" i="1" s="1"/>
  <c r="BG15" i="1"/>
  <c r="BG15" i="1" a="1"/>
  <c r="AJ15" i="1"/>
  <c r="AJ15" i="1" a="1"/>
  <c r="AF15" i="1" a="1"/>
  <c r="AF15" i="1" s="1"/>
  <c r="BG14" i="1"/>
  <c r="BG14" i="1" a="1"/>
  <c r="AJ14" i="1"/>
  <c r="AJ14" i="1" a="1"/>
  <c r="AF14" i="1" a="1"/>
  <c r="AF14" i="1" s="1"/>
  <c r="BG13" i="1" a="1"/>
  <c r="BG13" i="1" s="1"/>
  <c r="AJ13" i="1" a="1"/>
  <c r="AJ13" i="1" s="1"/>
  <c r="AF13" i="1"/>
  <c r="AF13" i="1" a="1"/>
  <c r="BG12" i="1" a="1"/>
  <c r="BG12" i="1" s="1"/>
  <c r="AJ12" i="1" a="1"/>
  <c r="AJ12" i="1" s="1"/>
  <c r="AF12" i="1"/>
  <c r="AF12" i="1" a="1"/>
  <c r="BG11" i="1"/>
  <c r="BG11" i="1" a="1"/>
  <c r="AJ11" i="1"/>
  <c r="AJ11" i="1" a="1"/>
  <c r="AF11" i="1" a="1"/>
  <c r="AF11" i="1" s="1"/>
  <c r="BG10" i="1" a="1"/>
  <c r="BG10" i="1" s="1"/>
  <c r="AJ10" i="1"/>
  <c r="AJ10" i="1" a="1"/>
  <c r="AF10" i="1" a="1"/>
  <c r="AF10" i="1" s="1"/>
  <c r="BG9" i="1"/>
  <c r="BG9" i="1" a="1"/>
  <c r="AJ9" i="1" a="1"/>
  <c r="AJ9" i="1" s="1"/>
  <c r="AF9" i="1"/>
  <c r="AF9" i="1" a="1"/>
  <c r="BG8" i="1"/>
  <c r="BG8" i="1" a="1"/>
  <c r="AJ8" i="1" a="1"/>
  <c r="AJ8" i="1" s="1"/>
  <c r="AF8" i="1" a="1"/>
  <c r="AF8" i="1" s="1"/>
  <c r="BG7" i="1"/>
  <c r="BG7" i="1" a="1"/>
  <c r="AJ7" i="1"/>
  <c r="AJ7" i="1" a="1"/>
  <c r="AF7" i="1"/>
  <c r="AF7" i="1" a="1"/>
  <c r="BG6" i="1" a="1"/>
  <c r="BG6" i="1" s="1"/>
  <c r="AJ6" i="1" a="1"/>
  <c r="AJ6" i="1" s="1"/>
  <c r="AF6" i="1"/>
  <c r="AF6" i="1" a="1"/>
  <c r="BG5" i="1"/>
  <c r="BG5" i="1" a="1"/>
  <c r="AJ5" i="1" a="1"/>
  <c r="AJ5" i="1" s="1"/>
  <c r="AF5" i="1"/>
  <c r="AF5" i="1" a="1"/>
  <c r="BG4" i="1" a="1"/>
  <c r="BG4" i="1" s="1"/>
  <c r="AJ4" i="1" a="1"/>
  <c r="AJ4" i="1" s="1"/>
  <c r="AF4" i="1"/>
  <c r="AF4" i="1" a="1"/>
  <c r="BG3" i="1" a="1"/>
  <c r="BG3" i="1" s="1"/>
  <c r="AJ3" i="1"/>
  <c r="AJ3" i="1" a="1"/>
  <c r="AF3" i="1"/>
  <c r="AF3" i="1" a="1"/>
  <c r="BG2" i="1" a="1"/>
  <c r="BG2" i="1" s="1"/>
  <c r="AJ2" i="1"/>
  <c r="AJ2" i="1" a="1"/>
  <c r="AF2" i="1" a="1"/>
  <c r="A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<sst xmlns="http://schemas.openxmlformats.org/spreadsheetml/2006/main" count="24183" uniqueCount="3964">
  <si>
    <t>Payment Type</t>
  </si>
  <si>
    <t>Total Days for Shipment</t>
  </si>
  <si>
    <t>Promised Days for Shipment</t>
  </si>
  <si>
    <t>Benefit Per Order</t>
  </si>
  <si>
    <t>Sales Per Customer</t>
  </si>
  <si>
    <t>Delivery Status</t>
  </si>
  <si>
    <t>Late Delivery Risk</t>
  </si>
  <si>
    <t>Category Id</t>
  </si>
  <si>
    <t>Category Name</t>
  </si>
  <si>
    <t>Customer City</t>
  </si>
  <si>
    <t>Customer Country</t>
  </si>
  <si>
    <t>Customer First Name</t>
  </si>
  <si>
    <t>Customer Id</t>
  </si>
  <si>
    <t>Customer Last Name</t>
  </si>
  <si>
    <t>Customer Segment</t>
  </si>
  <si>
    <t>Customer State</t>
  </si>
  <si>
    <t>Customer Street</t>
  </si>
  <si>
    <t>Customer Zipcode</t>
  </si>
  <si>
    <t>Department Id</t>
  </si>
  <si>
    <t>Department Name</t>
  </si>
  <si>
    <t>Latitude</t>
  </si>
  <si>
    <t>Longitude</t>
  </si>
  <si>
    <t>Place</t>
  </si>
  <si>
    <t>Order City</t>
  </si>
  <si>
    <t>Order Country</t>
  </si>
  <si>
    <t>Order Customer Id</t>
  </si>
  <si>
    <t>order date (DateOrders)</t>
  </si>
  <si>
    <t>Order Id</t>
  </si>
  <si>
    <t>Order Item Cardprod Id</t>
  </si>
  <si>
    <t>Order Item Discount</t>
  </si>
  <si>
    <t>Order Item Discount Rate</t>
  </si>
  <si>
    <t>Discount Range</t>
  </si>
  <si>
    <t>Order Item Id</t>
  </si>
  <si>
    <t>Order Item Product Price</t>
  </si>
  <si>
    <t>Order Item Profit Ratio</t>
  </si>
  <si>
    <t>Profit Range</t>
  </si>
  <si>
    <t>Order Item Quantity</t>
  </si>
  <si>
    <t>Total Order Price</t>
  </si>
  <si>
    <t>Order Price After Discount</t>
  </si>
  <si>
    <t>Order Profit Per Order</t>
  </si>
  <si>
    <t>Order Region</t>
  </si>
  <si>
    <t>Order State</t>
  </si>
  <si>
    <t>Order Status</t>
  </si>
  <si>
    <t>Order Zipcode</t>
  </si>
  <si>
    <t>Product Card Id</t>
  </si>
  <si>
    <t>Product Category Id</t>
  </si>
  <si>
    <t>Product Name</t>
  </si>
  <si>
    <t>Product Price</t>
  </si>
  <si>
    <t>Product Status</t>
  </si>
  <si>
    <t>shipping date (DateOrders)</t>
  </si>
  <si>
    <t>Shipping Mode</t>
  </si>
  <si>
    <t xml:space="preserve">Order Date </t>
  </si>
  <si>
    <t>Order Time</t>
  </si>
  <si>
    <t>Order Date (Year)</t>
  </si>
  <si>
    <t>Order Date (Month)</t>
  </si>
  <si>
    <t>Order Date (Day)</t>
  </si>
  <si>
    <t xml:space="preserve">Shiping Date </t>
  </si>
  <si>
    <t>Shipping time</t>
  </si>
  <si>
    <t>Time Range</t>
  </si>
  <si>
    <t>Shipping Year</t>
  </si>
  <si>
    <t>Shipping Month</t>
  </si>
  <si>
    <t>Shipping Day</t>
  </si>
  <si>
    <t>Debit</t>
  </si>
  <si>
    <t>Advance shipping</t>
  </si>
  <si>
    <t>No</t>
  </si>
  <si>
    <t>Sporting Goods</t>
  </si>
  <si>
    <t>Caguas</t>
  </si>
  <si>
    <t>Puerto Rico</t>
  </si>
  <si>
    <t>Cally</t>
  </si>
  <si>
    <t>Holloway</t>
  </si>
  <si>
    <t>Consumer</t>
  </si>
  <si>
    <t>PR</t>
  </si>
  <si>
    <t>5365 Noble Nectar Island</t>
  </si>
  <si>
    <t>Fitness</t>
  </si>
  <si>
    <t>Pacific Asia</t>
  </si>
  <si>
    <t>Bekasi</t>
  </si>
  <si>
    <t>Indonesia</t>
  </si>
  <si>
    <t>1/31/2018 22:56</t>
  </si>
  <si>
    <t>Southeast Asia</t>
  </si>
  <si>
    <t>Java Occidental</t>
  </si>
  <si>
    <t>Complete</t>
  </si>
  <si>
    <t>N.A.</t>
  </si>
  <si>
    <t xml:space="preserve">Smart watch </t>
  </si>
  <si>
    <t>Standard Class</t>
  </si>
  <si>
    <t>January</t>
  </si>
  <si>
    <t>March</t>
  </si>
  <si>
    <t>Transfer</t>
  </si>
  <si>
    <t>Late delivery</t>
  </si>
  <si>
    <t>Yes</t>
  </si>
  <si>
    <t>Irene</t>
  </si>
  <si>
    <t>Luna</t>
  </si>
  <si>
    <t>2679 Rustic Loop</t>
  </si>
  <si>
    <t>Bikaner</t>
  </si>
  <si>
    <t>India</t>
  </si>
  <si>
    <t>1/13/2018 12:27</t>
  </si>
  <si>
    <t>South Asia</t>
  </si>
  <si>
    <t>Rajastán</t>
  </si>
  <si>
    <t>Pending</t>
  </si>
  <si>
    <t>1/18/2018 12:27</t>
  </si>
  <si>
    <t>Cash</t>
  </si>
  <si>
    <t>Shipping on time</t>
  </si>
  <si>
    <t>San Jose</t>
  </si>
  <si>
    <t>United States</t>
  </si>
  <si>
    <t>Gillian</t>
  </si>
  <si>
    <t>Maldonado</t>
  </si>
  <si>
    <t>CA</t>
  </si>
  <si>
    <t>8510 Round Bear Gate</t>
  </si>
  <si>
    <t>1/13/2018 12:06</t>
  </si>
  <si>
    <t>Closed</t>
  </si>
  <si>
    <t>1/17/2018 12:06</t>
  </si>
  <si>
    <t>Los Angeles</t>
  </si>
  <si>
    <t>Tana</t>
  </si>
  <si>
    <t>Tate</t>
  </si>
  <si>
    <t>Home Office</t>
  </si>
  <si>
    <t>3200 Amber Bend</t>
  </si>
  <si>
    <t>Townsville</t>
  </si>
  <si>
    <t>Australia</t>
  </si>
  <si>
    <t>1/13/2018 11:45</t>
  </si>
  <si>
    <t>Oceania</t>
  </si>
  <si>
    <t>Queensland</t>
  </si>
  <si>
    <t>1/16/2018 11:45</t>
  </si>
  <si>
    <t>Payment</t>
  </si>
  <si>
    <t>Orli</t>
  </si>
  <si>
    <t>Hendricks</t>
  </si>
  <si>
    <t>Corporate</t>
  </si>
  <si>
    <t>8671 Iron Anchor Corners</t>
  </si>
  <si>
    <t>1/13/2018 11:24</t>
  </si>
  <si>
    <t>Pending Payment</t>
  </si>
  <si>
    <t>1/15/2018 11:24</t>
  </si>
  <si>
    <t>Shipping canceled</t>
  </si>
  <si>
    <t>Tonawanda</t>
  </si>
  <si>
    <t>Kimberly</t>
  </si>
  <si>
    <t>Flowers</t>
  </si>
  <si>
    <t>NY</t>
  </si>
  <si>
    <t>2122 Hazy Corner</t>
  </si>
  <si>
    <t>Toowoomba</t>
  </si>
  <si>
    <t>1/13/2018 11:03</t>
  </si>
  <si>
    <t>Canceled</t>
  </si>
  <si>
    <t>1/19/2018 11:03</t>
  </si>
  <si>
    <t>Constance</t>
  </si>
  <si>
    <t>Terrell</t>
  </si>
  <si>
    <t>1879 Green Pine Bank</t>
  </si>
  <si>
    <t>Guangzhou</t>
  </si>
  <si>
    <t>China</t>
  </si>
  <si>
    <t>1/13/2018 10:42</t>
  </si>
  <si>
    <t>Eastern Asia</t>
  </si>
  <si>
    <t>Guangdong</t>
  </si>
  <si>
    <t>1/15/2018 10:42</t>
  </si>
  <si>
    <t>First Class</t>
  </si>
  <si>
    <t>Miami</t>
  </si>
  <si>
    <t>Erica</t>
  </si>
  <si>
    <t>Stevens</t>
  </si>
  <si>
    <t>FL</t>
  </si>
  <si>
    <t>7595 Cotton Log Row</t>
  </si>
  <si>
    <t>1/13/2018 10:21</t>
  </si>
  <si>
    <t>Processing</t>
  </si>
  <si>
    <t>1/15/2018 10:21</t>
  </si>
  <si>
    <t>Nichole</t>
  </si>
  <si>
    <t>Olsen</t>
  </si>
  <si>
    <t>2051 Dusty Route</t>
  </si>
  <si>
    <t>1/13/2018 10:00</t>
  </si>
  <si>
    <t>1/16/2018 10:00</t>
  </si>
  <si>
    <t>Second Class</t>
  </si>
  <si>
    <t>San Ramon</t>
  </si>
  <si>
    <t>Oprah</t>
  </si>
  <si>
    <t>Delacruz</t>
  </si>
  <si>
    <t>9139 Blue Blossom Court</t>
  </si>
  <si>
    <t>1/13/2018 9:39</t>
  </si>
  <si>
    <t>1/15/2018 9:39</t>
  </si>
  <si>
    <t>Germane</t>
  </si>
  <si>
    <t>Short</t>
  </si>
  <si>
    <t>4058 Quiet Heights</t>
  </si>
  <si>
    <t>Tokio</t>
  </si>
  <si>
    <t>Japón</t>
  </si>
  <si>
    <t>1/13/2018 9:18</t>
  </si>
  <si>
    <t>Suspected Fraud</t>
  </si>
  <si>
    <t>1/19/2018 9:18</t>
  </si>
  <si>
    <t>Freeport</t>
  </si>
  <si>
    <t>Freya</t>
  </si>
  <si>
    <t>Robbins</t>
  </si>
  <si>
    <t>3243 Shady Corner</t>
  </si>
  <si>
    <t>Manado</t>
  </si>
  <si>
    <t>1/13/2018 8:57</t>
  </si>
  <si>
    <t>Célebes Septentrional</t>
  </si>
  <si>
    <t>1/18/2018 8:57</t>
  </si>
  <si>
    <t>Salinas</t>
  </si>
  <si>
    <t>Cassandra</t>
  </si>
  <si>
    <t>Jensen</t>
  </si>
  <si>
    <t>131 Sunny Treasure Green</t>
  </si>
  <si>
    <t>1/13/2018 8:36</t>
  </si>
  <si>
    <t>1/17/2018 8:36</t>
  </si>
  <si>
    <t>Natalie</t>
  </si>
  <si>
    <t>Mcfadden</t>
  </si>
  <si>
    <t>2531 Wishing Square</t>
  </si>
  <si>
    <t>Sangli</t>
  </si>
  <si>
    <t>1/13/2018 8:15</t>
  </si>
  <si>
    <t>Maharashtra</t>
  </si>
  <si>
    <t>1/15/2018 8:15</t>
  </si>
  <si>
    <t>Peabody</t>
  </si>
  <si>
    <t>Kimberley</t>
  </si>
  <si>
    <t>Sharpe</t>
  </si>
  <si>
    <t>MA</t>
  </si>
  <si>
    <t>6417 Silver Towers</t>
  </si>
  <si>
    <t>1/13/2018 7:54</t>
  </si>
  <si>
    <t>1/15/2018 7:54</t>
  </si>
  <si>
    <t>Sade</t>
  </si>
  <si>
    <t>Lancaster</t>
  </si>
  <si>
    <t>257 Harvest Close</t>
  </si>
  <si>
    <t>1/13/2018 7:33</t>
  </si>
  <si>
    <t>1/15/2018 7:33</t>
  </si>
  <si>
    <t>Canovanas</t>
  </si>
  <si>
    <t>Brynne</t>
  </si>
  <si>
    <t>Giles</t>
  </si>
  <si>
    <t>7342 Hazy Beacon Park</t>
  </si>
  <si>
    <t>Seúl</t>
  </si>
  <si>
    <t>Corea del Sur</t>
  </si>
  <si>
    <t>1/13/2018 7:12</t>
  </si>
  <si>
    <t>1/18/2018 7:12</t>
  </si>
  <si>
    <t>Paramount</t>
  </si>
  <si>
    <t>Ciara</t>
  </si>
  <si>
    <t>Bird</t>
  </si>
  <si>
    <t>7787 Lazy Corners</t>
  </si>
  <si>
    <t>Jabalpur</t>
  </si>
  <si>
    <t>1/13/2018 6:51</t>
  </si>
  <si>
    <t>Madhya Pradesh</t>
  </si>
  <si>
    <t>1/15/2018 6:51</t>
  </si>
  <si>
    <t>Bo</t>
  </si>
  <si>
    <t>Griffin</t>
  </si>
  <si>
    <t>5136 Rustic Pioneer Estates</t>
  </si>
  <si>
    <t>1/13/2018 6:30</t>
  </si>
  <si>
    <t>1/15/2018 6:30</t>
  </si>
  <si>
    <t>Mount Prospect</t>
  </si>
  <si>
    <t>Kim</t>
  </si>
  <si>
    <t>Simon</t>
  </si>
  <si>
    <t>IL</t>
  </si>
  <si>
    <t>1723 Tawny Via</t>
  </si>
  <si>
    <t>1/13/2018 6:09</t>
  </si>
  <si>
    <t>1/13/2018 18:09</t>
  </si>
  <si>
    <t>Same Day</t>
  </si>
  <si>
    <t>Long Beach</t>
  </si>
  <si>
    <t>Kellie</t>
  </si>
  <si>
    <t>Farmer</t>
  </si>
  <si>
    <t>7111 Silent Fox Gardens</t>
  </si>
  <si>
    <t>1/13/2018 5:48</t>
  </si>
  <si>
    <t>1/13/2018 17:48</t>
  </si>
  <si>
    <t>Alma</t>
  </si>
  <si>
    <t>Conley</t>
  </si>
  <si>
    <t>3732 Old Mountain Bank</t>
  </si>
  <si>
    <t>1/13/2018 5:27</t>
  </si>
  <si>
    <t>1/18/2018 5:27</t>
  </si>
  <si>
    <t>Rancho Cordova</t>
  </si>
  <si>
    <t>Yeo</t>
  </si>
  <si>
    <t>6217 Rustic Lake Forest</t>
  </si>
  <si>
    <t>Geelong</t>
  </si>
  <si>
    <t>1/13/2018 5:06</t>
  </si>
  <si>
    <t>Victoria</t>
  </si>
  <si>
    <t>1/17/2018 5:06</t>
  </si>
  <si>
    <t>Lucy</t>
  </si>
  <si>
    <t>Mcknight</t>
  </si>
  <si>
    <t>1082 Quiet Treasure Link</t>
  </si>
  <si>
    <t>1/13/2018 4:45</t>
  </si>
  <si>
    <t>1/16/2018 4:45</t>
  </si>
  <si>
    <t>Billings</t>
  </si>
  <si>
    <t>Simone</t>
  </si>
  <si>
    <t>Vance</t>
  </si>
  <si>
    <t>MT</t>
  </si>
  <si>
    <t>3176 Round Gate</t>
  </si>
  <si>
    <t>Brisbane</t>
  </si>
  <si>
    <t>1/13/2018 4:24</t>
  </si>
  <si>
    <t>1/15/2018 4:24</t>
  </si>
  <si>
    <t>Roary</t>
  </si>
  <si>
    <t>Wheeler</t>
  </si>
  <si>
    <t>1426 Fallen Line</t>
  </si>
  <si>
    <t>Mandurah</t>
  </si>
  <si>
    <t>1/13/2018 4:03</t>
  </si>
  <si>
    <t>Australia Occidental</t>
  </si>
  <si>
    <t>1/19/2018 4:03</t>
  </si>
  <si>
    <t>Wilkes Barre</t>
  </si>
  <si>
    <t>Quail</t>
  </si>
  <si>
    <t>Ashley</t>
  </si>
  <si>
    <t>PA</t>
  </si>
  <si>
    <t>9814 Emerald Prairie Limits</t>
  </si>
  <si>
    <t>1/13/2018 3:42</t>
  </si>
  <si>
    <t>1/18/2018 3:42</t>
  </si>
  <si>
    <t>Hannah</t>
  </si>
  <si>
    <t>Velez</t>
  </si>
  <si>
    <t>8271 Tawny Elk Abbey</t>
  </si>
  <si>
    <t>Guilin</t>
  </si>
  <si>
    <t>1/13/2018 3:21</t>
  </si>
  <si>
    <t>Guangxi</t>
  </si>
  <si>
    <t>1/17/2018 3:21</t>
  </si>
  <si>
    <t>Roseville</t>
  </si>
  <si>
    <t>Evelyn</t>
  </si>
  <si>
    <t>Kelly</t>
  </si>
  <si>
    <t>MI</t>
  </si>
  <si>
    <t>3931 Gentle Ramp</t>
  </si>
  <si>
    <t>1/13/2018 3:00</t>
  </si>
  <si>
    <t>1/16/2018 3:00</t>
  </si>
  <si>
    <t>Bellflower</t>
  </si>
  <si>
    <t>Jael</t>
  </si>
  <si>
    <t>Mcfarland</t>
  </si>
  <si>
    <t>9699 Honey Rise</t>
  </si>
  <si>
    <t>1/13/2018 2:39</t>
  </si>
  <si>
    <t>1/15/2018 2:39</t>
  </si>
  <si>
    <t>Teagan</t>
  </si>
  <si>
    <t>Romero</t>
  </si>
  <si>
    <t>1564 Rocky Terrace</t>
  </si>
  <si>
    <t>1/13/2018 2:18</t>
  </si>
  <si>
    <t>On Hold</t>
  </si>
  <si>
    <t>1/19/2018 2:18</t>
  </si>
  <si>
    <t>Wheaton</t>
  </si>
  <si>
    <t>Joan</t>
  </si>
  <si>
    <t>Wilder</t>
  </si>
  <si>
    <t>4294 High Passage</t>
  </si>
  <si>
    <t>Delhi</t>
  </si>
  <si>
    <t>1/13/2018 1:57</t>
  </si>
  <si>
    <t>1/18/2018 1:57</t>
  </si>
  <si>
    <t>Basia</t>
  </si>
  <si>
    <t>Watts</t>
  </si>
  <si>
    <t>5918 Golden Beacon Freeway</t>
  </si>
  <si>
    <t>1/13/2018 1:36</t>
  </si>
  <si>
    <t>1/17/2018 1:36</t>
  </si>
  <si>
    <t>Detroit</t>
  </si>
  <si>
    <t>Dominique</t>
  </si>
  <si>
    <t>Rogers</t>
  </si>
  <si>
    <t>3915 Broad Lookout</t>
  </si>
  <si>
    <t>Suzhou</t>
  </si>
  <si>
    <t>1/13/2018 1:15</t>
  </si>
  <si>
    <t>Gansu</t>
  </si>
  <si>
    <t>1/15/2018 1:15</t>
  </si>
  <si>
    <t>Dallas</t>
  </si>
  <si>
    <t>Ainsley</t>
  </si>
  <si>
    <t>Mathis</t>
  </si>
  <si>
    <t>TX</t>
  </si>
  <si>
    <t>7190 Silver Horse Glade</t>
  </si>
  <si>
    <t>1/13/2018 0:54</t>
  </si>
  <si>
    <t>1/15/2018 0:54</t>
  </si>
  <si>
    <t>Aurora</t>
  </si>
  <si>
    <t>Sharp</t>
  </si>
  <si>
    <t>830 Broad Beacon Maze</t>
  </si>
  <si>
    <t>Singapur</t>
  </si>
  <si>
    <t>1/13/2018 0:33</t>
  </si>
  <si>
    <t>1/15/2018 0:33</t>
  </si>
  <si>
    <t>Carlisle</t>
  </si>
  <si>
    <t>Libby</t>
  </si>
  <si>
    <t>Bray</t>
  </si>
  <si>
    <t>6127 Dewy Goose Downs</t>
  </si>
  <si>
    <t>Hubli</t>
  </si>
  <si>
    <t>1/13/2018 0:12</t>
  </si>
  <si>
    <t>Karnataka</t>
  </si>
  <si>
    <t>1/15/2018 0:12</t>
  </si>
  <si>
    <t>Amy</t>
  </si>
  <si>
    <t>Lindsay</t>
  </si>
  <si>
    <t>1188 Old Abbey</t>
  </si>
  <si>
    <t>Wollongong</t>
  </si>
  <si>
    <t>Nueva Gales del Sur</t>
  </si>
  <si>
    <t>1/14/2018 23:51</t>
  </si>
  <si>
    <t>December</t>
  </si>
  <si>
    <t>Ivory</t>
  </si>
  <si>
    <t>Parks</t>
  </si>
  <si>
    <t>7004 Hazy Lake Townline</t>
  </si>
  <si>
    <t>1/13/2018 11:30</t>
  </si>
  <si>
    <t>Newark</t>
  </si>
  <si>
    <t>Karina</t>
  </si>
  <si>
    <t>Prince</t>
  </si>
  <si>
    <t>DE</t>
  </si>
  <si>
    <t>2556 Umber Autoroute</t>
  </si>
  <si>
    <t>1/13/2018 11:09</t>
  </si>
  <si>
    <t>Panorama City</t>
  </si>
  <si>
    <t>Deanna</t>
  </si>
  <si>
    <t>Goff</t>
  </si>
  <si>
    <t>3722 Thunder Cape</t>
  </si>
  <si>
    <t>1/13/2018 10:48</t>
  </si>
  <si>
    <t>Dacey</t>
  </si>
  <si>
    <t>Walters</t>
  </si>
  <si>
    <t>2676 Velvet Common</t>
  </si>
  <si>
    <t>1/13/2018 10:27</t>
  </si>
  <si>
    <t>Atlanta</t>
  </si>
  <si>
    <t>Adele</t>
  </si>
  <si>
    <t>Pennington</t>
  </si>
  <si>
    <t>GA</t>
  </si>
  <si>
    <t>833 Amber Anchor Glen</t>
  </si>
  <si>
    <t>Medan</t>
  </si>
  <si>
    <t>Sumatra Septentrional</t>
  </si>
  <si>
    <t>1/16/2018 22:05</t>
  </si>
  <si>
    <t>Sybill</t>
  </si>
  <si>
    <t>Spencer</t>
  </si>
  <si>
    <t>830 Quaking Bear Grounds</t>
  </si>
  <si>
    <t>1/15/2018 21:44</t>
  </si>
  <si>
    <t>Fremont</t>
  </si>
  <si>
    <t>Kay</t>
  </si>
  <si>
    <t>Sandoval</t>
  </si>
  <si>
    <t>1509 Middle Oak Isle</t>
  </si>
  <si>
    <t>Canberra</t>
  </si>
  <si>
    <t>Territorio de la Capital Australiana</t>
  </si>
  <si>
    <t>1/14/2018 21:23</t>
  </si>
  <si>
    <t>Stacy</t>
  </si>
  <si>
    <t>Mckinney</t>
  </si>
  <si>
    <t>9712 Fallen Robin Diversion</t>
  </si>
  <si>
    <t>Bangalore</t>
  </si>
  <si>
    <t>1/18/2018 21:02</t>
  </si>
  <si>
    <t>Rochester</t>
  </si>
  <si>
    <t>Marah</t>
  </si>
  <si>
    <t>Lara</t>
  </si>
  <si>
    <t>8665 Sunny Deer Woods</t>
  </si>
  <si>
    <t>1/17/2018 20:41</t>
  </si>
  <si>
    <t>Taylor</t>
  </si>
  <si>
    <t>Wood</t>
  </si>
  <si>
    <t>9879 Harvest Deer Farms</t>
  </si>
  <si>
    <t>Yiwu</t>
  </si>
  <si>
    <t>Zhejiang</t>
  </si>
  <si>
    <t>1/16/2018 20:20</t>
  </si>
  <si>
    <t>Cleats</t>
  </si>
  <si>
    <t>Bayamon</t>
  </si>
  <si>
    <t>Mary</t>
  </si>
  <si>
    <t>Frank</t>
  </si>
  <si>
    <t>75 Sunny Grounds</t>
  </si>
  <si>
    <t>Apparel</t>
  </si>
  <si>
    <t>Mirzapur</t>
  </si>
  <si>
    <t>2/24/2016 13:57</t>
  </si>
  <si>
    <t>Uttar Pradesh</t>
  </si>
  <si>
    <t>Perfect Fitness Perfect Rip Deck</t>
  </si>
  <si>
    <t>2/29/2016 13:57</t>
  </si>
  <si>
    <t>February</t>
  </si>
  <si>
    <t>Shop By Sport</t>
  </si>
  <si>
    <t>Smith</t>
  </si>
  <si>
    <t>9731 Honey Fox Towers</t>
  </si>
  <si>
    <t>Golf</t>
  </si>
  <si>
    <t>Bursa</t>
  </si>
  <si>
    <t>Turquía</t>
  </si>
  <si>
    <t>10/25/2016 14:39</t>
  </si>
  <si>
    <t>West Asia</t>
  </si>
  <si>
    <t>Under Armour Girls' Toddler Spine Surge Runni</t>
  </si>
  <si>
    <t>10/27/2016 14:39</t>
  </si>
  <si>
    <t>October</t>
  </si>
  <si>
    <t>Women's Apparel</t>
  </si>
  <si>
    <t>Elizabeth</t>
  </si>
  <si>
    <t>Pittman</t>
  </si>
  <si>
    <t>7573 Golden Treasure Centre</t>
  </si>
  <si>
    <t>Murray Bridge</t>
  </si>
  <si>
    <t>3/30/2016 4:37</t>
  </si>
  <si>
    <t>Australia del Sur</t>
  </si>
  <si>
    <t>Nike Men's Dri-FIT Victory Golf Polo</t>
  </si>
  <si>
    <t>May</t>
  </si>
  <si>
    <t>Katherine</t>
  </si>
  <si>
    <t>Tyler</t>
  </si>
  <si>
    <t>8369 Sunny Crossing</t>
  </si>
  <si>
    <t>Kartal</t>
  </si>
  <si>
    <t>10/30/2016 1:31</t>
  </si>
  <si>
    <t>Estambul</t>
  </si>
  <si>
    <t>1425 Fallen Fox Arbor</t>
  </si>
  <si>
    <t>Ulan Bator</t>
  </si>
  <si>
    <t>Mongolia</t>
  </si>
  <si>
    <t>11/28/2016 1:18</t>
  </si>
  <si>
    <t>Ulán Bator</t>
  </si>
  <si>
    <t>November</t>
  </si>
  <si>
    <t>Dennis</t>
  </si>
  <si>
    <t>2290 Crystal Pathway</t>
  </si>
  <si>
    <t>12/31/2016 15:47</t>
  </si>
  <si>
    <t>Hill</t>
  </si>
  <si>
    <t>6179 Noble Panda Moor</t>
  </si>
  <si>
    <t>Raipur</t>
  </si>
  <si>
    <t>10/25/2015 6:24</t>
  </si>
  <si>
    <t>10/31/2015 6:24</t>
  </si>
  <si>
    <t>Electronics</t>
  </si>
  <si>
    <t>8205 Silver Grove Row</t>
  </si>
  <si>
    <t>Footwear</t>
  </si>
  <si>
    <t>United States, California</t>
  </si>
  <si>
    <t>Pasco</t>
  </si>
  <si>
    <t>Estados Unidos</t>
  </si>
  <si>
    <t xml:space="preserve">West of USA </t>
  </si>
  <si>
    <t>Washington</t>
  </si>
  <si>
    <t>Under Armour Men's Compression EV SL Slide</t>
  </si>
  <si>
    <t>6/13/2016 15:12</t>
  </si>
  <si>
    <t>June</t>
  </si>
  <si>
    <t>Boxing &amp; MMA</t>
  </si>
  <si>
    <t>Frances</t>
  </si>
  <si>
    <t>7786 Middle Private</t>
  </si>
  <si>
    <t>8/24/2016 21:45</t>
  </si>
  <si>
    <t>California</t>
  </si>
  <si>
    <t>Under Armour Women's Micro G Skulpt Running S</t>
  </si>
  <si>
    <t>8/29/2016 21:45</t>
  </si>
  <si>
    <t>August</t>
  </si>
  <si>
    <t>Alice</t>
  </si>
  <si>
    <t>San Francisco</t>
  </si>
  <si>
    <t>4/13/2016 10:12</t>
  </si>
  <si>
    <t>4/19/2016 10:12</t>
  </si>
  <si>
    <t>April</t>
  </si>
  <si>
    <t>Kyle</t>
  </si>
  <si>
    <t>Thomas</t>
  </si>
  <si>
    <t>5274 Easy Beach</t>
  </si>
  <si>
    <t>Overland Park</t>
  </si>
  <si>
    <t>5/22/2016 14:10</t>
  </si>
  <si>
    <t xml:space="preserve">US Center </t>
  </si>
  <si>
    <t>Kansas</t>
  </si>
  <si>
    <t>5/26/2016 14:10</t>
  </si>
  <si>
    <t>Cardio Equipment</t>
  </si>
  <si>
    <t>Brenda</t>
  </si>
  <si>
    <t>Jordan</t>
  </si>
  <si>
    <t>4692 Jagged Thicket</t>
  </si>
  <si>
    <t>Africa</t>
  </si>
  <si>
    <t>Ugep</t>
  </si>
  <si>
    <t>Nigeria</t>
  </si>
  <si>
    <t>West Africa</t>
  </si>
  <si>
    <t>Cross River</t>
  </si>
  <si>
    <t>Nike Men's Free 5.0+ Running Shoe</t>
  </si>
  <si>
    <t>Livingston</t>
  </si>
  <si>
    <t>5161 Crystal Quail Jetty</t>
  </si>
  <si>
    <t>Kinshasa</t>
  </si>
  <si>
    <t>República Democrática del Congo</t>
  </si>
  <si>
    <t>Central Africa</t>
  </si>
  <si>
    <t>11/13/2016 12:32</t>
  </si>
  <si>
    <t>Trade-In</t>
  </si>
  <si>
    <t>Johnny</t>
  </si>
  <si>
    <t>1465 Round Fawn Passage</t>
  </si>
  <si>
    <t>Outdoors</t>
  </si>
  <si>
    <t>Dakar</t>
  </si>
  <si>
    <t>Senegal</t>
  </si>
  <si>
    <t>Glove It Women's Mod Oval 3-Zip Carry All Gol</t>
  </si>
  <si>
    <t>11/16/2016 5:21</t>
  </si>
  <si>
    <t>5723 Cinder Loop</t>
  </si>
  <si>
    <t>Casablanca</t>
  </si>
  <si>
    <t>Marruecos</t>
  </si>
  <si>
    <t>North Africa</t>
  </si>
  <si>
    <t>Gran Casablanca</t>
  </si>
  <si>
    <t>Bridgestone e6 Straight Distance NFL San Dieg</t>
  </si>
  <si>
    <t>12/13/2016 0:14</t>
  </si>
  <si>
    <t>2991 Silent Deer Landing</t>
  </si>
  <si>
    <t>Europe</t>
  </si>
  <si>
    <t>Dortmund</t>
  </si>
  <si>
    <t>Alemania</t>
  </si>
  <si>
    <t>Western Europe</t>
  </si>
  <si>
    <t>Renania del Norte-Westfalia</t>
  </si>
  <si>
    <t>July</t>
  </si>
  <si>
    <t>5086 Emerald Fox Farms</t>
  </si>
  <si>
    <t>Drancy</t>
  </si>
  <si>
    <t>Francia</t>
  </si>
  <si>
    <t>7/22/2017 7:16</t>
  </si>
  <si>
    <t>Isla de Francia</t>
  </si>
  <si>
    <t>7/24/2017 7:16</t>
  </si>
  <si>
    <t>Nelson</t>
  </si>
  <si>
    <t>3909 Hidden Treasure Beach</t>
  </si>
  <si>
    <t>Nantes</t>
  </si>
  <si>
    <t>Países del Loira</t>
  </si>
  <si>
    <t>8/13/2017 6:33</t>
  </si>
  <si>
    <t>Austin</t>
  </si>
  <si>
    <t>Sexton</t>
  </si>
  <si>
    <t>4691 Cinder Crest</t>
  </si>
  <si>
    <t>Groningen</t>
  </si>
  <si>
    <t>Países Bajos</t>
  </si>
  <si>
    <t>9/22/2015 7:41</t>
  </si>
  <si>
    <t>9/26/2015 7:41</t>
  </si>
  <si>
    <t>September</t>
  </si>
  <si>
    <t>Michael</t>
  </si>
  <si>
    <t>Scott</t>
  </si>
  <si>
    <t>5703 Tawny Creek Townline</t>
  </si>
  <si>
    <t>Gateshead</t>
  </si>
  <si>
    <t>Reino Unido</t>
  </si>
  <si>
    <t>Northern Europe</t>
  </si>
  <si>
    <t>Inglaterra</t>
  </si>
  <si>
    <t>Olson</t>
  </si>
  <si>
    <t>7333 Cinder Way</t>
  </si>
  <si>
    <t>Eastbourne</t>
  </si>
  <si>
    <t>Vincent</t>
  </si>
  <si>
    <t>Krueger</t>
  </si>
  <si>
    <t>9404 Heather Bluff Dale</t>
  </si>
  <si>
    <t>Hayange</t>
  </si>
  <si>
    <t>8/20/2017 7:03</t>
  </si>
  <si>
    <t>Alsacia-Champaña-Ardenas-Lorena</t>
  </si>
  <si>
    <t>8/23/2017 7:03</t>
  </si>
  <si>
    <t>Gregory</t>
  </si>
  <si>
    <t>Rodriguez</t>
  </si>
  <si>
    <t>1632 Green Fawn Corners</t>
  </si>
  <si>
    <t>Portsmouth</t>
  </si>
  <si>
    <t>Gelsenkirchen</t>
  </si>
  <si>
    <t>9/18/2017 1:14</t>
  </si>
  <si>
    <t>9/21/2017 1:14</t>
  </si>
  <si>
    <t>8344 Noble Mountain Gate</t>
  </si>
  <si>
    <t>Nice</t>
  </si>
  <si>
    <t>Provenza-Alpes-Costa Azul</t>
  </si>
  <si>
    <t>Lisa</t>
  </si>
  <si>
    <t>7208 Bright Landing</t>
  </si>
  <si>
    <t>Latin America</t>
  </si>
  <si>
    <t>Petapa</t>
  </si>
  <si>
    <t>Guatemala</t>
  </si>
  <si>
    <t>3/28/2015 0:55</t>
  </si>
  <si>
    <t>Central America</t>
  </si>
  <si>
    <t>Megan</t>
  </si>
  <si>
    <t>Todd</t>
  </si>
  <si>
    <t>1393 Umber Sky Estates</t>
  </si>
  <si>
    <t>Mejicanos</t>
  </si>
  <si>
    <t>El Salvador</t>
  </si>
  <si>
    <t>San Salvador</t>
  </si>
  <si>
    <t>8165 Red Lane</t>
  </si>
  <si>
    <t>David</t>
  </si>
  <si>
    <t>Panamá</t>
  </si>
  <si>
    <t>Chiriquí</t>
  </si>
  <si>
    <t>331 Grand Orchard</t>
  </si>
  <si>
    <t>Santo Domingo</t>
  </si>
  <si>
    <t>República Dominicana</t>
  </si>
  <si>
    <t>4/25/2015 4:44</t>
  </si>
  <si>
    <t>Caribbean</t>
  </si>
  <si>
    <t>4/30/2015 4:44</t>
  </si>
  <si>
    <t>2264 Thunder Abbey</t>
  </si>
  <si>
    <t>Cabimas</t>
  </si>
  <si>
    <t>Venezuela</t>
  </si>
  <si>
    <t>4/25/2015 1:14</t>
  </si>
  <si>
    <t>South America</t>
  </si>
  <si>
    <t>Zulia</t>
  </si>
  <si>
    <t>4/30/2015 1:14</t>
  </si>
  <si>
    <t>9082 Merry Lookout</t>
  </si>
  <si>
    <t>Grace</t>
  </si>
  <si>
    <t>Sanchez</t>
  </si>
  <si>
    <t>6468 Fallen Close</t>
  </si>
  <si>
    <t>Dos Quebradas</t>
  </si>
  <si>
    <t>Colombia</t>
  </si>
  <si>
    <t>2/18/2017 16:36</t>
  </si>
  <si>
    <t>Risaralda</t>
  </si>
  <si>
    <t>2/22/2017 16:36</t>
  </si>
  <si>
    <t>Meyer</t>
  </si>
  <si>
    <t>7342 Hidden Walk</t>
  </si>
  <si>
    <t>Ilopango</t>
  </si>
  <si>
    <t>4/26/2015 3:10</t>
  </si>
  <si>
    <t>4/30/2015 3:10</t>
  </si>
  <si>
    <t>Douglas</t>
  </si>
  <si>
    <t>577 Rustic Nectar Row</t>
  </si>
  <si>
    <t>Tegucigalpa</t>
  </si>
  <si>
    <t>Honduras</t>
  </si>
  <si>
    <t>Francisco Morazán</t>
  </si>
  <si>
    <t>4/14/2015 0:02</t>
  </si>
  <si>
    <t>5700 Little Circle</t>
  </si>
  <si>
    <t>Juazeiro</t>
  </si>
  <si>
    <t>Brasil</t>
  </si>
  <si>
    <t>Bahía</t>
  </si>
  <si>
    <t>4/15/2017 15:49</t>
  </si>
  <si>
    <t>Vega</t>
  </si>
  <si>
    <t>7840 Umber Sky Villas</t>
  </si>
  <si>
    <t>Mexico City</t>
  </si>
  <si>
    <t>México</t>
  </si>
  <si>
    <t>3/16/2017 2:54</t>
  </si>
  <si>
    <t>Distrito Federal</t>
  </si>
  <si>
    <t>3/22/2017 2:54</t>
  </si>
  <si>
    <t>Wayne</t>
  </si>
  <si>
    <t>Hodges</t>
  </si>
  <si>
    <t>7509 Iron Concession</t>
  </si>
  <si>
    <t>Tlaquepaque</t>
  </si>
  <si>
    <t>3/29/2015 10:33</t>
  </si>
  <si>
    <t>Jalisco</t>
  </si>
  <si>
    <t>3/31/2015 10:33</t>
  </si>
  <si>
    <t>Mccormick</t>
  </si>
  <si>
    <t>2199 Silver Autumn Key</t>
  </si>
  <si>
    <t>Puebla</t>
  </si>
  <si>
    <t>9470 Shady View Bend</t>
  </si>
  <si>
    <t>2/18/2017 13:05</t>
  </si>
  <si>
    <t>2/22/2017 13:05</t>
  </si>
  <si>
    <t>Ronald</t>
  </si>
  <si>
    <t>Blackwell</t>
  </si>
  <si>
    <t>9366 Silent Nectar Highway</t>
  </si>
  <si>
    <t>São Paulo</t>
  </si>
  <si>
    <t>1/18/2017 19:37</t>
  </si>
  <si>
    <t>1/22/2017 19:37</t>
  </si>
  <si>
    <t>Rios</t>
  </si>
  <si>
    <t>4167 Stony Extension</t>
  </si>
  <si>
    <t>Montevideo</t>
  </si>
  <si>
    <t>Uruguay</t>
  </si>
  <si>
    <t>3/13/2015 18:59</t>
  </si>
  <si>
    <t>3/18/2015 18:59</t>
  </si>
  <si>
    <t>Tammy</t>
  </si>
  <si>
    <t>7370 Sleepy Way</t>
  </si>
  <si>
    <t>Buenos Aires</t>
  </si>
  <si>
    <t>Argentina</t>
  </si>
  <si>
    <t>2/13/2017 9:47</t>
  </si>
  <si>
    <t>1613 Broad Beach</t>
  </si>
  <si>
    <t>4992 Jagged Forest Subdivision</t>
  </si>
  <si>
    <t>Barueri</t>
  </si>
  <si>
    <t>4/13/2017 14:25</t>
  </si>
  <si>
    <t>4/15/2017 14:25</t>
  </si>
  <si>
    <t>3216 Red Glade</t>
  </si>
  <si>
    <t>Arapongas</t>
  </si>
  <si>
    <t>Paraná</t>
  </si>
  <si>
    <t>Christina</t>
  </si>
  <si>
    <t>Harvey</t>
  </si>
  <si>
    <t>3481 Crystal Campus</t>
  </si>
  <si>
    <t>Camagüey</t>
  </si>
  <si>
    <t>Cuba</t>
  </si>
  <si>
    <t>1/31/2017 11:43</t>
  </si>
  <si>
    <t>Columbia Men's PFG Anchor Tough T-Shirt</t>
  </si>
  <si>
    <t>5424 Rustic Anchor Boulevard</t>
  </si>
  <si>
    <t>Las Tunas</t>
  </si>
  <si>
    <t>3/30/2017 23:12</t>
  </si>
  <si>
    <t>3567 Heather Knoll</t>
  </si>
  <si>
    <t>3/25/2017 23:02</t>
  </si>
  <si>
    <t>3/30/2017 23:02</t>
  </si>
  <si>
    <t>Alexander</t>
  </si>
  <si>
    <t>7958 Thunder Apple Street</t>
  </si>
  <si>
    <t>Tepic</t>
  </si>
  <si>
    <t>Nayarit</t>
  </si>
  <si>
    <t>Guayama</t>
  </si>
  <si>
    <t>Sandra</t>
  </si>
  <si>
    <t>6496 Harvest Highlands</t>
  </si>
  <si>
    <t>San Miguelito</t>
  </si>
  <si>
    <t>4/15/2017 14:04</t>
  </si>
  <si>
    <t>4/18/2017 14:04</t>
  </si>
  <si>
    <t>Ruth</t>
  </si>
  <si>
    <t>Farrell</t>
  </si>
  <si>
    <t>1453 Lazy Cider Hill</t>
  </si>
  <si>
    <t>Ixtapaluca</t>
  </si>
  <si>
    <t>2/15/2015 18:40</t>
  </si>
  <si>
    <t>2/18/2015 18:40</t>
  </si>
  <si>
    <t>Harris</t>
  </si>
  <si>
    <t>8713 Quaking Abbey</t>
  </si>
  <si>
    <t>Maceió</t>
  </si>
  <si>
    <t>5/27/2017 16:48</t>
  </si>
  <si>
    <t>Alagoas</t>
  </si>
  <si>
    <t>5/30/2017 16:48</t>
  </si>
  <si>
    <t>Lauren</t>
  </si>
  <si>
    <t>Coleman</t>
  </si>
  <si>
    <t>1285 Noble Pointe</t>
  </si>
  <si>
    <t>2/25/2015 20:46</t>
  </si>
  <si>
    <t>Hayes</t>
  </si>
  <si>
    <t>6314 Honey Canyon</t>
  </si>
  <si>
    <t>Belo Horizonte</t>
  </si>
  <si>
    <t>5/31/2017 11:33</t>
  </si>
  <si>
    <t>Minas Gerais</t>
  </si>
  <si>
    <t>1388 Blue Turnabout</t>
  </si>
  <si>
    <t>Santiago de Cuba</t>
  </si>
  <si>
    <t>1/15/2015 4:32</t>
  </si>
  <si>
    <t>1/19/2015 4:32</t>
  </si>
  <si>
    <t>1122 Old Fox Lookout</t>
  </si>
  <si>
    <t>San Pedro Sula</t>
  </si>
  <si>
    <t>4/26/2017 15:16</t>
  </si>
  <si>
    <t>Cortés</t>
  </si>
  <si>
    <t>Day</t>
  </si>
  <si>
    <t>257 Iron Elk Maze</t>
  </si>
  <si>
    <t>Lima</t>
  </si>
  <si>
    <t>Perú</t>
  </si>
  <si>
    <t>Lima (ciudad)</t>
  </si>
  <si>
    <t>3/13/2017 19:12</t>
  </si>
  <si>
    <t>Dawson</t>
  </si>
  <si>
    <t>9544 Noble Spring Route</t>
  </si>
  <si>
    <t>Holguín</t>
  </si>
  <si>
    <t>4/20/2017 18:47</t>
  </si>
  <si>
    <t>4/24/2017 18:47</t>
  </si>
  <si>
    <t>Phillips</t>
  </si>
  <si>
    <t>7094 Misty Wynd</t>
  </si>
  <si>
    <t>Orizaba</t>
  </si>
  <si>
    <t>Veracruz</t>
  </si>
  <si>
    <t>1025 Colonial Plaza</t>
  </si>
  <si>
    <t>Managua</t>
  </si>
  <si>
    <t>Nicaragua</t>
  </si>
  <si>
    <t>Juana Diaz</t>
  </si>
  <si>
    <t>2839 Grand Timber Canyon</t>
  </si>
  <si>
    <t>Villahermosa</t>
  </si>
  <si>
    <t>5/16/2017 21:33</t>
  </si>
  <si>
    <t>Tabasco</t>
  </si>
  <si>
    <t>5/19/2017 21:33</t>
  </si>
  <si>
    <t>6174 Wishing Front</t>
  </si>
  <si>
    <t>Quixadá</t>
  </si>
  <si>
    <t>5/27/2015 1:32</t>
  </si>
  <si>
    <t>Ceará</t>
  </si>
  <si>
    <t>5/30/2015 1:32</t>
  </si>
  <si>
    <t>Melissa</t>
  </si>
  <si>
    <t>Mack</t>
  </si>
  <si>
    <t>9447 Dusty Gate Centre</t>
  </si>
  <si>
    <t>3/28/2017 5:20</t>
  </si>
  <si>
    <t>Titleist Pro V1x Golf Balls</t>
  </si>
  <si>
    <t>Bridgestone e6 Straight Distance NFL Tennesse</t>
  </si>
  <si>
    <t>Kids' Golf Clubs</t>
  </si>
  <si>
    <t>Mixco</t>
  </si>
  <si>
    <t>Polar FT4 Heart Rate Monitor</t>
  </si>
  <si>
    <t>Hunting &amp; Shooting</t>
  </si>
  <si>
    <t>6401 Shady Embers Farms</t>
  </si>
  <si>
    <t>Fan Shop</t>
  </si>
  <si>
    <t>Nueva Gerona</t>
  </si>
  <si>
    <t>Isla de la Juventud</t>
  </si>
  <si>
    <t>ENO Atlas Hammock Straps</t>
  </si>
  <si>
    <t>Baseball &amp; Softball</t>
  </si>
  <si>
    <t>Maria</t>
  </si>
  <si>
    <t>Evans</t>
  </si>
  <si>
    <t>595 Indian Path</t>
  </si>
  <si>
    <t>4/30/2015 23:49</t>
  </si>
  <si>
    <t>adidas Men's F10 Messi TRX FG Soccer Cleat</t>
  </si>
  <si>
    <t>Eugene</t>
  </si>
  <si>
    <t>1820 Noble Elk Harbour</t>
  </si>
  <si>
    <t>Chimaltenango</t>
  </si>
  <si>
    <t>4/27/2017 3:32</t>
  </si>
  <si>
    <t>James</t>
  </si>
  <si>
    <t>Lawson</t>
  </si>
  <si>
    <t>1577 Green Vista</t>
  </si>
  <si>
    <t>Villa Nueva</t>
  </si>
  <si>
    <t>John</t>
  </si>
  <si>
    <t>Stokes</t>
  </si>
  <si>
    <t>9920 Little Lane</t>
  </si>
  <si>
    <t>Quito</t>
  </si>
  <si>
    <t>Ecuador</t>
  </si>
  <si>
    <t>2/13/2017 16:05</t>
  </si>
  <si>
    <t>Pichincha</t>
  </si>
  <si>
    <t>2/18/2017 16:05</t>
  </si>
  <si>
    <t>Flores</t>
  </si>
  <si>
    <t>3089 Gentle Horse Chase</t>
  </si>
  <si>
    <t>5/27/2017 23:28</t>
  </si>
  <si>
    <t>5/29/2017 23:28</t>
  </si>
  <si>
    <t>4090 Colonial End</t>
  </si>
  <si>
    <t>Valle de La Pascua</t>
  </si>
  <si>
    <t>3/19/2017 19:53</t>
  </si>
  <si>
    <t>Guárico</t>
  </si>
  <si>
    <t>3/24/2017 19:53</t>
  </si>
  <si>
    <t>Roy</t>
  </si>
  <si>
    <t>4601 Amber Grove Hollow</t>
  </si>
  <si>
    <t>Oconnell</t>
  </si>
  <si>
    <t>2127 Middle Goose Mews</t>
  </si>
  <si>
    <t>4/27/2015 11:23</t>
  </si>
  <si>
    <t>8840 Harvest Towers</t>
  </si>
  <si>
    <t>4/14/2017 18:06</t>
  </si>
  <si>
    <t>4/20/2017 18:06</t>
  </si>
  <si>
    <t>Janet</t>
  </si>
  <si>
    <t>8617 Cinder Mountain Forest</t>
  </si>
  <si>
    <t>Cotia</t>
  </si>
  <si>
    <t>5087 Crystal Hills Manor</t>
  </si>
  <si>
    <t>Itapecuru Mirim</t>
  </si>
  <si>
    <t>Marañón</t>
  </si>
  <si>
    <t>Brooks Women's Ghost 6 Running Shoe</t>
  </si>
  <si>
    <t>6/15/2017 5:55</t>
  </si>
  <si>
    <t>Carlson</t>
  </si>
  <si>
    <t>1548 Lazy Place</t>
  </si>
  <si>
    <t>León</t>
  </si>
  <si>
    <t>3/26/2017 15:30</t>
  </si>
  <si>
    <t>3/28/2017 15:30</t>
  </si>
  <si>
    <t>Nicole</t>
  </si>
  <si>
    <t>9009 Merry Nectar Heights</t>
  </si>
  <si>
    <t>Tlalpan</t>
  </si>
  <si>
    <t>2/17/2017 11:52</t>
  </si>
  <si>
    <t>2/19/2017 11:52</t>
  </si>
  <si>
    <t>Sharon</t>
  </si>
  <si>
    <t>4316 Misty Way</t>
  </si>
  <si>
    <t>Apopa</t>
  </si>
  <si>
    <t>1/25/2017 1:13</t>
  </si>
  <si>
    <t>1/31/2017 1:13</t>
  </si>
  <si>
    <t>Navarro</t>
  </si>
  <si>
    <t>6324 Lazy Lane</t>
  </si>
  <si>
    <t>Cipolletti</t>
  </si>
  <si>
    <t>Río Negro</t>
  </si>
  <si>
    <t>9198 Rocky Run</t>
  </si>
  <si>
    <t>5/22/2017 6:08</t>
  </si>
  <si>
    <t>5/27/2017 6:08</t>
  </si>
  <si>
    <t>Matthew</t>
  </si>
  <si>
    <t>Bush</t>
  </si>
  <si>
    <t>5736 Heather Byway</t>
  </si>
  <si>
    <t>La Ceiba</t>
  </si>
  <si>
    <t>2/21/2017 1:00</t>
  </si>
  <si>
    <t>Atlántida</t>
  </si>
  <si>
    <t>2/26/2017 1:00</t>
  </si>
  <si>
    <t>Anthony</t>
  </si>
  <si>
    <t>Young</t>
  </si>
  <si>
    <t>7334 Umber Expressway</t>
  </si>
  <si>
    <t>Córdoba</t>
  </si>
  <si>
    <t>Jerry</t>
  </si>
  <si>
    <t>427 Grand Branch Hill</t>
  </si>
  <si>
    <t>Kuito</t>
  </si>
  <si>
    <t>Angola</t>
  </si>
  <si>
    <t>1/15/2017 4:44</t>
  </si>
  <si>
    <t>Bié</t>
  </si>
  <si>
    <t>1/21/2017 4:44</t>
  </si>
  <si>
    <t>Men's Footwear</t>
  </si>
  <si>
    <t>Freeman</t>
  </si>
  <si>
    <t>2035 Lazy Diversion</t>
  </si>
  <si>
    <t>Jartum</t>
  </si>
  <si>
    <t>Sudán</t>
  </si>
  <si>
    <t>10/28/2016 19:23</t>
  </si>
  <si>
    <t>Nike Men's CJ Elite 2 TD Football Cleat</t>
  </si>
  <si>
    <t>Laura</t>
  </si>
  <si>
    <t>Bennett</t>
  </si>
  <si>
    <t>4520 Grand Port</t>
  </si>
  <si>
    <t>Hargeysa</t>
  </si>
  <si>
    <t>Somalia</t>
  </si>
  <si>
    <t>9/19/2016 13:39</t>
  </si>
  <si>
    <t>East Africa</t>
  </si>
  <si>
    <t>Gobolka Woqooyi Galbeed</t>
  </si>
  <si>
    <t>9/22/2016 13:39</t>
  </si>
  <si>
    <t>Sanders</t>
  </si>
  <si>
    <t>7489 Green End</t>
  </si>
  <si>
    <t>Kenitra</t>
  </si>
  <si>
    <t>8/25/2016 22:16</t>
  </si>
  <si>
    <t>Garb-Chrarda-Beni Hsen</t>
  </si>
  <si>
    <t>8/30/2016 22:16</t>
  </si>
  <si>
    <t>Black</t>
  </si>
  <si>
    <t>620 Thunder Creek Towers</t>
  </si>
  <si>
    <t>Abidjan</t>
  </si>
  <si>
    <t>Costa de Marfil</t>
  </si>
  <si>
    <t>Lagunes</t>
  </si>
  <si>
    <t>Camping &amp; Hiking</t>
  </si>
  <si>
    <t>Jack</t>
  </si>
  <si>
    <t>Hatfield</t>
  </si>
  <si>
    <t>555 Lazy Robin Freeway</t>
  </si>
  <si>
    <t>Abu Kabir</t>
  </si>
  <si>
    <t>Egipto</t>
  </si>
  <si>
    <t>Ash Sharqiyah</t>
  </si>
  <si>
    <t>Diamondback Women's Serene Classic Comfort Bi</t>
  </si>
  <si>
    <t>Consumer Electronics</t>
  </si>
  <si>
    <t>Kirestin</t>
  </si>
  <si>
    <t>Barr</t>
  </si>
  <si>
    <t>4722 Round Embers Falls</t>
  </si>
  <si>
    <t>Technology</t>
  </si>
  <si>
    <t>Perugia</t>
  </si>
  <si>
    <t>Italia</t>
  </si>
  <si>
    <t>Southern Europe</t>
  </si>
  <si>
    <t>Umbría</t>
  </si>
  <si>
    <t>Industrial consumer electronics</t>
  </si>
  <si>
    <t xml:space="preserve">Cameras </t>
  </si>
  <si>
    <t>Nora</t>
  </si>
  <si>
    <t>Downs</t>
  </si>
  <si>
    <t>1836 Cozy View Orchard</t>
  </si>
  <si>
    <t>Nuremberg</t>
  </si>
  <si>
    <t>10/14/2017 11:42</t>
  </si>
  <si>
    <t>Bavaria</t>
  </si>
  <si>
    <t>Web Camera</t>
  </si>
  <si>
    <t>10/18/2017 11:42</t>
  </si>
  <si>
    <t>Jennifer</t>
  </si>
  <si>
    <t>5257 Umber Field</t>
  </si>
  <si>
    <t>Reims</t>
  </si>
  <si>
    <t>Madonna</t>
  </si>
  <si>
    <t>Ingram</t>
  </si>
  <si>
    <t>9079 Dewy Deer Harbour</t>
  </si>
  <si>
    <t>Halle</t>
  </si>
  <si>
    <t>10/16/2017 1:12</t>
  </si>
  <si>
    <t>Sajonia-Anhalt</t>
  </si>
  <si>
    <t>10/22/2017 1:12</t>
  </si>
  <si>
    <t>Noelani</t>
  </si>
  <si>
    <t>Hyde</t>
  </si>
  <si>
    <t>1284 High Apple Highlands</t>
  </si>
  <si>
    <t>Bremerhaven</t>
  </si>
  <si>
    <t>Bremen</t>
  </si>
  <si>
    <t>Sydnee</t>
  </si>
  <si>
    <t>Nolan</t>
  </si>
  <si>
    <t>9816 Grand Hills Knoll</t>
  </si>
  <si>
    <t>Portici</t>
  </si>
  <si>
    <t>10/13/2017 3:08</t>
  </si>
  <si>
    <t>Campania</t>
  </si>
  <si>
    <t>10/19/2017 3:08</t>
  </si>
  <si>
    <t>Willa</t>
  </si>
  <si>
    <t>Potter</t>
  </si>
  <si>
    <t>5301 Blue Street</t>
  </si>
  <si>
    <t>Bielefeld</t>
  </si>
  <si>
    <t>Computers</t>
  </si>
  <si>
    <t>Delgado</t>
  </si>
  <si>
    <t>7274 Middle Wynd</t>
  </si>
  <si>
    <t>London</t>
  </si>
  <si>
    <t>10/29/2017 12:55</t>
  </si>
  <si>
    <t>Dell Laptop</t>
  </si>
  <si>
    <t>Ila</t>
  </si>
  <si>
    <t>Knight</t>
  </si>
  <si>
    <t xml:space="preserve">2668 Velvet Row </t>
  </si>
  <si>
    <t>10/13/2017 8:44</t>
  </si>
  <si>
    <t>10/15/2017 8:44</t>
  </si>
  <si>
    <t>Belle</t>
  </si>
  <si>
    <t>Booker</t>
  </si>
  <si>
    <t xml:space="preserve">567 Fallen Pines </t>
  </si>
  <si>
    <t>Duisburg</t>
  </si>
  <si>
    <t>10/14/2017 6:17</t>
  </si>
  <si>
    <t>Alyssa</t>
  </si>
  <si>
    <t>Contreras</t>
  </si>
  <si>
    <t>9870 Little Hickory Loop</t>
  </si>
  <si>
    <t>Bradford</t>
  </si>
  <si>
    <t>10/30/2017 1:10</t>
  </si>
  <si>
    <t>Lani</t>
  </si>
  <si>
    <t>Nash</t>
  </si>
  <si>
    <t xml:space="preserve">5763 Green Crossing </t>
  </si>
  <si>
    <t>Agrigento</t>
  </si>
  <si>
    <t>10/13/2017 14:41</t>
  </si>
  <si>
    <t>Sicilia</t>
  </si>
  <si>
    <t>10/17/2017 14:41</t>
  </si>
  <si>
    <t>Demetria</t>
  </si>
  <si>
    <t>Jarvis</t>
  </si>
  <si>
    <t>4854 Tawny Cove</t>
  </si>
  <si>
    <t>Oldham</t>
  </si>
  <si>
    <t>Nixon</t>
  </si>
  <si>
    <t xml:space="preserve">8297 Golden Green </t>
  </si>
  <si>
    <t>Palermo</t>
  </si>
  <si>
    <t>10/14/2017 4:21</t>
  </si>
  <si>
    <t>Gay</t>
  </si>
  <si>
    <t>Harper</t>
  </si>
  <si>
    <t>7293 Lazy Hill</t>
  </si>
  <si>
    <t>Madrid</t>
  </si>
  <si>
    <t>España</t>
  </si>
  <si>
    <t>Audrey</t>
  </si>
  <si>
    <t>Acosta</t>
  </si>
  <si>
    <t>8967 Sleepy Lane</t>
  </si>
  <si>
    <t>Nancy</t>
  </si>
  <si>
    <t>10/26/2017 14:51</t>
  </si>
  <si>
    <t>10/31/2017 14:51</t>
  </si>
  <si>
    <t>Riley</t>
  </si>
  <si>
    <t>Jones</t>
  </si>
  <si>
    <t xml:space="preserve">6370 Emerald Row </t>
  </si>
  <si>
    <t>Girona</t>
  </si>
  <si>
    <t>10/13/2017 13:59</t>
  </si>
  <si>
    <t>Cataluña</t>
  </si>
  <si>
    <t>10/15/2017 13:59</t>
  </si>
  <si>
    <t>Imani</t>
  </si>
  <si>
    <t>3065 Foggy Horse Port</t>
  </si>
  <si>
    <t>Laon</t>
  </si>
  <si>
    <t>Norte-Paso de Calais-Picardía</t>
  </si>
  <si>
    <t>Mechelle</t>
  </si>
  <si>
    <t>Parker</t>
  </si>
  <si>
    <t>Hartlepool</t>
  </si>
  <si>
    <t>10/17/2017 11:32</t>
  </si>
  <si>
    <t>10/21/2017 11:32</t>
  </si>
  <si>
    <t>Castaneda</t>
  </si>
  <si>
    <t>5493 Burning Horse Heath</t>
  </si>
  <si>
    <t>Pontault-Combault</t>
  </si>
  <si>
    <t>Whitney</t>
  </si>
  <si>
    <t>Henderson</t>
  </si>
  <si>
    <t>529 Blue Grove Rise</t>
  </si>
  <si>
    <t>La Rochelle</t>
  </si>
  <si>
    <t>10/13/2017 12:35</t>
  </si>
  <si>
    <t>Aquitania-Lemosín-Poitou-Charentes</t>
  </si>
  <si>
    <t>10/16/2017 12:35</t>
  </si>
  <si>
    <t>Roanna</t>
  </si>
  <si>
    <t>Martin</t>
  </si>
  <si>
    <t>4462 Little Lagoon Route</t>
  </si>
  <si>
    <t>Edinburgh</t>
  </si>
  <si>
    <t>Escocia</t>
  </si>
  <si>
    <t>Vivian</t>
  </si>
  <si>
    <t>Hays</t>
  </si>
  <si>
    <t>9854 Jagged Impasse</t>
  </si>
  <si>
    <t>Acerra</t>
  </si>
  <si>
    <t>Xantha</t>
  </si>
  <si>
    <t>Brock</t>
  </si>
  <si>
    <t>5336 Sleepy Sky Common</t>
  </si>
  <si>
    <t>Hanover</t>
  </si>
  <si>
    <t>Baja Sajonia</t>
  </si>
  <si>
    <t>Zia</t>
  </si>
  <si>
    <t>Davis</t>
  </si>
  <si>
    <t>3836 Blue Brook Stead</t>
  </si>
  <si>
    <t>Manchester</t>
  </si>
  <si>
    <t>10/13/2017 18:11</t>
  </si>
  <si>
    <t>10/17/2017 18:11</t>
  </si>
  <si>
    <t>Mara</t>
  </si>
  <si>
    <t>Duffy</t>
  </si>
  <si>
    <t xml:space="preserve">4896 Honey Wood </t>
  </si>
  <si>
    <t>Messina</t>
  </si>
  <si>
    <t>10/14/2017 22:03</t>
  </si>
  <si>
    <t>Sloane</t>
  </si>
  <si>
    <t>Long</t>
  </si>
  <si>
    <t>4592 Grand Timber Ramp</t>
  </si>
  <si>
    <t>Wilhelmshaven</t>
  </si>
  <si>
    <t>Winifred</t>
  </si>
  <si>
    <t>146 Middle Terrace</t>
  </si>
  <si>
    <t>Letchworth</t>
  </si>
  <si>
    <t>10/26/2017 18:21</t>
  </si>
  <si>
    <t>10/31/2017 18:21</t>
  </si>
  <si>
    <t>Giselle</t>
  </si>
  <si>
    <t xml:space="preserve">3710 Little Nook </t>
  </si>
  <si>
    <t>Kilwinning</t>
  </si>
  <si>
    <t>10/13/2017 2:26</t>
  </si>
  <si>
    <t>Basketball</t>
  </si>
  <si>
    <t>Buckley</t>
  </si>
  <si>
    <t>9598 Cinder Close</t>
  </si>
  <si>
    <t>Villeneuve-le-Roi</t>
  </si>
  <si>
    <t>SOLE E25 Elliptical</t>
  </si>
  <si>
    <t>Soccer</t>
  </si>
  <si>
    <t>Curry</t>
  </si>
  <si>
    <t>6998 Old Treasure Crossing</t>
  </si>
  <si>
    <t>Barakaldo</t>
  </si>
  <si>
    <t>País Vasco</t>
  </si>
  <si>
    <t>Elevation Training Mask 2.0</t>
  </si>
  <si>
    <t>9/13/2017 3:42</t>
  </si>
  <si>
    <t>100 Jagged Cloud Pathway</t>
  </si>
  <si>
    <t>Estocolmo</t>
  </si>
  <si>
    <t>Suecia</t>
  </si>
  <si>
    <t>9/17/2015 23:17</t>
  </si>
  <si>
    <t>9/23/2015 23:17</t>
  </si>
  <si>
    <t>Crawford</t>
  </si>
  <si>
    <t>8110 Old Place</t>
  </si>
  <si>
    <t>Aylesbury</t>
  </si>
  <si>
    <t>Langenhagen</t>
  </si>
  <si>
    <t>8/13/2017 10:13</t>
  </si>
  <si>
    <t>9221 Cotton Butterfly Terrace</t>
  </si>
  <si>
    <t>Birmingham</t>
  </si>
  <si>
    <t>8/17/2015 18:35</t>
  </si>
  <si>
    <t>8/21/2015 18:35</t>
  </si>
  <si>
    <t>4110 Quaking Abbey</t>
  </si>
  <si>
    <t>Amsterdam</t>
  </si>
  <si>
    <t>9/23/2015 9:57</t>
  </si>
  <si>
    <t>Holanda Septentrional</t>
  </si>
  <si>
    <t>9/27/2015 9:57</t>
  </si>
  <si>
    <t>Guerra</t>
  </si>
  <si>
    <t>6574 Shady Horse Wood</t>
  </si>
  <si>
    <t>Viena</t>
  </si>
  <si>
    <t>Austria</t>
  </si>
  <si>
    <t>10/23/2015 8:31</t>
  </si>
  <si>
    <t>10/28/2015 8:31</t>
  </si>
  <si>
    <t>Padilla</t>
  </si>
  <si>
    <t>4555 Amber Apple Cape</t>
  </si>
  <si>
    <t>7/16/2015 18:49</t>
  </si>
  <si>
    <t>Patricia</t>
  </si>
  <si>
    <t>Petersen</t>
  </si>
  <si>
    <t>3675 Emerald Goose Bank</t>
  </si>
  <si>
    <t>Houston</t>
  </si>
  <si>
    <t>Texas</t>
  </si>
  <si>
    <t>5/13/2016 17:42</t>
  </si>
  <si>
    <t>Fort Washington</t>
  </si>
  <si>
    <t>Julie</t>
  </si>
  <si>
    <t>MD</t>
  </si>
  <si>
    <t>9375 Harvest Circuit</t>
  </si>
  <si>
    <t>Gilbert</t>
  </si>
  <si>
    <t>Arizona</t>
  </si>
  <si>
    <t>Bakersfield</t>
  </si>
  <si>
    <t>3993 Thunder Hills Port</t>
  </si>
  <si>
    <t>8/14/2016 2:51</t>
  </si>
  <si>
    <t>8/20/2016 2:51</t>
  </si>
  <si>
    <t>Corona</t>
  </si>
  <si>
    <t>9414 Thunder Island Court</t>
  </si>
  <si>
    <t>Fresno</t>
  </si>
  <si>
    <t>5/18/2016 16:38</t>
  </si>
  <si>
    <t>5/20/2016 16:38</t>
  </si>
  <si>
    <t>Cincinnati</t>
  </si>
  <si>
    <t>Karen</t>
  </si>
  <si>
    <t>OH</t>
  </si>
  <si>
    <t>7573 Cozy Goose Road</t>
  </si>
  <si>
    <t>Peoria</t>
  </si>
  <si>
    <t>Germantown</t>
  </si>
  <si>
    <t>Shawn</t>
  </si>
  <si>
    <t>5985 Silent Leaf Vale</t>
  </si>
  <si>
    <t>4/21/2016 2:50</t>
  </si>
  <si>
    <t>East of USA</t>
  </si>
  <si>
    <t>Ohio</t>
  </si>
  <si>
    <t>4/24/2016 2:50</t>
  </si>
  <si>
    <t>Carrollton</t>
  </si>
  <si>
    <t>Silva</t>
  </si>
  <si>
    <t>1230 Crystal Lookout</t>
  </si>
  <si>
    <t>Columbus</t>
  </si>
  <si>
    <t>Indiana</t>
  </si>
  <si>
    <t>Girls' Apparel</t>
  </si>
  <si>
    <t>adidas Men's Germany Black Crest Away Tee</t>
  </si>
  <si>
    <t>Willie</t>
  </si>
  <si>
    <t>6350 Lost Hollow</t>
  </si>
  <si>
    <t>Ottawa</t>
  </si>
  <si>
    <t>Canada</t>
  </si>
  <si>
    <t>12/17/2016 8:48</t>
  </si>
  <si>
    <t>Ontario</t>
  </si>
  <si>
    <t>12/23/2016 8:48</t>
  </si>
  <si>
    <t>Chan</t>
  </si>
  <si>
    <t>4898 Red Butterfly Autoroute</t>
  </si>
  <si>
    <t>Kitchener</t>
  </si>
  <si>
    <t>8/30/2016 14:02</t>
  </si>
  <si>
    <t>Brooks</t>
  </si>
  <si>
    <t>7312 Crystal Willow Villas</t>
  </si>
  <si>
    <t>Philadelphia</t>
  </si>
  <si>
    <t>7/27/2016 6:01</t>
  </si>
  <si>
    <t>Pensilvania</t>
  </si>
  <si>
    <t>7/29/2016 6:01</t>
  </si>
  <si>
    <t>Accessories</t>
  </si>
  <si>
    <t>Ewa Beach</t>
  </si>
  <si>
    <t>Bruce</t>
  </si>
  <si>
    <t>HI</t>
  </si>
  <si>
    <t>9595 Blue Promenade</t>
  </si>
  <si>
    <t>Des Plaines</t>
  </si>
  <si>
    <t>7/17/2016 10:14</t>
  </si>
  <si>
    <t>Illinois</t>
  </si>
  <si>
    <t>Team Golf Pittsburgh Steelers Putter Grip</t>
  </si>
  <si>
    <t>7/21/2016 10:14</t>
  </si>
  <si>
    <t>Lakewood</t>
  </si>
  <si>
    <t>Williams</t>
  </si>
  <si>
    <t>NJ</t>
  </si>
  <si>
    <t>1790 Noble Brook Run</t>
  </si>
  <si>
    <t>Elmhurst</t>
  </si>
  <si>
    <t>Glove It Urban Brick Golf Towel</t>
  </si>
  <si>
    <t>Rome</t>
  </si>
  <si>
    <t>Ramirez</t>
  </si>
  <si>
    <t>2459 Round Spring Towers</t>
  </si>
  <si>
    <t>Antananarivo</t>
  </si>
  <si>
    <t>Madagascar</t>
  </si>
  <si>
    <t>Analamanga</t>
  </si>
  <si>
    <t>Vista</t>
  </si>
  <si>
    <t>690 Colonial Pine Passage</t>
  </si>
  <si>
    <t>Algiers</t>
  </si>
  <si>
    <t>Argelia</t>
  </si>
  <si>
    <t>8/26/2016 12:38</t>
  </si>
  <si>
    <t>Alger</t>
  </si>
  <si>
    <t>Fort Worth</t>
  </si>
  <si>
    <t>739 Jagged Goose Street</t>
  </si>
  <si>
    <t>Monrovia</t>
  </si>
  <si>
    <t>Liberia</t>
  </si>
  <si>
    <t>1/16/2017 22:04</t>
  </si>
  <si>
    <t>Montserrado</t>
  </si>
  <si>
    <t>1/20/2017 22:04</t>
  </si>
  <si>
    <t>Fond Du Lac</t>
  </si>
  <si>
    <t>WI</t>
  </si>
  <si>
    <t>29 Gentle Spring Mews</t>
  </si>
  <si>
    <t>9/28/2016 10:19</t>
  </si>
  <si>
    <t>Patton</t>
  </si>
  <si>
    <t>5532 Tawny Pines</t>
  </si>
  <si>
    <t>Gagnoa</t>
  </si>
  <si>
    <t>Fromager</t>
  </si>
  <si>
    <t>Team Golf Texas Longhorns Putter Grip</t>
  </si>
  <si>
    <t>4502 Hazy Run</t>
  </si>
  <si>
    <t>Livingstone</t>
  </si>
  <si>
    <t>Zambia</t>
  </si>
  <si>
    <t>9/16/2016 1:13</t>
  </si>
  <si>
    <t>Meridional</t>
  </si>
  <si>
    <t>9/18/2016 1:13</t>
  </si>
  <si>
    <t>Oviedo</t>
  </si>
  <si>
    <t>Mark</t>
  </si>
  <si>
    <t>6026 Stony Elk Hill</t>
  </si>
  <si>
    <t>Fes</t>
  </si>
  <si>
    <t>10/20/2016 3:59</t>
  </si>
  <si>
    <t>Fez-Bulmán</t>
  </si>
  <si>
    <t>10/24/2016 3:59</t>
  </si>
  <si>
    <t>Buffalo</t>
  </si>
  <si>
    <t>4903 Lazy Parkway</t>
  </si>
  <si>
    <t>Cairo</t>
  </si>
  <si>
    <t>El Cairo</t>
  </si>
  <si>
    <t>Honolulu</t>
  </si>
  <si>
    <t>Paul</t>
  </si>
  <si>
    <t>3902 Foggy Swale</t>
  </si>
  <si>
    <t>10/15/2016 6:06</t>
  </si>
  <si>
    <t>Oceanside</t>
  </si>
  <si>
    <t>Walter</t>
  </si>
  <si>
    <t>Chavez</t>
  </si>
  <si>
    <t>990 Dewy Crest</t>
  </si>
  <si>
    <t>Hurghada</t>
  </si>
  <si>
    <t>Al Bahr al Ahmar</t>
  </si>
  <si>
    <t>North Tonawanda</t>
  </si>
  <si>
    <t>Joyce</t>
  </si>
  <si>
    <t>9899 Hazy Falls</t>
  </si>
  <si>
    <t>Clovis</t>
  </si>
  <si>
    <t>Daniel</t>
  </si>
  <si>
    <t>7449 Merry Chase</t>
  </si>
  <si>
    <t>12/28/2016 7:33</t>
  </si>
  <si>
    <t>Jamaica</t>
  </si>
  <si>
    <t>Lynn</t>
  </si>
  <si>
    <t>7694 Velvet Turnabout</t>
  </si>
  <si>
    <t>8/25/2016 18:46</t>
  </si>
  <si>
    <t>8/30/2016 18:46</t>
  </si>
  <si>
    <t>Granite City</t>
  </si>
  <si>
    <t>Pamela</t>
  </si>
  <si>
    <t>1585 Stony Rabbit Hollow</t>
  </si>
  <si>
    <t>Niamey</t>
  </si>
  <si>
    <t>Níger</t>
  </si>
  <si>
    <t>Medford</t>
  </si>
  <si>
    <t>Betty</t>
  </si>
  <si>
    <t>2289 Cozy Promenade</t>
  </si>
  <si>
    <t>Sale</t>
  </si>
  <si>
    <t>11/28/2016 9:00</t>
  </si>
  <si>
    <t>Rabat-Salé-Zemur-Zaer</t>
  </si>
  <si>
    <t>Pomona</t>
  </si>
  <si>
    <t>830 Clear Sky Vale</t>
  </si>
  <si>
    <t>Pretoria</t>
  </si>
  <si>
    <t>SudAfrica</t>
  </si>
  <si>
    <t>Southern Africa</t>
  </si>
  <si>
    <t>Gauteng</t>
  </si>
  <si>
    <t>Nike Men's Deutschland Weltmeister Winners Bl</t>
  </si>
  <si>
    <t>Tempe</t>
  </si>
  <si>
    <t>Christian</t>
  </si>
  <si>
    <t>AZ</t>
  </si>
  <si>
    <t>2833 Clear Valley</t>
  </si>
  <si>
    <t>Marrakech</t>
  </si>
  <si>
    <t>11/19/2016 21:27</t>
  </si>
  <si>
    <t>Marrakech-Tensift-Al Hauz</t>
  </si>
  <si>
    <t>11/23/2016 21:27</t>
  </si>
  <si>
    <t>Santa Ana</t>
  </si>
  <si>
    <t>4682 Cozy Freeway</t>
  </si>
  <si>
    <t>Bur Sudan</t>
  </si>
  <si>
    <t>9/14/2016 5:26</t>
  </si>
  <si>
    <t>Mar Rojo</t>
  </si>
  <si>
    <t>9/16/2016 5:26</t>
  </si>
  <si>
    <t>York</t>
  </si>
  <si>
    <t>Ortega</t>
  </si>
  <si>
    <t>4196 Noble Beacon Mews</t>
  </si>
  <si>
    <t>Lagos</t>
  </si>
  <si>
    <t>Grimes</t>
  </si>
  <si>
    <t>CO</t>
  </si>
  <si>
    <t>231 Bright Alley</t>
  </si>
  <si>
    <t>Team Golf St. Louis Cardinals Putter Grip</t>
  </si>
  <si>
    <t>Simi Valley</t>
  </si>
  <si>
    <t>Summers</t>
  </si>
  <si>
    <t>3926 Stony Gardens</t>
  </si>
  <si>
    <t>Quelimane</t>
  </si>
  <si>
    <t>Mozambique</t>
  </si>
  <si>
    <t>1/14/2017 14:22</t>
  </si>
  <si>
    <t>Zambezia</t>
  </si>
  <si>
    <t>1/19/2017 14:22</t>
  </si>
  <si>
    <t>Silver Spring</t>
  </si>
  <si>
    <t>Tiffany</t>
  </si>
  <si>
    <t>Caldwell</t>
  </si>
  <si>
    <t>3632 Fallen Pioneer Isle</t>
  </si>
  <si>
    <t>Port Elizabeth</t>
  </si>
  <si>
    <t>Cabo Oriental</t>
  </si>
  <si>
    <t>Saint Paul</t>
  </si>
  <si>
    <t>Garcia</t>
  </si>
  <si>
    <t>MN</t>
  </si>
  <si>
    <t>1070 Dusty Beacon Maze</t>
  </si>
  <si>
    <t>Shinyanga</t>
  </si>
  <si>
    <t>Tanzania</t>
  </si>
  <si>
    <t>9/17/2016 23:07</t>
  </si>
  <si>
    <t>9/20/2016 23:07</t>
  </si>
  <si>
    <t>San Antonio</t>
  </si>
  <si>
    <t>Stephen</t>
  </si>
  <si>
    <t>Lee</t>
  </si>
  <si>
    <t>469 Crystal Anchor Mountain</t>
  </si>
  <si>
    <t>Kismaayo</t>
  </si>
  <si>
    <t>11/14/2016 13:14</t>
  </si>
  <si>
    <t>Jubbada Hoose</t>
  </si>
  <si>
    <t>11/17/2016 13:14</t>
  </si>
  <si>
    <t>George</t>
  </si>
  <si>
    <t>Middleton</t>
  </si>
  <si>
    <t>3601 Cozy Creek Trail</t>
  </si>
  <si>
    <t>Butare</t>
  </si>
  <si>
    <t>Ruanda</t>
  </si>
  <si>
    <t>12/16/2016 15:49</t>
  </si>
  <si>
    <t>Samuel</t>
  </si>
  <si>
    <t>7007 Quiet Via</t>
  </si>
  <si>
    <t>Bronx</t>
  </si>
  <si>
    <t>Larry</t>
  </si>
  <si>
    <t>King</t>
  </si>
  <si>
    <t>2515 Burning Boulevard</t>
  </si>
  <si>
    <t>Newcastle</t>
  </si>
  <si>
    <t>11/22/2016 2:00</t>
  </si>
  <si>
    <t>KwaZulu-Natal</t>
  </si>
  <si>
    <t>11/26/2016 2:00</t>
  </si>
  <si>
    <t>Greenville</t>
  </si>
  <si>
    <t>Peter</t>
  </si>
  <si>
    <t>NC</t>
  </si>
  <si>
    <t>2127 Cozy Deer Bank</t>
  </si>
  <si>
    <t>8/31/2016 12:06</t>
  </si>
  <si>
    <t>Morristown</t>
  </si>
  <si>
    <t>Diana</t>
  </si>
  <si>
    <t>Richards</t>
  </si>
  <si>
    <t>3593 Easy Embers Field</t>
  </si>
  <si>
    <t>Jerusalén</t>
  </si>
  <si>
    <t>Israel</t>
  </si>
  <si>
    <t>San Diego</t>
  </si>
  <si>
    <t>Castillo</t>
  </si>
  <si>
    <t>9900 Hidden Rise Downs</t>
  </si>
  <si>
    <t>Gold Coast</t>
  </si>
  <si>
    <t>2/16/2016 4:09</t>
  </si>
  <si>
    <t>2/20/2016 4:09</t>
  </si>
  <si>
    <t>Oxnard</t>
  </si>
  <si>
    <t>1055 Crystal Woods</t>
  </si>
  <si>
    <t>12/31/2015 19:27</t>
  </si>
  <si>
    <t>5365 Tawny Apple Limits</t>
  </si>
  <si>
    <t>Porirua</t>
  </si>
  <si>
    <t>Nueva Zelanda</t>
  </si>
  <si>
    <t>3/26/2016 8:07</t>
  </si>
  <si>
    <t>Wellington</t>
  </si>
  <si>
    <t>3/28/2016 8:07</t>
  </si>
  <si>
    <t>Albuquerque</t>
  </si>
  <si>
    <t>Camacho</t>
  </si>
  <si>
    <t>NM</t>
  </si>
  <si>
    <t>4845 Thunder Embers Hollow</t>
  </si>
  <si>
    <t>Mildura</t>
  </si>
  <si>
    <t>Women's Clothing</t>
  </si>
  <si>
    <t>Amarillo</t>
  </si>
  <si>
    <t>Leach</t>
  </si>
  <si>
    <t>5154 Honey Bend</t>
  </si>
  <si>
    <t>1/27/2018 2:38</t>
  </si>
  <si>
    <t>Summer dresses</t>
  </si>
  <si>
    <t>Lutz</t>
  </si>
  <si>
    <t>Theresa</t>
  </si>
  <si>
    <t>Pearson</t>
  </si>
  <si>
    <t>6715 Gentle Horse Row</t>
  </si>
  <si>
    <t>Daca</t>
  </si>
  <si>
    <t>Bangladés</t>
  </si>
  <si>
    <t>Bend</t>
  </si>
  <si>
    <t>Cynthia</t>
  </si>
  <si>
    <t>OR</t>
  </si>
  <si>
    <t>6412 Crystal View Townline</t>
  </si>
  <si>
    <t>Kanpur</t>
  </si>
  <si>
    <t>2/14/2016 5:54</t>
  </si>
  <si>
    <t>2/16/2016 5:54</t>
  </si>
  <si>
    <t>East Brunswick</t>
  </si>
  <si>
    <t>263 Harvest Wood</t>
  </si>
  <si>
    <t>Bangkok</t>
  </si>
  <si>
    <t>Tailandia</t>
  </si>
  <si>
    <t>11/28/2015 1:06</t>
  </si>
  <si>
    <t>Sean</t>
  </si>
  <si>
    <t>Chung</t>
  </si>
  <si>
    <t>SC</t>
  </si>
  <si>
    <t>7111 Cotton Blossom Estates</t>
  </si>
  <si>
    <t>12/17/2015 15:17</t>
  </si>
  <si>
    <t>Jonathan</t>
  </si>
  <si>
    <t>Richmond</t>
  </si>
  <si>
    <t>3005 Bright Maze</t>
  </si>
  <si>
    <t>Bagdad</t>
  </si>
  <si>
    <t>Irak</t>
  </si>
  <si>
    <t>9/17/2016 4:12</t>
  </si>
  <si>
    <t>9/21/2016 4:12</t>
  </si>
  <si>
    <t>Christopher</t>
  </si>
  <si>
    <t>5657 Lost Expressway</t>
  </si>
  <si>
    <t>Adana</t>
  </si>
  <si>
    <t>12/16/2016 1:59</t>
  </si>
  <si>
    <t>Hampton</t>
  </si>
  <si>
    <t>Donald</t>
  </si>
  <si>
    <t>Price</t>
  </si>
  <si>
    <t>VA</t>
  </si>
  <si>
    <t>183 Velvet Grove Towers</t>
  </si>
  <si>
    <t>Riyadh</t>
  </si>
  <si>
    <t>Arabia Saudí</t>
  </si>
  <si>
    <t>10/28/2016 15:11</t>
  </si>
  <si>
    <t>Riad</t>
  </si>
  <si>
    <t>Crafts</t>
  </si>
  <si>
    <t>New York</t>
  </si>
  <si>
    <t>Rana</t>
  </si>
  <si>
    <t>Moreno</t>
  </si>
  <si>
    <t>2275 Rustic Impasse</t>
  </si>
  <si>
    <t>Shenzhen</t>
  </si>
  <si>
    <t>12/27/2017 20:01</t>
  </si>
  <si>
    <t>Porcelain crafts</t>
  </si>
  <si>
    <t>12/29/2017 20:01</t>
  </si>
  <si>
    <t>Porterville</t>
  </si>
  <si>
    <t>8279 Bright Fox Highway</t>
  </si>
  <si>
    <t>Tianjin</t>
  </si>
  <si>
    <t>2/16/2016 12:34</t>
  </si>
  <si>
    <t>Portland</t>
  </si>
  <si>
    <t>William</t>
  </si>
  <si>
    <t>2792 Middle Mount</t>
  </si>
  <si>
    <t>Perth</t>
  </si>
  <si>
    <t>3/15/2016 7:58</t>
  </si>
  <si>
    <t>3/18/2016 7:58</t>
  </si>
  <si>
    <t>Strongsville</t>
  </si>
  <si>
    <t>Rachel</t>
  </si>
  <si>
    <t>Cochran</t>
  </si>
  <si>
    <t>6414 Jagged Sky Gardens</t>
  </si>
  <si>
    <t>Dunedin</t>
  </si>
  <si>
    <t>3/28/2016 0:25</t>
  </si>
  <si>
    <t>Otago</t>
  </si>
  <si>
    <t>3/30/2016 0:25</t>
  </si>
  <si>
    <t>El Paso</t>
  </si>
  <si>
    <t>Dorothy</t>
  </si>
  <si>
    <t>Frye</t>
  </si>
  <si>
    <t>4849 Clear Blossom Turnabout</t>
  </si>
  <si>
    <t>Melbourne</t>
  </si>
  <si>
    <t>3/14/2016 20:03</t>
  </si>
  <si>
    <t>3/18/2016 20:03</t>
  </si>
  <si>
    <t>Del Rio</t>
  </si>
  <si>
    <t>Robert</t>
  </si>
  <si>
    <t>Gilmore</t>
  </si>
  <si>
    <t>8248 Clear Glade</t>
  </si>
  <si>
    <t>Ulhasnagar</t>
  </si>
  <si>
    <t>11/18/2015 9:53</t>
  </si>
  <si>
    <t>11/23/2015 9:53</t>
  </si>
  <si>
    <t>4606 Umber Range</t>
  </si>
  <si>
    <t>Manila</t>
  </si>
  <si>
    <t>Filipinas</t>
  </si>
  <si>
    <t>12/20/2015 16:29</t>
  </si>
  <si>
    <t>Capital Nacional</t>
  </si>
  <si>
    <t>12/26/2015 16:29</t>
  </si>
  <si>
    <t>Bountiful</t>
  </si>
  <si>
    <t>UT</t>
  </si>
  <si>
    <t>2058 Quaking Oak Common</t>
  </si>
  <si>
    <t>Mersin</t>
  </si>
  <si>
    <t>9/14/2016 5:47</t>
  </si>
  <si>
    <t>Kent</t>
  </si>
  <si>
    <t>Webster</t>
  </si>
  <si>
    <t>WA</t>
  </si>
  <si>
    <t>5131 Gentle Limits</t>
  </si>
  <si>
    <t>Temirtau</t>
  </si>
  <si>
    <t>Kazajistán</t>
  </si>
  <si>
    <t>Central Asia</t>
  </si>
  <si>
    <t>Karagandá</t>
  </si>
  <si>
    <t>Chicago</t>
  </si>
  <si>
    <t>Andrea</t>
  </si>
  <si>
    <t>Johnson</t>
  </si>
  <si>
    <t>9595 Iron Orchard</t>
  </si>
  <si>
    <t>Tengzhou</t>
  </si>
  <si>
    <t>Shandong</t>
  </si>
  <si>
    <t>11/14/2015 3:45</t>
  </si>
  <si>
    <t>Plymouth</t>
  </si>
  <si>
    <t>Martha</t>
  </si>
  <si>
    <t>Pierce</t>
  </si>
  <si>
    <t>6797 Quiet Mountain Rise</t>
  </si>
  <si>
    <t>Nantong</t>
  </si>
  <si>
    <t>12/13/2015 22:17</t>
  </si>
  <si>
    <t>Jiangsu</t>
  </si>
  <si>
    <t>12/16/2015 22:17</t>
  </si>
  <si>
    <t>Far Rockaway</t>
  </si>
  <si>
    <t>Riddle</t>
  </si>
  <si>
    <t>340 Velvet Barn Gate</t>
  </si>
  <si>
    <t>Dalian</t>
  </si>
  <si>
    <t>Liaoning</t>
  </si>
  <si>
    <t>Golden</t>
  </si>
  <si>
    <t>569 Hazy Wynd</t>
  </si>
  <si>
    <t>Lianyuan</t>
  </si>
  <si>
    <t>12/14/2017 15:39</t>
  </si>
  <si>
    <t>Hunan</t>
  </si>
  <si>
    <t>12/18/2017 15:39</t>
  </si>
  <si>
    <t>Lawrence</t>
  </si>
  <si>
    <t>5768 Jagged Zephyr Port</t>
  </si>
  <si>
    <t>Caloundra</t>
  </si>
  <si>
    <t>3/15/2016 3:45</t>
  </si>
  <si>
    <t>3/21/2016 3:45</t>
  </si>
  <si>
    <t>Carolyn</t>
  </si>
  <si>
    <t>Shea</t>
  </si>
  <si>
    <t>1021 Silver Log Cape</t>
  </si>
  <si>
    <t>3/16/2016 10:14</t>
  </si>
  <si>
    <t>3/19/2016 10:14</t>
  </si>
  <si>
    <t>2002 Noble Crescent</t>
  </si>
  <si>
    <t>Bendigo</t>
  </si>
  <si>
    <t>Garden Grove</t>
  </si>
  <si>
    <t>Sweeney</t>
  </si>
  <si>
    <t>7262 Emerald Boulevard</t>
  </si>
  <si>
    <t>Adelaide</t>
  </si>
  <si>
    <t>1/28/2018 15:46</t>
  </si>
  <si>
    <t>1/30/2018 15:46</t>
  </si>
  <si>
    <t>9176 Shady Barn Jetty</t>
  </si>
  <si>
    <t>Ajmer</t>
  </si>
  <si>
    <t>12/18/2015 5:59</t>
  </si>
  <si>
    <t>12/22/2015 5:59</t>
  </si>
  <si>
    <t>Julia</t>
  </si>
  <si>
    <t>Robinson</t>
  </si>
  <si>
    <t>3670 Broad Mountain Link</t>
  </si>
  <si>
    <t>Kerman</t>
  </si>
  <si>
    <t>Irán</t>
  </si>
  <si>
    <t>1/17/2017 12:26</t>
  </si>
  <si>
    <t>1/22/2017 12:26</t>
  </si>
  <si>
    <t>Placentia</t>
  </si>
  <si>
    <t>Patience</t>
  </si>
  <si>
    <t>Ward</t>
  </si>
  <si>
    <t>7126 Hazy Berry Mount</t>
  </si>
  <si>
    <t>Vadodara</t>
  </si>
  <si>
    <t>12/13/2017 20:44</t>
  </si>
  <si>
    <t>Guyarat</t>
  </si>
  <si>
    <t>12/18/2017 20:44</t>
  </si>
  <si>
    <t>Cheryl</t>
  </si>
  <si>
    <t>Koch</t>
  </si>
  <si>
    <t>Semarang</t>
  </si>
  <si>
    <t>12/26/2017 18:26</t>
  </si>
  <si>
    <t>Java Central</t>
  </si>
  <si>
    <t>12/30/2017 18:26</t>
  </si>
  <si>
    <t>1134 Misty River Woods</t>
  </si>
  <si>
    <t>Cirebon</t>
  </si>
  <si>
    <t>1/27/2016 12:14</t>
  </si>
  <si>
    <t>1/29/2016 12:14</t>
  </si>
  <si>
    <t>Mentor</t>
  </si>
  <si>
    <t>Collins</t>
  </si>
  <si>
    <t>5808 Silver Rise Circuit</t>
  </si>
  <si>
    <t>Rangún</t>
  </si>
  <si>
    <t>Myanmar (Birmania)</t>
  </si>
  <si>
    <t>1/30/2018 11:54</t>
  </si>
  <si>
    <t>Santa Clara</t>
  </si>
  <si>
    <t>Curtis</t>
  </si>
  <si>
    <t>3180 Golden Cider Circle</t>
  </si>
  <si>
    <t>Kütahya</t>
  </si>
  <si>
    <t>8/30/2016 8:47</t>
  </si>
  <si>
    <t>Union</t>
  </si>
  <si>
    <t>5593 Indian Trail</t>
  </si>
  <si>
    <t>11/17/2016 4:59</t>
  </si>
  <si>
    <t>11/22/2016 4:59</t>
  </si>
  <si>
    <t>Timothy</t>
  </si>
  <si>
    <t>Moses</t>
  </si>
  <si>
    <t>1987 Grand Alley</t>
  </si>
  <si>
    <t>Namangán</t>
  </si>
  <si>
    <t>Uzbekistán</t>
  </si>
  <si>
    <t>12/29/2016 15:26</t>
  </si>
  <si>
    <t>12/31/2016 15:26</t>
  </si>
  <si>
    <t>Westminster</t>
  </si>
  <si>
    <t>Ramos</t>
  </si>
  <si>
    <t>4463 Cotton Quail Forest</t>
  </si>
  <si>
    <t>Xinzhou</t>
  </si>
  <si>
    <t>Hubei</t>
  </si>
  <si>
    <t>Men's Clothing</t>
  </si>
  <si>
    <t>Pompano Beach</t>
  </si>
  <si>
    <t>Aimee</t>
  </si>
  <si>
    <t>5875 Grand Campus</t>
  </si>
  <si>
    <t>Mudanjiang</t>
  </si>
  <si>
    <t>11/24/2017 19:11</t>
  </si>
  <si>
    <t>Heilongjiang</t>
  </si>
  <si>
    <t>Men's gala suit</t>
  </si>
  <si>
    <t>11/28/2017 19:11</t>
  </si>
  <si>
    <t>Azusa</t>
  </si>
  <si>
    <t>Yoder</t>
  </si>
  <si>
    <t>1010 Rustic Fox View</t>
  </si>
  <si>
    <t>Lokossa</t>
  </si>
  <si>
    <t>Benín</t>
  </si>
  <si>
    <t>Mono</t>
  </si>
  <si>
    <t>12/14/2016 13:11</t>
  </si>
  <si>
    <t>Fort Lauderdale</t>
  </si>
  <si>
    <t>Chapman</t>
  </si>
  <si>
    <t>1430 Easy Spring Key</t>
  </si>
  <si>
    <t>Ikot Ekpene</t>
  </si>
  <si>
    <t>10/26/2016 6:25</t>
  </si>
  <si>
    <t>Akwa Ibom</t>
  </si>
  <si>
    <t>10/28/2016 6:25</t>
  </si>
  <si>
    <t>Rose</t>
  </si>
  <si>
    <t>3050 Crystal Fawn Green</t>
  </si>
  <si>
    <t>Warri</t>
  </si>
  <si>
    <t>10/19/2016 6:36</t>
  </si>
  <si>
    <t>Delta</t>
  </si>
  <si>
    <t>10/22/2016 6:36</t>
  </si>
  <si>
    <t>Princeton</t>
  </si>
  <si>
    <t>Virginia</t>
  </si>
  <si>
    <t>3139 Golden Autumn Byway</t>
  </si>
  <si>
    <t>Bandundu</t>
  </si>
  <si>
    <t>Perth Amboy</t>
  </si>
  <si>
    <t>Jessica</t>
  </si>
  <si>
    <t>Lang</t>
  </si>
  <si>
    <t>3356 Crystal Farm</t>
  </si>
  <si>
    <t>9/29/2016 16:27</t>
  </si>
  <si>
    <t>Margaret</t>
  </si>
  <si>
    <t>8473 Crystal Hickory Path</t>
  </si>
  <si>
    <t>Foumban</t>
  </si>
  <si>
    <t>Camerún</t>
  </si>
  <si>
    <t>Ouest</t>
  </si>
  <si>
    <t>Loveland</t>
  </si>
  <si>
    <t>874 Thunder Front</t>
  </si>
  <si>
    <t>Luanda</t>
  </si>
  <si>
    <t>Virginia Beach</t>
  </si>
  <si>
    <t>Richard</t>
  </si>
  <si>
    <t>9627 Little Terrace</t>
  </si>
  <si>
    <t>Maiduguri</t>
  </si>
  <si>
    <t>Borno</t>
  </si>
  <si>
    <t>11/15/2016 5:10</t>
  </si>
  <si>
    <t>Louisville</t>
  </si>
  <si>
    <t>Deborah</t>
  </si>
  <si>
    <t>KY</t>
  </si>
  <si>
    <t>9295 Emerald Downs</t>
  </si>
  <si>
    <t>Nairobi</t>
  </si>
  <si>
    <t>Kenia</t>
  </si>
  <si>
    <t>11/26/2016 12:30</t>
  </si>
  <si>
    <t>11/29/2016 12:30</t>
  </si>
  <si>
    <t>Lockport</t>
  </si>
  <si>
    <t>Emma</t>
  </si>
  <si>
    <t>Russell</t>
  </si>
  <si>
    <t>8400 Clear Wagon  Row</t>
  </si>
  <si>
    <t>Kitwe</t>
  </si>
  <si>
    <t>Copperbelt</t>
  </si>
  <si>
    <t>12/15/2016 22:07</t>
  </si>
  <si>
    <t>5420 Crystal Hill</t>
  </si>
  <si>
    <t>Staten Island</t>
  </si>
  <si>
    <t>Adam</t>
  </si>
  <si>
    <t>4047 Grand Port</t>
  </si>
  <si>
    <t>Nkongsamba</t>
  </si>
  <si>
    <t>10/20/2016 21:30</t>
  </si>
  <si>
    <t>Littoral</t>
  </si>
  <si>
    <t>10/24/2016 21:30</t>
  </si>
  <si>
    <t>Tucson</t>
  </si>
  <si>
    <t>6575 Quiet Loop</t>
  </si>
  <si>
    <t>Mbuji-mayi</t>
  </si>
  <si>
    <t>Kasai Oriental</t>
  </si>
  <si>
    <t>Carey</t>
  </si>
  <si>
    <t>4317 Emerald Bay</t>
  </si>
  <si>
    <t>Lome</t>
  </si>
  <si>
    <t>Togo</t>
  </si>
  <si>
    <t>12/19/2016 9:30</t>
  </si>
  <si>
    <t>Marítima</t>
  </si>
  <si>
    <t>12/24/2016 9:30</t>
  </si>
  <si>
    <t>Cleveland</t>
  </si>
  <si>
    <t>Reynolds</t>
  </si>
  <si>
    <t>5325 Amber Blossom Way</t>
  </si>
  <si>
    <t>Team Golf Tennessee Volunteers Putter Grip</t>
  </si>
  <si>
    <t>Sarah</t>
  </si>
  <si>
    <t>10/16/2016 15:22</t>
  </si>
  <si>
    <t>Edward</t>
  </si>
  <si>
    <t>3867 Middle Leaf By-pass</t>
  </si>
  <si>
    <t>Mahajanga</t>
  </si>
  <si>
    <t>Boeny</t>
  </si>
  <si>
    <t>Team Golf San Francisco Giants Putter Grip</t>
  </si>
  <si>
    <t>10/13/2016 12:34</t>
  </si>
  <si>
    <t>Stockton</t>
  </si>
  <si>
    <t>Harry</t>
  </si>
  <si>
    <t>6332 Round Range</t>
  </si>
  <si>
    <t>10/27/2016 0:59</t>
  </si>
  <si>
    <t>Glove It Imperial Golf Towel</t>
  </si>
  <si>
    <t>Decker</t>
  </si>
  <si>
    <t>6826 Quiet Lane</t>
  </si>
  <si>
    <t>Kano</t>
  </si>
  <si>
    <t>Martinsburg</t>
  </si>
  <si>
    <t>Charles</t>
  </si>
  <si>
    <t>WV</t>
  </si>
  <si>
    <t>3882 Golden Maze</t>
  </si>
  <si>
    <t>Annaba</t>
  </si>
  <si>
    <t>12/28/2016 18:46</t>
  </si>
  <si>
    <t>12/31/2016 18:46</t>
  </si>
  <si>
    <t>Cumberland</t>
  </si>
  <si>
    <t>1102 Misty Rabbit Alley</t>
  </si>
  <si>
    <t>Tennis &amp; Racquet</t>
  </si>
  <si>
    <t>Pekin</t>
  </si>
  <si>
    <t>Debra</t>
  </si>
  <si>
    <t>Butler</t>
  </si>
  <si>
    <t>8581 Blue Crescent</t>
  </si>
  <si>
    <t>Cotonou</t>
  </si>
  <si>
    <t>Nike Men's Comfort 2 Slide</t>
  </si>
  <si>
    <t>Tallahassee</t>
  </si>
  <si>
    <t>2749 Emerald Glen</t>
  </si>
  <si>
    <t>Jacksonville</t>
  </si>
  <si>
    <t xml:space="preserve">7320 Wishing Rise Mall </t>
  </si>
  <si>
    <t>Dar es Salaam</t>
  </si>
  <si>
    <t>8/30/2016 2:49</t>
  </si>
  <si>
    <t>Woonsocket</t>
  </si>
  <si>
    <t>Doris</t>
  </si>
  <si>
    <t>RI</t>
  </si>
  <si>
    <t>3087 Hazy Glen</t>
  </si>
  <si>
    <t>10/18/2016 14:29</t>
  </si>
  <si>
    <t>10/20/2016 14:29</t>
  </si>
  <si>
    <t>Benjamin</t>
  </si>
  <si>
    <t>Case</t>
  </si>
  <si>
    <t>125 Easy Lake Close</t>
  </si>
  <si>
    <t>Cape Town</t>
  </si>
  <si>
    <t>8/29/2016 10:42</t>
  </si>
  <si>
    <t>Cabo Occidental</t>
  </si>
  <si>
    <t>Lithonia</t>
  </si>
  <si>
    <t>Stephanie</t>
  </si>
  <si>
    <t>4263 Cozy Embers Ledge</t>
  </si>
  <si>
    <t>12/29/2016 13:20</t>
  </si>
  <si>
    <t>Oak Lawn</t>
  </si>
  <si>
    <t>9725 Cotton Forest</t>
  </si>
  <si>
    <t>Montpellier</t>
  </si>
  <si>
    <t>10/13/2015 22:53</t>
  </si>
  <si>
    <t>Languedoc-Rosellón-Mediodía-Pirineos</t>
  </si>
  <si>
    <t>10/19/2015 22:53</t>
  </si>
  <si>
    <t>Fitness Accessories</t>
  </si>
  <si>
    <t>Nicholas</t>
  </si>
  <si>
    <t>Murray</t>
  </si>
  <si>
    <t>1915 Thunder Hickory Freeway</t>
  </si>
  <si>
    <t>Khmelnytskyi</t>
  </si>
  <si>
    <t>Ucrania</t>
  </si>
  <si>
    <t>9/29/2016 4:11</t>
  </si>
  <si>
    <t>Eastern Europe</t>
  </si>
  <si>
    <t>Under Armour Hustle Storm Medium Duffle Bag</t>
  </si>
  <si>
    <t>Alhambra</t>
  </si>
  <si>
    <t>1098 Fallen By-pass</t>
  </si>
  <si>
    <t>Vannes</t>
  </si>
  <si>
    <t>Bretaña</t>
  </si>
  <si>
    <t>8/13/2015 21:35</t>
  </si>
  <si>
    <t>New Haven</t>
  </si>
  <si>
    <t>CT</t>
  </si>
  <si>
    <t>8271 Foggy Horse Inlet</t>
  </si>
  <si>
    <t>Fuenlabrada</t>
  </si>
  <si>
    <t>8/14/2015 16:40</t>
  </si>
  <si>
    <t>Under Armour Kids' Mercenary Slide</t>
  </si>
  <si>
    <t>8/17/2015 16:40</t>
  </si>
  <si>
    <t>Joseph</t>
  </si>
  <si>
    <t>Matthews</t>
  </si>
  <si>
    <t>3046 Broad Sky Dale</t>
  </si>
  <si>
    <t>Villemomble</t>
  </si>
  <si>
    <t>8/16/2015 5:07</t>
  </si>
  <si>
    <t>Phoenix</t>
  </si>
  <si>
    <t>Roach</t>
  </si>
  <si>
    <t>1200 Silent Bend</t>
  </si>
  <si>
    <t>7/29/2017 19:42</t>
  </si>
  <si>
    <t>7/31/2017 19:42</t>
  </si>
  <si>
    <t>Kenner</t>
  </si>
  <si>
    <t>Diane</t>
  </si>
  <si>
    <t>LA</t>
  </si>
  <si>
    <t>8768 Shady Arbor</t>
  </si>
  <si>
    <t>Gien</t>
  </si>
  <si>
    <t>Centro-Valle de Loira</t>
  </si>
  <si>
    <t>Andrew</t>
  </si>
  <si>
    <t>Whitehead</t>
  </si>
  <si>
    <t>3361 Little Ledge</t>
  </si>
  <si>
    <t>Neuilly-sur-Seine</t>
  </si>
  <si>
    <t>6/28/2017 22:43</t>
  </si>
  <si>
    <t>6/30/2017 22:43</t>
  </si>
  <si>
    <t>Holland</t>
  </si>
  <si>
    <t>2088 Emerald Downs</t>
  </si>
  <si>
    <t>Viersen</t>
  </si>
  <si>
    <t>6/15/2015 10:27</t>
  </si>
  <si>
    <t>Under Armour Women's Ignite PIP VI Slide</t>
  </si>
  <si>
    <t>6/20/2015 10:27</t>
  </si>
  <si>
    <t>Morrisville</t>
  </si>
  <si>
    <t>Roger</t>
  </si>
  <si>
    <t>5263 Middle Road</t>
  </si>
  <si>
    <t>Verona</t>
  </si>
  <si>
    <t>Véneto</t>
  </si>
  <si>
    <t>Memphis</t>
  </si>
  <si>
    <t>TN</t>
  </si>
  <si>
    <t>Fano</t>
  </si>
  <si>
    <t>Marche</t>
  </si>
  <si>
    <t>Federal Way</t>
  </si>
  <si>
    <t>Burns</t>
  </si>
  <si>
    <t>9419 Cinder Hickory Towers</t>
  </si>
  <si>
    <t>Gdynia</t>
  </si>
  <si>
    <t>Polonia</t>
  </si>
  <si>
    <t>11/17/2016 2:32</t>
  </si>
  <si>
    <t>Pomerania</t>
  </si>
  <si>
    <t>11/20/2016 2:32</t>
  </si>
  <si>
    <t>Palmer</t>
  </si>
  <si>
    <t>4212 Cozy Corners</t>
  </si>
  <si>
    <t>Talavera de la Reina</t>
  </si>
  <si>
    <t>7/15/2017 3:15</t>
  </si>
  <si>
    <t>Castilla-La Mancha</t>
  </si>
  <si>
    <t>7/21/2017 3:15</t>
  </si>
  <si>
    <t>Danielle</t>
  </si>
  <si>
    <t xml:space="preserve">3614 Misty Mall </t>
  </si>
  <si>
    <t>Montreuil</t>
  </si>
  <si>
    <t>9/13/2017 7:01</t>
  </si>
  <si>
    <t>9/15/2017 7:01</t>
  </si>
  <si>
    <t>8706 Harvest Green</t>
  </si>
  <si>
    <t>Marseille</t>
  </si>
  <si>
    <t>Mullins</t>
  </si>
  <si>
    <t>3193 Gentle Circuit</t>
  </si>
  <si>
    <t>Lisbon</t>
  </si>
  <si>
    <t>Portugal</t>
  </si>
  <si>
    <t>Lisboa</t>
  </si>
  <si>
    <t>As Seen on  TV</t>
  </si>
  <si>
    <t>7358 Rocky Villas</t>
  </si>
  <si>
    <t>Wolverhampton</t>
  </si>
  <si>
    <t>Nike Men's Free TR 5.0 TB Training Shoe</t>
  </si>
  <si>
    <t>Patrick</t>
  </si>
  <si>
    <t>Browning</t>
  </si>
  <si>
    <t>112 Green Fawn Estates</t>
  </si>
  <si>
    <t>Satu Mare</t>
  </si>
  <si>
    <t>Rumania</t>
  </si>
  <si>
    <t>11/16/2016 10:04</t>
  </si>
  <si>
    <t>11/22/2016 10:04</t>
  </si>
  <si>
    <t>West Covina</t>
  </si>
  <si>
    <t>7094 Round Carrefour</t>
  </si>
  <si>
    <t>Guadalajara</t>
  </si>
  <si>
    <t>3/13/2017 21:18</t>
  </si>
  <si>
    <t>3/16/2017 21:18</t>
  </si>
  <si>
    <t>Ventura</t>
  </si>
  <si>
    <t>Rivera</t>
  </si>
  <si>
    <t>3367 Easy Pines</t>
  </si>
  <si>
    <t>Cúcuta</t>
  </si>
  <si>
    <t>Norte de Santander</t>
  </si>
  <si>
    <t>Pope</t>
  </si>
  <si>
    <t>DC</t>
  </si>
  <si>
    <t>4776 Crystal River Stead</t>
  </si>
  <si>
    <t>Zacatecas</t>
  </si>
  <si>
    <t>2/21/2017 5:12</t>
  </si>
  <si>
    <t>2/23/2017 5:12</t>
  </si>
  <si>
    <t>Valrico</t>
  </si>
  <si>
    <t>7312 Umber Prairie Wynd</t>
  </si>
  <si>
    <t>Chihuahua</t>
  </si>
  <si>
    <t>Kaneohe</t>
  </si>
  <si>
    <t>1221 Cinder Pines</t>
  </si>
  <si>
    <t>Brasília</t>
  </si>
  <si>
    <t>1/27/2017 2:16</t>
  </si>
  <si>
    <t>8824 Noble View Valley</t>
  </si>
  <si>
    <t>Santarém</t>
  </si>
  <si>
    <t>Pará</t>
  </si>
  <si>
    <t>2/15/2015 20:36</t>
  </si>
  <si>
    <t>Brooklyn</t>
  </si>
  <si>
    <t>2720 Stony Field</t>
  </si>
  <si>
    <t>Joinville</t>
  </si>
  <si>
    <t>Santa Catarina</t>
  </si>
  <si>
    <t>698 Colonial Way</t>
  </si>
  <si>
    <t>Monterrey</t>
  </si>
  <si>
    <t>Nuevo León</t>
  </si>
  <si>
    <t>Wilson</t>
  </si>
  <si>
    <t>7409 Cotton Manor</t>
  </si>
  <si>
    <t>Pitalito</t>
  </si>
  <si>
    <t>4/19/2015 4:03</t>
  </si>
  <si>
    <t>Huila</t>
  </si>
  <si>
    <t>4/21/2015 4:03</t>
  </si>
  <si>
    <t>3/20/2015 1:17</t>
  </si>
  <si>
    <t>3/24/2015 1:17</t>
  </si>
  <si>
    <t>Walker</t>
  </si>
  <si>
    <t>5731 Cinder Horse Court</t>
  </si>
  <si>
    <t>5/22/2017 1:56</t>
  </si>
  <si>
    <t>5/25/2017 1:56</t>
  </si>
  <si>
    <t>Stout</t>
  </si>
  <si>
    <t>72 Noble Path</t>
  </si>
  <si>
    <t>Querétaro</t>
  </si>
  <si>
    <t>5/18/2017 12:26</t>
  </si>
  <si>
    <t>5/22/2017 12:26</t>
  </si>
  <si>
    <t>Morrow</t>
  </si>
  <si>
    <t>923 Amber Grounds</t>
  </si>
  <si>
    <t>Chaguanas</t>
  </si>
  <si>
    <t>Trinidad y Tobago</t>
  </si>
  <si>
    <t>2/20/2015 11:29</t>
  </si>
  <si>
    <t>2/25/2015 11:29</t>
  </si>
  <si>
    <t>Lodi</t>
  </si>
  <si>
    <t>Carter</t>
  </si>
  <si>
    <t>3901 Iron Parade</t>
  </si>
  <si>
    <t>4915 Lazy Pine Bay</t>
  </si>
  <si>
    <t>2/19/2017 7:19</t>
  </si>
  <si>
    <t>2/25/2017 7:19</t>
  </si>
  <si>
    <t>Rodgers</t>
  </si>
  <si>
    <t>654 Gentle Acres</t>
  </si>
  <si>
    <t>1/30/2015 9:14</t>
  </si>
  <si>
    <t>adidas Youth Germany Black/Red Away Match Soc</t>
  </si>
  <si>
    <t>7581 Cinder Link</t>
  </si>
  <si>
    <t>3/26/2017 23:33</t>
  </si>
  <si>
    <t>3/31/2017 23:33</t>
  </si>
  <si>
    <t>Murphy</t>
  </si>
  <si>
    <t>6001 Iron Diversion</t>
  </si>
  <si>
    <t>Hermosillo</t>
  </si>
  <si>
    <t>Sonora</t>
  </si>
  <si>
    <t>Murfreesboro</t>
  </si>
  <si>
    <t>9198 Blue Swale</t>
  </si>
  <si>
    <t>Coacalco</t>
  </si>
  <si>
    <t>3/31/2017 16:43</t>
  </si>
  <si>
    <t>Carlsbad</t>
  </si>
  <si>
    <t>Brown</t>
  </si>
  <si>
    <t>3358 Middle Ridge</t>
  </si>
  <si>
    <t>Balneário Camboriú</t>
  </si>
  <si>
    <t>4/24/2017 3:43</t>
  </si>
  <si>
    <t>4/29/2017 3:43</t>
  </si>
  <si>
    <t>Hamilton</t>
  </si>
  <si>
    <t>Brandon</t>
  </si>
  <si>
    <t>9785 Silver Hickory Walk</t>
  </si>
  <si>
    <t>3/31/2017 14:58</t>
  </si>
  <si>
    <t>Jacqueline</t>
  </si>
  <si>
    <t>9391 Little Leaf Ramp</t>
  </si>
  <si>
    <t>3/28/2015 0:13</t>
  </si>
  <si>
    <t>Wu</t>
  </si>
  <si>
    <t>3810 Honey Swale</t>
  </si>
  <si>
    <t>3/22/2015 16:21</t>
  </si>
  <si>
    <t>3/26/2015 16:21</t>
  </si>
  <si>
    <t>Hayward</t>
  </si>
  <si>
    <t>5166 Middle Circuit</t>
  </si>
  <si>
    <t>Maturín</t>
  </si>
  <si>
    <t>Monagas</t>
  </si>
  <si>
    <t>Bridgeton</t>
  </si>
  <si>
    <t>Weaver</t>
  </si>
  <si>
    <t>2269 High Limits</t>
  </si>
  <si>
    <t>Parintins</t>
  </si>
  <si>
    <t>Amazonas</t>
  </si>
  <si>
    <t>Kathy</t>
  </si>
  <si>
    <t>6901 Lazy Plaza</t>
  </si>
  <si>
    <t>1/27/2015 0:39</t>
  </si>
  <si>
    <t>Bay Shore</t>
  </si>
  <si>
    <t>Rebecca</t>
  </si>
  <si>
    <t>Hunter</t>
  </si>
  <si>
    <t>67 Cotton Mountain Terrace</t>
  </si>
  <si>
    <t>5/30/2017 11:22</t>
  </si>
  <si>
    <t>Palatine</t>
  </si>
  <si>
    <t>Foster</t>
  </si>
  <si>
    <t>4291 Sunny Fox Mews</t>
  </si>
  <si>
    <t>Smyrna</t>
  </si>
  <si>
    <t>7790 Green Berry Gate</t>
  </si>
  <si>
    <t>Van Nuys</t>
  </si>
  <si>
    <t>Huffman</t>
  </si>
  <si>
    <t>9922 Misty Oak Inlet</t>
  </si>
  <si>
    <t>Huehuetenango</t>
  </si>
  <si>
    <t>5/22/2015 7:20</t>
  </si>
  <si>
    <t>5/24/2015 7:20</t>
  </si>
  <si>
    <t>Opa Locka</t>
  </si>
  <si>
    <t>Reid</t>
  </si>
  <si>
    <t>9128 Little Cloud Bay</t>
  </si>
  <si>
    <t>Chinautla</t>
  </si>
  <si>
    <t>Jeremy</t>
  </si>
  <si>
    <t>Holmes</t>
  </si>
  <si>
    <t>1819 Noble Ramp</t>
  </si>
  <si>
    <t>2/16/2017 0:50</t>
  </si>
  <si>
    <t>TYR Boys' Team Digi Jammer</t>
  </si>
  <si>
    <t>2/18/2017 0:50</t>
  </si>
  <si>
    <t>Amanda</t>
  </si>
  <si>
    <t>Marquez</t>
  </si>
  <si>
    <t>9539 Velvet Trace</t>
  </si>
  <si>
    <t>Sorocaba</t>
  </si>
  <si>
    <t>Edison</t>
  </si>
  <si>
    <t>Dorsey</t>
  </si>
  <si>
    <t>125 Colonial Butterfly Stead</t>
  </si>
  <si>
    <t>San Justo</t>
  </si>
  <si>
    <t>Santa Fe</t>
  </si>
  <si>
    <t>3/16/2015 0:15</t>
  </si>
  <si>
    <t>Baytown</t>
  </si>
  <si>
    <t>9084 Middle Embers Passage</t>
  </si>
  <si>
    <t>Colombo</t>
  </si>
  <si>
    <t>2/21/2015 15:31</t>
  </si>
  <si>
    <t>2/26/2015 15:31</t>
  </si>
  <si>
    <t>Sylmar</t>
  </si>
  <si>
    <t>1994 Lost Berry Promenade</t>
  </si>
  <si>
    <t>Itu</t>
  </si>
  <si>
    <t>Mann</t>
  </si>
  <si>
    <t>7676 Colonial Towers</t>
  </si>
  <si>
    <t>Cuernavaca</t>
  </si>
  <si>
    <t>Morelos</t>
  </si>
  <si>
    <t>5/31/2017 2:47</t>
  </si>
  <si>
    <t>Erickson</t>
  </si>
  <si>
    <t>2422 High River Corners</t>
  </si>
  <si>
    <t>Águas Lindas de Goiás</t>
  </si>
  <si>
    <t>3/25/2015 8:49</t>
  </si>
  <si>
    <t>Goiás</t>
  </si>
  <si>
    <t>3/28/2015 8:49</t>
  </si>
  <si>
    <t>Golf Balls</t>
  </si>
  <si>
    <t>Burnsville</t>
  </si>
  <si>
    <t>Williamson</t>
  </si>
  <si>
    <t>398 Pleasant Mountain</t>
  </si>
  <si>
    <t>Vespasiano</t>
  </si>
  <si>
    <t>5/16/2015 21:00</t>
  </si>
  <si>
    <t>Glove It Women's Imperial Golf Glove</t>
  </si>
  <si>
    <t>5/21/2015 21:00</t>
  </si>
  <si>
    <t>Huntington Station</t>
  </si>
  <si>
    <t>Gallegos</t>
  </si>
  <si>
    <t>2070 Indian Leaf Edge</t>
  </si>
  <si>
    <t>Bogotá</t>
  </si>
  <si>
    <t>4/29/2015 3:41</t>
  </si>
  <si>
    <t>Titleist Pro V1x High Numbers Golf Balls</t>
  </si>
  <si>
    <t>Felicia</t>
  </si>
  <si>
    <t>Clark</t>
  </si>
  <si>
    <t>9135 Green Island Moor</t>
  </si>
  <si>
    <t>Bhilai</t>
  </si>
  <si>
    <t>Chhattisgarh</t>
  </si>
  <si>
    <t>1/15/2018 19:59</t>
  </si>
  <si>
    <t>Sunnyvale</t>
  </si>
  <si>
    <t>Wanda</t>
  </si>
  <si>
    <t>Sanford</t>
  </si>
  <si>
    <t>1800 Quiet Creek Stead</t>
  </si>
  <si>
    <t>Qingdao</t>
  </si>
  <si>
    <t>1/14/2018 19:38</t>
  </si>
  <si>
    <t>Sugar Land</t>
  </si>
  <si>
    <t>Hayfa</t>
  </si>
  <si>
    <t>Boyle</t>
  </si>
  <si>
    <t>1165 Quiet Inlet</t>
  </si>
  <si>
    <t>1/18/2018 19:17</t>
  </si>
  <si>
    <t>Lavinia</t>
  </si>
  <si>
    <t>432 Rocky Link</t>
  </si>
  <si>
    <t>Herat</t>
  </si>
  <si>
    <t>Afganistán</t>
  </si>
  <si>
    <t>1/17/2018 18:56</t>
  </si>
  <si>
    <t>Brighton</t>
  </si>
  <si>
    <t>Yetta</t>
  </si>
  <si>
    <t>2607 Clear Branch Cape</t>
  </si>
  <si>
    <t>1/16/2018 18:35</t>
  </si>
  <si>
    <t>1/15/2018 18:14</t>
  </si>
  <si>
    <t>Mcneil</t>
  </si>
  <si>
    <t>9780 Misty Pike</t>
  </si>
  <si>
    <t>Sydney</t>
  </si>
  <si>
    <t>1/14/2018 17:53</t>
  </si>
  <si>
    <t>Cleo</t>
  </si>
  <si>
    <t>Woodward</t>
  </si>
  <si>
    <t>4135 Golden Shadow Front</t>
  </si>
  <si>
    <t>Bandung</t>
  </si>
  <si>
    <t>1/18/2018 17:32</t>
  </si>
  <si>
    <t>Bismarck</t>
  </si>
  <si>
    <t>Dunn</t>
  </si>
  <si>
    <t>ND</t>
  </si>
  <si>
    <t>8307 Merry Pointe</t>
  </si>
  <si>
    <t>1/17/2018 17:11</t>
  </si>
  <si>
    <t>Wynter</t>
  </si>
  <si>
    <t>9299 Grand Branch Route</t>
  </si>
  <si>
    <t>Tongchuan</t>
  </si>
  <si>
    <t>Shaanxi</t>
  </si>
  <si>
    <t>1/14/2018 16:50</t>
  </si>
  <si>
    <t>Gaithersburg</t>
  </si>
  <si>
    <t>Hyacinth</t>
  </si>
  <si>
    <t>2210 Merry Leaf Row</t>
  </si>
  <si>
    <t>1/15/2018 16:29</t>
  </si>
  <si>
    <t>Mayo</t>
  </si>
  <si>
    <t>3309 Harvest Thicket</t>
  </si>
  <si>
    <t>1/14/2018 16:08</t>
  </si>
  <si>
    <t>Xerxes</t>
  </si>
  <si>
    <t>5953 Lost Plaza</t>
  </si>
  <si>
    <t>1/18/2018 15:47</t>
  </si>
  <si>
    <t>Noel</t>
  </si>
  <si>
    <t>Ujjain</t>
  </si>
  <si>
    <t>1/17/2018 15:26</t>
  </si>
  <si>
    <t>Lilburn</t>
  </si>
  <si>
    <t>Maryam</t>
  </si>
  <si>
    <t>Grant</t>
  </si>
  <si>
    <t>7094 Sleepy End</t>
  </si>
  <si>
    <t>1/16/2018 15:05</t>
  </si>
  <si>
    <t>Naida</t>
  </si>
  <si>
    <t>Small</t>
  </si>
  <si>
    <t>9393 Golden View Pike</t>
  </si>
  <si>
    <t>Balikpapan</t>
  </si>
  <si>
    <t>Kalimantan Oriental</t>
  </si>
  <si>
    <t>1/15/2018 14:44</t>
  </si>
  <si>
    <t>Lana</t>
  </si>
  <si>
    <t>Green</t>
  </si>
  <si>
    <t>1/14/2018 14:23</t>
  </si>
  <si>
    <t>1/18/2018 14:02</t>
  </si>
  <si>
    <t>Rylee</t>
  </si>
  <si>
    <t>Garrett</t>
  </si>
  <si>
    <t>7735 Gentle Terrace</t>
  </si>
  <si>
    <t>1/17/2018 13:41</t>
  </si>
  <si>
    <t>Dakota</t>
  </si>
  <si>
    <t>Pune</t>
  </si>
  <si>
    <t>1/16/2018 13:20</t>
  </si>
  <si>
    <t>Fallon</t>
  </si>
  <si>
    <t>Donovan</t>
  </si>
  <si>
    <t>45 Merry Bear View</t>
  </si>
  <si>
    <t>1/15/2018 12:59</t>
  </si>
  <si>
    <t>Provo</t>
  </si>
  <si>
    <t>Kylynn</t>
  </si>
  <si>
    <t>Zimmerman</t>
  </si>
  <si>
    <t>3741 Bright Extension</t>
  </si>
  <si>
    <t>1/14/2018 12:38</t>
  </si>
  <si>
    <t>Columbia</t>
  </si>
  <si>
    <t>Inez</t>
  </si>
  <si>
    <t>Fleming</t>
  </si>
  <si>
    <t>3408 Tawny Spring Glen</t>
  </si>
  <si>
    <t>1/14/2018 12:17</t>
  </si>
  <si>
    <t>Davenport</t>
  </si>
  <si>
    <t>4105 Fallen Goose Port</t>
  </si>
  <si>
    <t>1/14/2018 11:56</t>
  </si>
  <si>
    <t>Miriam</t>
  </si>
  <si>
    <t>Weifang</t>
  </si>
  <si>
    <t>1/14/2018 11:35</t>
  </si>
  <si>
    <t>Marietta</t>
  </si>
  <si>
    <t>Rush</t>
  </si>
  <si>
    <t>7121 Foggy Woods</t>
  </si>
  <si>
    <t>Yogyakarta</t>
  </si>
  <si>
    <t>Chloe</t>
  </si>
  <si>
    <t>Pickett</t>
  </si>
  <si>
    <t>482 High Quay</t>
  </si>
  <si>
    <t>Beverly</t>
  </si>
  <si>
    <t>Fisher</t>
  </si>
  <si>
    <t>7177 Old Nectar Ridge</t>
  </si>
  <si>
    <t>Rio Grande</t>
  </si>
  <si>
    <t>6750 Stony Fawn Wood</t>
  </si>
  <si>
    <t>1/17/2018 10:11</t>
  </si>
  <si>
    <t>Madeline</t>
  </si>
  <si>
    <t>Wooten</t>
  </si>
  <si>
    <t>2636 Indian Expressway</t>
  </si>
  <si>
    <t>1/16/2018 9:50</t>
  </si>
  <si>
    <t>Yoshi</t>
  </si>
  <si>
    <t>Shelton</t>
  </si>
  <si>
    <t>9891 Foggy Hills Acres</t>
  </si>
  <si>
    <t>Rockhampton</t>
  </si>
  <si>
    <t>1/15/2018 9:29</t>
  </si>
  <si>
    <t>Denver</t>
  </si>
  <si>
    <t>Hadley</t>
  </si>
  <si>
    <t>7500 Wishing Brook Grove</t>
  </si>
  <si>
    <t>1/14/2018 9:08</t>
  </si>
  <si>
    <t>Renee</t>
  </si>
  <si>
    <t>Morales</t>
  </si>
  <si>
    <t>1497 Sleepy Thicket</t>
  </si>
  <si>
    <t>1/18/2018 8:47</t>
  </si>
  <si>
    <t>Iola</t>
  </si>
  <si>
    <t>5012 Honey Wagon Stead</t>
  </si>
  <si>
    <t>Siping</t>
  </si>
  <si>
    <t>Jilin</t>
  </si>
  <si>
    <t>1/17/2018 8:26</t>
  </si>
  <si>
    <t>Tamekah</t>
  </si>
  <si>
    <t>Blair</t>
  </si>
  <si>
    <t>8832 Old Quay</t>
  </si>
  <si>
    <t>1/16/2018 8:05</t>
  </si>
  <si>
    <t>Cherokee</t>
  </si>
  <si>
    <t>8707 Foggy View</t>
  </si>
  <si>
    <t>1/15/2018 7:44</t>
  </si>
  <si>
    <t>Odessa</t>
  </si>
  <si>
    <t>Cherry</t>
  </si>
  <si>
    <t>4148 Indian Landing</t>
  </si>
  <si>
    <t>Shanghái</t>
  </si>
  <si>
    <t>1/14/2018 7:23</t>
  </si>
  <si>
    <t>4690 Quiet Hickory Campus</t>
  </si>
  <si>
    <t>Depok</t>
  </si>
  <si>
    <t>1/14/2018 7:02</t>
  </si>
  <si>
    <t>Linda</t>
  </si>
  <si>
    <t>Haley</t>
  </si>
  <si>
    <t>8659 Foggy Deer Port</t>
  </si>
  <si>
    <t>1/17/2018 6:41</t>
  </si>
  <si>
    <t>Kennedy</t>
  </si>
  <si>
    <t>8284 Colonial Gate Path</t>
  </si>
  <si>
    <t>Kawasaki</t>
  </si>
  <si>
    <t>Kanagawa</t>
  </si>
  <si>
    <t>1/16/2018 6:20</t>
  </si>
  <si>
    <t>Lilah</t>
  </si>
  <si>
    <t>7701 Rustic Carrefour</t>
  </si>
  <si>
    <t>Lahore</t>
  </si>
  <si>
    <t>Pakistán</t>
  </si>
  <si>
    <t>Punyab</t>
  </si>
  <si>
    <t>1/15/2018 5:59</t>
  </si>
  <si>
    <t>Franklin</t>
  </si>
  <si>
    <t>406 Shady Cider Corner</t>
  </si>
  <si>
    <t>1/14/2018 5:38</t>
  </si>
  <si>
    <t>Emi</t>
  </si>
  <si>
    <t>Mitchell</t>
  </si>
  <si>
    <t>4542 Sunny Parade</t>
  </si>
  <si>
    <t>1/18/2018 5:16</t>
  </si>
  <si>
    <t>Albert</t>
  </si>
  <si>
    <t>2070 Rocky Apple Front</t>
  </si>
  <si>
    <t>1/17/2018 4:55</t>
  </si>
  <si>
    <t>Saint Charles</t>
  </si>
  <si>
    <t>Myra</t>
  </si>
  <si>
    <t>Manning</t>
  </si>
  <si>
    <t>MO</t>
  </si>
  <si>
    <t>3761 Foggy Hickory Extension</t>
  </si>
  <si>
    <t>1/16/2018 4:34</t>
  </si>
  <si>
    <t>Medge</t>
  </si>
  <si>
    <t>9767 Amber Valley</t>
  </si>
  <si>
    <t>1/15/2018 4:13</t>
  </si>
  <si>
    <t>Cupertino</t>
  </si>
  <si>
    <t>Nichols</t>
  </si>
  <si>
    <t>3538 Rustic Dale Run</t>
  </si>
  <si>
    <t>1/14/2018 3:52</t>
  </si>
  <si>
    <t>Beatrice</t>
  </si>
  <si>
    <t>Holt</t>
  </si>
  <si>
    <t>1946 Jagged Trail</t>
  </si>
  <si>
    <t>Malang</t>
  </si>
  <si>
    <t>Java Oriental</t>
  </si>
  <si>
    <t>1/18/2018 3:31</t>
  </si>
  <si>
    <t>Springfield</t>
  </si>
  <si>
    <t>Ria</t>
  </si>
  <si>
    <t>5434 Middle Range</t>
  </si>
  <si>
    <t>Ho Chi Minh City</t>
  </si>
  <si>
    <t>Vietnam</t>
  </si>
  <si>
    <t>Ciudad Ho Chi Minh</t>
  </si>
  <si>
    <t>1/17/2018 3:10</t>
  </si>
  <si>
    <t>Charity</t>
  </si>
  <si>
    <t>7108 Cinder Road</t>
  </si>
  <si>
    <t>1/16/2018 2:49</t>
  </si>
  <si>
    <t>Mission Viejo</t>
  </si>
  <si>
    <t>Nell</t>
  </si>
  <si>
    <t>Garrison</t>
  </si>
  <si>
    <t>1557 High Spring Cove</t>
  </si>
  <si>
    <t>1/15/2018 2:28</t>
  </si>
  <si>
    <t>Tamara</t>
  </si>
  <si>
    <t>Larson</t>
  </si>
  <si>
    <t>183 Crystal Lake Drive</t>
  </si>
  <si>
    <t>1/14/2018 2:07</t>
  </si>
  <si>
    <t>Phyllis</t>
  </si>
  <si>
    <t>Higgins</t>
  </si>
  <si>
    <t>1870 Crystal Blossom Towers</t>
  </si>
  <si>
    <t>Shenyang</t>
  </si>
  <si>
    <t>1/18/2018 1:46</t>
  </si>
  <si>
    <t>Roswell</t>
  </si>
  <si>
    <t>Nelle</t>
  </si>
  <si>
    <t>Shaffer</t>
  </si>
  <si>
    <t>8932 High Row</t>
  </si>
  <si>
    <t>1/17/2018 1:25</t>
  </si>
  <si>
    <t>Daugherty</t>
  </si>
  <si>
    <t>6449 Merry Lagoon Drive</t>
  </si>
  <si>
    <t>Daegu</t>
  </si>
  <si>
    <t>1/14/2018 1:04</t>
  </si>
  <si>
    <t>Ypsilanti</t>
  </si>
  <si>
    <t>Blossom</t>
  </si>
  <si>
    <t>3505 High Mall</t>
  </si>
  <si>
    <t>1/14/2018 0:43</t>
  </si>
  <si>
    <t>Breanna</t>
  </si>
  <si>
    <t>Morrison</t>
  </si>
  <si>
    <t>7320 Lazy Forest Falls</t>
  </si>
  <si>
    <t>1/14/2018 0:22</t>
  </si>
  <si>
    <t>Katelyn</t>
  </si>
  <si>
    <t>Key</t>
  </si>
  <si>
    <t>851 Green Prairie Park</t>
  </si>
  <si>
    <t>Rajkot</t>
  </si>
  <si>
    <t>1/18/2018 0:01</t>
  </si>
  <si>
    <t>Karly</t>
  </si>
  <si>
    <t>Porter</t>
  </si>
  <si>
    <t>5674 Merry Nectar Pines</t>
  </si>
  <si>
    <t>1/16/2018 23:40</t>
  </si>
  <si>
    <t>Olga</t>
  </si>
  <si>
    <t>Stein</t>
  </si>
  <si>
    <t>8651 Heather Drive</t>
  </si>
  <si>
    <t>1/13/2018 23:19</t>
  </si>
  <si>
    <t>Brenna</t>
  </si>
  <si>
    <t>Wyatt</t>
  </si>
  <si>
    <t>3068 Indian Quail Cove</t>
  </si>
  <si>
    <t>1/13/2018 22:58</t>
  </si>
  <si>
    <t>Tatyana</t>
  </si>
  <si>
    <t>Tyson</t>
  </si>
  <si>
    <t>427 Clear Leaf Loop</t>
  </si>
  <si>
    <t>Gorakhpur</t>
  </si>
  <si>
    <t>Haryana</t>
  </si>
  <si>
    <t>1/13/2018 22:37</t>
  </si>
  <si>
    <t>Clementon</t>
  </si>
  <si>
    <t>Ifeoma</t>
  </si>
  <si>
    <t>5136 Red Prairie Park</t>
  </si>
  <si>
    <t>Surabaya</t>
  </si>
  <si>
    <t>1/17/2018 22:16</t>
  </si>
  <si>
    <t>Kitra</t>
  </si>
  <si>
    <t>Howard</t>
  </si>
  <si>
    <t>5722 Easy Heath</t>
  </si>
  <si>
    <t>1/16/2018 21:55</t>
  </si>
  <si>
    <t>Antioch</t>
  </si>
  <si>
    <t>Summer</t>
  </si>
  <si>
    <t>Hester</t>
  </si>
  <si>
    <t>8895 Shady Cider Moor</t>
  </si>
  <si>
    <t>1/15/2018 21:34</t>
  </si>
  <si>
    <t>Sopoline</t>
  </si>
  <si>
    <t>Hood</t>
  </si>
  <si>
    <t>4776 Pleasant Pioneer Cape</t>
  </si>
  <si>
    <t>1/14/2018 21:13</t>
  </si>
  <si>
    <t>Salt Lake City</t>
  </si>
  <si>
    <t>Suarez</t>
  </si>
  <si>
    <t>1853 Umber Field</t>
  </si>
  <si>
    <t>1/13/2018 20:52</t>
  </si>
  <si>
    <t>Eliana</t>
  </si>
  <si>
    <t>Santos</t>
  </si>
  <si>
    <t>1142 Round Via</t>
  </si>
  <si>
    <t>1/17/2018 20:31</t>
  </si>
  <si>
    <t>Denise</t>
  </si>
  <si>
    <t>2027 Thunder Creek Thicket</t>
  </si>
  <si>
    <t>1/16/2018 20:10</t>
  </si>
  <si>
    <t>Hermione</t>
  </si>
  <si>
    <t>2059 Cozy Field</t>
  </si>
  <si>
    <t>1/15/2018 19:49</t>
  </si>
  <si>
    <t>Granada Hills</t>
  </si>
  <si>
    <t>4436 Tawny Private</t>
  </si>
  <si>
    <t>Nagpur</t>
  </si>
  <si>
    <t>1/14/2018 19:28</t>
  </si>
  <si>
    <t>Hedy</t>
  </si>
  <si>
    <t>3914 Silver Horse Cape</t>
  </si>
  <si>
    <t>1/13/2018 19:07</t>
  </si>
  <si>
    <t>Violet</t>
  </si>
  <si>
    <t>Melton</t>
  </si>
  <si>
    <t>5002 High Bank</t>
  </si>
  <si>
    <t>1/17/2018 18:46</t>
  </si>
  <si>
    <t>Aguilar</t>
  </si>
  <si>
    <t>1982 Burning Forest</t>
  </si>
  <si>
    <t>Nakhon Ratchasima</t>
  </si>
  <si>
    <t>1/16/2018 18:25</t>
  </si>
  <si>
    <t>Hempstead</t>
  </si>
  <si>
    <t>Clare</t>
  </si>
  <si>
    <t>Jenkins</t>
  </si>
  <si>
    <t>8776 Green Ridge</t>
  </si>
  <si>
    <t>1/15/2018 18:04</t>
  </si>
  <si>
    <t>Marsh</t>
  </si>
  <si>
    <t>2568 Rustic Valley</t>
  </si>
  <si>
    <t>1/14/2018 17:43</t>
  </si>
  <si>
    <t>Astoria</t>
  </si>
  <si>
    <t>Rhonda</t>
  </si>
  <si>
    <t>3071 Tawny Canyon</t>
  </si>
  <si>
    <t>Kota Kinabalu</t>
  </si>
  <si>
    <t>Malasia</t>
  </si>
  <si>
    <t>Sabah</t>
  </si>
  <si>
    <t>1/13/2018 17:22</t>
  </si>
  <si>
    <t>Gilroy</t>
  </si>
  <si>
    <t>Morgan</t>
  </si>
  <si>
    <t>Jimenez</t>
  </si>
  <si>
    <t>9666 Colonial Hickory Thicket</t>
  </si>
  <si>
    <t>Jiutai</t>
  </si>
  <si>
    <t>1/17/2018 17:01</t>
  </si>
  <si>
    <t>Illiana</t>
  </si>
  <si>
    <t>Mcpherson</t>
  </si>
  <si>
    <t>9739 Round Spring Expressway</t>
  </si>
  <si>
    <t>1/16/2018 16:40</t>
  </si>
  <si>
    <t>Hickman</t>
  </si>
  <si>
    <t>3847 Blue Place</t>
  </si>
  <si>
    <t>Pending Review</t>
  </si>
  <si>
    <t>1/15/2018 16:19</t>
  </si>
  <si>
    <t>Amity</t>
  </si>
  <si>
    <t>Weber</t>
  </si>
  <si>
    <t>3567 Rocky Grove</t>
  </si>
  <si>
    <t>1/14/2018 15:58</t>
  </si>
  <si>
    <t>Lenoir</t>
  </si>
  <si>
    <t>Jayme</t>
  </si>
  <si>
    <t>8324 Little Common</t>
  </si>
  <si>
    <t>Shantou</t>
  </si>
  <si>
    <t>1/13/2018 15:37</t>
  </si>
  <si>
    <t>Geraldine</t>
  </si>
  <si>
    <t>7802 Gentle Creek Square</t>
  </si>
  <si>
    <t>1/17/2018 15:16</t>
  </si>
  <si>
    <t>Albany</t>
  </si>
  <si>
    <t>Anika</t>
  </si>
  <si>
    <t>7176 Bright Timber Passage</t>
  </si>
  <si>
    <t>1/16/2018 14:55</t>
  </si>
  <si>
    <t>Humacao</t>
  </si>
  <si>
    <t>Dana</t>
  </si>
  <si>
    <t>Hoffman</t>
  </si>
  <si>
    <t>6888 Wishing Mountain Run</t>
  </si>
  <si>
    <t>1/15/2018 14:34</t>
  </si>
  <si>
    <t>4791 Harvest Quail Limits</t>
  </si>
  <si>
    <t>Lindenhurst</t>
  </si>
  <si>
    <t>Sybil</t>
  </si>
  <si>
    <t>4482 Velvet Farm</t>
  </si>
  <si>
    <t>Elyria</t>
  </si>
  <si>
    <t>Genevieve</t>
  </si>
  <si>
    <t>Cairns</t>
  </si>
  <si>
    <t>Tara</t>
  </si>
  <si>
    <t>Gordon</t>
  </si>
  <si>
    <t>425 Noble Lane</t>
  </si>
  <si>
    <t>Riverside</t>
  </si>
  <si>
    <t>Armstrong</t>
  </si>
  <si>
    <t>9666 Gentle Shadow Thicket</t>
  </si>
  <si>
    <t>Barlow</t>
  </si>
  <si>
    <t>7550 Sleepy View Court</t>
  </si>
  <si>
    <t>Carson</t>
  </si>
  <si>
    <t>Huff</t>
  </si>
  <si>
    <t>777 Sleepy Quail Key</t>
  </si>
  <si>
    <t>Jaipur</t>
  </si>
  <si>
    <t>Mesa</t>
  </si>
  <si>
    <t>Ella</t>
  </si>
  <si>
    <t>Mcmahon</t>
  </si>
  <si>
    <t>6718 High Panda Dell</t>
  </si>
  <si>
    <t>1/17/2018 11:45</t>
  </si>
  <si>
    <t>Glass</t>
  </si>
  <si>
    <t>9871 Cotton Lagoon End</t>
  </si>
  <si>
    <t>1/16/2018 11:24</t>
  </si>
  <si>
    <t>Fowler</t>
  </si>
  <si>
    <t>1066 Hidden Green</t>
  </si>
  <si>
    <t>1/15/2018 11:03</t>
  </si>
  <si>
    <t>Heather</t>
  </si>
  <si>
    <t>Rocha</t>
  </si>
  <si>
    <t>7192 Green Arbor</t>
  </si>
  <si>
    <t>Loudi</t>
  </si>
  <si>
    <t>1/14/2018 10:42</t>
  </si>
  <si>
    <t>Brittany</t>
  </si>
  <si>
    <t>Gardner</t>
  </si>
  <si>
    <t>4232 Wishing Creek Campus</t>
  </si>
  <si>
    <t>Tipitapa</t>
  </si>
  <si>
    <t>2/15/2015 16:13</t>
  </si>
  <si>
    <t>2/21/2015 16:13</t>
  </si>
  <si>
    <t>Lori</t>
  </si>
  <si>
    <t>Perez</t>
  </si>
  <si>
    <t>Tabuk</t>
  </si>
  <si>
    <t>12/23/2016 21:03</t>
  </si>
  <si>
    <t>12/25/2016 21:03</t>
  </si>
  <si>
    <t>Manukau City</t>
  </si>
  <si>
    <t>3/18/2016 8:50</t>
  </si>
  <si>
    <t>Auckland</t>
  </si>
  <si>
    <t>3/24/2016 8:50</t>
  </si>
  <si>
    <t>Billy</t>
  </si>
  <si>
    <t>1112 Cinder Woods</t>
  </si>
  <si>
    <t>Yakarta</t>
  </si>
  <si>
    <t>2/13/2016 9:25</t>
  </si>
  <si>
    <t>4694 Burning Front</t>
  </si>
  <si>
    <t>Tangerang</t>
  </si>
  <si>
    <t>West</t>
  </si>
  <si>
    <t>11/19/2015 5:51</t>
  </si>
  <si>
    <t>11/21/2015 5:51</t>
  </si>
  <si>
    <t>482 Easy Avenue</t>
  </si>
  <si>
    <t>1/16/2016 15:14</t>
  </si>
  <si>
    <t>3709 Green Cider Court</t>
  </si>
  <si>
    <t>11/30/2015 2:09</t>
  </si>
  <si>
    <t>Macdonald</t>
  </si>
  <si>
    <t>19 Clear Autumn Estates</t>
  </si>
  <si>
    <t>1/31/2016 13:38</t>
  </si>
  <si>
    <t>9138 Indian Nook</t>
  </si>
  <si>
    <t>Aurangabad</t>
  </si>
  <si>
    <t>2/17/2016 23:35</t>
  </si>
  <si>
    <t>Bihar</t>
  </si>
  <si>
    <t>2/20/2016 23:35</t>
  </si>
  <si>
    <t>Saunders</t>
  </si>
  <si>
    <t>7971 Foggy Highway</t>
  </si>
  <si>
    <t>Seattle</t>
  </si>
  <si>
    <t>7/25/2016 14:47</t>
  </si>
  <si>
    <t>7/30/2016 14:47</t>
  </si>
  <si>
    <t>Fuller</t>
  </si>
  <si>
    <t>357 Noble Lane</t>
  </si>
  <si>
    <t>Oakland</t>
  </si>
  <si>
    <t>5/20/2016 12:25</t>
  </si>
  <si>
    <t>5/22/2016 12:25</t>
  </si>
  <si>
    <t>Anderson</t>
  </si>
  <si>
    <t>9234 Green Farm</t>
  </si>
  <si>
    <t>New York City</t>
  </si>
  <si>
    <t>Nueva York</t>
  </si>
  <si>
    <t>1088 Jagged Hills Nook</t>
  </si>
  <si>
    <t>Monroe</t>
  </si>
  <si>
    <t xml:space="preserve">South of  USA </t>
  </si>
  <si>
    <t>Carolina del Norte</t>
  </si>
  <si>
    <t>8/14/2016 3:12</t>
  </si>
  <si>
    <t>7046 Sleepy Berry Estates</t>
  </si>
  <si>
    <t>Potchefstroom</t>
  </si>
  <si>
    <t>11/20/2016 21:38</t>
  </si>
  <si>
    <t>Noroeste</t>
  </si>
  <si>
    <t>11/23/2016 21:38</t>
  </si>
  <si>
    <t>6982 Cinder Fawn Cape</t>
  </si>
  <si>
    <t>10/15/2016 12:55</t>
  </si>
  <si>
    <t>Bridgestone e6 Straight Distance NFL Carolina</t>
  </si>
  <si>
    <t>10/17/2016 12:55</t>
  </si>
  <si>
    <t>Terry</t>
  </si>
  <si>
    <t>Trujillo</t>
  </si>
  <si>
    <t>5763 Green Crossing</t>
  </si>
  <si>
    <t>Wiesbaden</t>
  </si>
  <si>
    <t>7/22/2015 17:56</t>
  </si>
  <si>
    <t>Hesse</t>
  </si>
  <si>
    <t>7/28/2015 17:56</t>
  </si>
  <si>
    <t>5913 Easy Quail Wynd</t>
  </si>
  <si>
    <t>Under Armour Women's Ignite Slide</t>
  </si>
  <si>
    <t>7910 Cotton Branch Highway</t>
  </si>
  <si>
    <t>Munich</t>
  </si>
  <si>
    <t>6/15/2015 5:54</t>
  </si>
  <si>
    <t>6/17/2015 5:54</t>
  </si>
  <si>
    <t>Mclaughlin</t>
  </si>
  <si>
    <t>7291 Shady Nectar Cape</t>
  </si>
  <si>
    <t>Bobigny</t>
  </si>
  <si>
    <t>6/24/2015 5:21</t>
  </si>
  <si>
    <t>6/26/2015 5:21</t>
  </si>
  <si>
    <t>Blackburn</t>
  </si>
  <si>
    <t>9825 Colonial Freeway</t>
  </si>
  <si>
    <t>Lille</t>
  </si>
  <si>
    <t>9/24/2017 13:08</t>
  </si>
  <si>
    <t>9/27/2017 13:08</t>
  </si>
  <si>
    <t>2534 Easy Carrefour</t>
  </si>
  <si>
    <t>Giurgiu</t>
  </si>
  <si>
    <t>10/29/2016 18:30</t>
  </si>
  <si>
    <t>10/31/2016 18:30</t>
  </si>
  <si>
    <t>1914 Iron Berry Edge</t>
  </si>
  <si>
    <t>Tamworth</t>
  </si>
  <si>
    <t>7/20/2015 11:58</t>
  </si>
  <si>
    <t>7/22/2015 11:58</t>
  </si>
  <si>
    <t>Lviv</t>
  </si>
  <si>
    <t>12/25/2016 8:26</t>
  </si>
  <si>
    <t>12/28/2016 8:26</t>
  </si>
  <si>
    <t>3200 Amber Pine Vale</t>
  </si>
  <si>
    <t>10/16/2015 19:44</t>
  </si>
  <si>
    <t>4210 Dewy Round</t>
  </si>
  <si>
    <t>1/27/2017 18:23</t>
  </si>
  <si>
    <t>1/29/2017 18:23</t>
  </si>
  <si>
    <t>Aaron</t>
  </si>
  <si>
    <t>8570 Hazy Forest End</t>
  </si>
  <si>
    <t>4/30/2017 3:21</t>
  </si>
  <si>
    <t>9885 Hazy Forest Path</t>
  </si>
  <si>
    <t>Hidalgo</t>
  </si>
  <si>
    <t>Michoacán</t>
  </si>
  <si>
    <t>Irapuato</t>
  </si>
  <si>
    <t>2/15/2017 14:40</t>
  </si>
  <si>
    <t>Guanajuato</t>
  </si>
  <si>
    <t>2/18/2017 14:40</t>
  </si>
  <si>
    <t>3332 Heather Road</t>
  </si>
  <si>
    <t>Bowman</t>
  </si>
  <si>
    <t>4114 Lost Blossom Farms</t>
  </si>
  <si>
    <t>Zapopan</t>
  </si>
  <si>
    <t>403 Tawny Hills By-pass</t>
  </si>
  <si>
    <t>3/15/2015 14:05</t>
  </si>
  <si>
    <t>3/18/2015 14:05</t>
  </si>
  <si>
    <t>Garza</t>
  </si>
  <si>
    <t>5346 Clear Hills Way</t>
  </si>
  <si>
    <t>3/21/2017 7:37</t>
  </si>
  <si>
    <t>3/23/2017 7:37</t>
  </si>
  <si>
    <t>4551 Jagged Bay</t>
  </si>
  <si>
    <t>Mauá</t>
  </si>
  <si>
    <t>Titleist Pro V1x High Numbers Personalized Go</t>
  </si>
  <si>
    <t>Cruz</t>
  </si>
  <si>
    <t>3169 Little Subdivision</t>
  </si>
  <si>
    <t>3282 Silent Autoroute</t>
  </si>
  <si>
    <t>9505 Broad Timber Highlands</t>
  </si>
  <si>
    <t>Qom</t>
  </si>
  <si>
    <t>10/30/2016 3:37</t>
  </si>
  <si>
    <t>Montoya</t>
  </si>
  <si>
    <t>8736 Merry Extension</t>
  </si>
  <si>
    <t>12/26/2015 23:29</t>
  </si>
  <si>
    <t>12/28/2015 23:29</t>
  </si>
  <si>
    <t>1358 Quiet Gate Moor</t>
  </si>
  <si>
    <t>Simmons</t>
  </si>
  <si>
    <t>3108 Middle Wharf</t>
  </si>
  <si>
    <t>11/16/2015 16:53</t>
  </si>
  <si>
    <t>11/19/2015 16:53</t>
  </si>
  <si>
    <t>6481 Wishing Anchor Centre</t>
  </si>
  <si>
    <t>11/16/2015 7:58</t>
  </si>
  <si>
    <t>8013 Harvest Close</t>
  </si>
  <si>
    <t>12/19/2015 15:58</t>
  </si>
  <si>
    <t>12/25/2015 15:58</t>
  </si>
  <si>
    <t>Madison</t>
  </si>
  <si>
    <t>4/13/2016 14:24</t>
  </si>
  <si>
    <t>Colorado</t>
  </si>
  <si>
    <t>4/16/2016 14:24</t>
  </si>
  <si>
    <t>Hughes</t>
  </si>
  <si>
    <t>9005 Old Robin Plaza</t>
  </si>
  <si>
    <t>7962 Thunder Zephyr Bend</t>
  </si>
  <si>
    <t>Carroll</t>
  </si>
  <si>
    <t>5958 Emerald Nook</t>
  </si>
  <si>
    <t>4/16/2016 17:23</t>
  </si>
  <si>
    <t>907 Merry Forest Way</t>
  </si>
  <si>
    <t>6/13/2016 10:17</t>
  </si>
  <si>
    <t>Florida</t>
  </si>
  <si>
    <t>6/18/2016 10:17</t>
  </si>
  <si>
    <t>Jane</t>
  </si>
  <si>
    <t>5105 Tawny Park</t>
  </si>
  <si>
    <t>7173 Fallen Vista</t>
  </si>
  <si>
    <t>9/16/2015 15:24</t>
  </si>
  <si>
    <t>9/21/2015 15:24</t>
  </si>
  <si>
    <t>2915 Quaking Pathway</t>
  </si>
  <si>
    <t>Brindisi</t>
  </si>
  <si>
    <t>8/19/2015 3:10</t>
  </si>
  <si>
    <t>Apulia</t>
  </si>
  <si>
    <t>8/21/2015 3:10</t>
  </si>
  <si>
    <t>Deleon</t>
  </si>
  <si>
    <t>772 Rustic Lagoon Crossing</t>
  </si>
  <si>
    <t>Hamburgo</t>
  </si>
  <si>
    <t>6/27/2015 18:29</t>
  </si>
  <si>
    <t>Bryan</t>
  </si>
  <si>
    <t>285 Crystal Circuit</t>
  </si>
  <si>
    <t>The Hague</t>
  </si>
  <si>
    <t>8/25/2017 10:44</t>
  </si>
  <si>
    <t>Holanda Meridional</t>
  </si>
  <si>
    <t>8/31/2017 10:44</t>
  </si>
  <si>
    <t>Tanner</t>
  </si>
  <si>
    <t>8172 Gentle Elk Beach</t>
  </si>
  <si>
    <t>7/17/2015 19:10</t>
  </si>
  <si>
    <t>5959 Harvest Forest Boulevard</t>
  </si>
  <si>
    <t>8/29/2015 0:42</t>
  </si>
  <si>
    <t xml:space="preserve">5274 Hidden Mall </t>
  </si>
  <si>
    <t>Halifax</t>
  </si>
  <si>
    <t>7/30/2015 23:31</t>
  </si>
  <si>
    <t>9494 Bright Stead</t>
  </si>
  <si>
    <t>9/19/2017 7:43</t>
  </si>
  <si>
    <t>9/24/2017 7:43</t>
  </si>
  <si>
    <t>Medina</t>
  </si>
  <si>
    <t>5943 Dewy Autoroute</t>
  </si>
  <si>
    <t>Ratingen</t>
  </si>
  <si>
    <t>8/15/2017 16:32</t>
  </si>
  <si>
    <t>Kevin</t>
  </si>
  <si>
    <t>4103 Rocky View Harbour</t>
  </si>
  <si>
    <t>Galati</t>
  </si>
  <si>
    <t>1/17/2017 18:23</t>
  </si>
  <si>
    <t>1/19/2017 18:23</t>
  </si>
  <si>
    <t>6036 Noble Blossom Wynd</t>
  </si>
  <si>
    <t>Lázaro Cárdenas</t>
  </si>
  <si>
    <t>Strength Training</t>
  </si>
  <si>
    <t>Arnhem</t>
  </si>
  <si>
    <t>9/16/2017 0:32</t>
  </si>
  <si>
    <t>Güeldres</t>
  </si>
  <si>
    <t>GoPro HERO3+ Black Edition Camera</t>
  </si>
  <si>
    <t>9/20/2017 0:32</t>
  </si>
  <si>
    <t>Myers</t>
  </si>
  <si>
    <t>2519 Cinder Orchard</t>
  </si>
  <si>
    <t>Parma</t>
  </si>
  <si>
    <t>8/14/2015 2:18</t>
  </si>
  <si>
    <t>Emilia-Romaña</t>
  </si>
  <si>
    <t>8/16/2015 2:18</t>
  </si>
  <si>
    <t>164 Stony Field</t>
  </si>
  <si>
    <t>Vantaa</t>
  </si>
  <si>
    <t>Finlandia</t>
  </si>
  <si>
    <t>7/13/2015 0:57</t>
  </si>
  <si>
    <t>Uusimaa</t>
  </si>
  <si>
    <t>7/19/2015 0:57</t>
  </si>
  <si>
    <t>Octavia</t>
  </si>
  <si>
    <t>French</t>
  </si>
  <si>
    <t>9126 Wishing Expressway</t>
  </si>
  <si>
    <t>Lacio</t>
  </si>
  <si>
    <t>190 Heather View</t>
  </si>
  <si>
    <t>Vicenza</t>
  </si>
  <si>
    <t>7/13/2015 3:24</t>
  </si>
  <si>
    <t>7/16/2015 3:24</t>
  </si>
  <si>
    <t>Total Gym 1400</t>
  </si>
  <si>
    <t>Frazier</t>
  </si>
  <si>
    <t>Wattrelos</t>
  </si>
  <si>
    <t>8/13/2017 22:39</t>
  </si>
  <si>
    <t>8/16/2017 22:39</t>
  </si>
  <si>
    <t>Emily</t>
  </si>
  <si>
    <t>Jacobs</t>
  </si>
  <si>
    <t>3980 High Line</t>
  </si>
  <si>
    <t>8/14/2017 8:49</t>
  </si>
  <si>
    <t>5953 Broad Close</t>
  </si>
  <si>
    <t>8370 Golden Goose Place</t>
  </si>
  <si>
    <t>Yaroslavl</t>
  </si>
  <si>
    <t>Rusia</t>
  </si>
  <si>
    <t>Kelsie</t>
  </si>
  <si>
    <t>4369 Bright Log Estates</t>
  </si>
  <si>
    <t>Marie</t>
  </si>
  <si>
    <t>1794 High Diversion</t>
  </si>
  <si>
    <t>Hastings</t>
  </si>
  <si>
    <t>7/22/2017 19:53</t>
  </si>
  <si>
    <t>7/25/2017 19:53</t>
  </si>
  <si>
    <t>Judy</t>
  </si>
  <si>
    <t>Webb</t>
  </si>
  <si>
    <t>2861 Velvet Pointe</t>
  </si>
  <si>
    <t>Sheffield</t>
  </si>
  <si>
    <t>10/14/2015 6:15</t>
  </si>
  <si>
    <t>9026 Little Avenue</t>
  </si>
  <si>
    <t>Lowestoft</t>
  </si>
  <si>
    <t>9/20/2015 21:00</t>
  </si>
  <si>
    <t>9/25/2015 21:00</t>
  </si>
  <si>
    <t>Kenneth</t>
  </si>
  <si>
    <t>6183 Little Passage</t>
  </si>
  <si>
    <t>Turku</t>
  </si>
  <si>
    <t>Finlandia del Sudoeste</t>
  </si>
  <si>
    <t>Martinez</t>
  </si>
  <si>
    <t>6232 Red Rise Rise</t>
  </si>
  <si>
    <t>San Sebastian</t>
  </si>
  <si>
    <t>9/21/2017 4:33</t>
  </si>
  <si>
    <t>9/24/2017 4:33</t>
  </si>
  <si>
    <t>Jaime</t>
  </si>
  <si>
    <t>1395 Cozy River Carrefour</t>
  </si>
  <si>
    <t>San Juan</t>
  </si>
  <si>
    <t>1655 Sleepy Pine Common</t>
  </si>
  <si>
    <t>Remscheid</t>
  </si>
  <si>
    <t>Justin</t>
  </si>
  <si>
    <t>Pena</t>
  </si>
  <si>
    <t>7869 Round Cider Square</t>
  </si>
  <si>
    <t>Sterlitamak</t>
  </si>
  <si>
    <t>12/25/2016 23:09</t>
  </si>
  <si>
    <t>Bashkortostán</t>
  </si>
  <si>
    <t>12/30/2016 23:09</t>
  </si>
  <si>
    <t>911 Rustic Round</t>
  </si>
  <si>
    <t>Exeter</t>
  </si>
  <si>
    <t>8/29/2015 1:24</t>
  </si>
  <si>
    <t>8/31/2015 1:24</t>
  </si>
  <si>
    <t>4780 Cinder Treasure Highway</t>
  </si>
  <si>
    <t>8/13/2015 8:48</t>
  </si>
  <si>
    <t>9/20/2015 19:36</t>
  </si>
  <si>
    <t>9/26/2015 19:36</t>
  </si>
  <si>
    <t>4393 Pleasant Pioneer Avenue</t>
  </si>
  <si>
    <t>5131 Hazy Dale Parade</t>
  </si>
  <si>
    <t>Pamiers</t>
  </si>
  <si>
    <t>1116 Silent Crest</t>
  </si>
  <si>
    <t>6/16/2015 9:56</t>
  </si>
  <si>
    <t>Harold</t>
  </si>
  <si>
    <t>Dordrecht</t>
  </si>
  <si>
    <t>8/15/2017 17:24</t>
  </si>
  <si>
    <t>8/20/2017 17:24</t>
  </si>
  <si>
    <t>4485 Noble Fawn Highway</t>
  </si>
  <si>
    <t>9/18/2015 23:06</t>
  </si>
  <si>
    <t>9/22/2015 23:06</t>
  </si>
  <si>
    <t>Ryan</t>
  </si>
  <si>
    <t>Horton</t>
  </si>
  <si>
    <t>9022 Foggy Dell</t>
  </si>
  <si>
    <t>3796 Rustic Autoroute</t>
  </si>
  <si>
    <t>Strasbourg</t>
  </si>
  <si>
    <t>7/23/2015 21:57</t>
  </si>
  <si>
    <t>7/29/2015 21:57</t>
  </si>
  <si>
    <t>Coffey</t>
  </si>
  <si>
    <t>8497 Emerald Grove Pines</t>
  </si>
  <si>
    <t>Alphen aan den Rijn</t>
  </si>
  <si>
    <t>7/18/2015 17:14</t>
  </si>
  <si>
    <t>7/23/2015 17:14</t>
  </si>
  <si>
    <t>Stone</t>
  </si>
  <si>
    <t>Lublin</t>
  </si>
  <si>
    <t>10/13/2016 22:44</t>
  </si>
  <si>
    <t>7/16/2015 11:38</t>
  </si>
  <si>
    <t>Calderon</t>
  </si>
  <si>
    <t>6567 High Lagoon Heath</t>
  </si>
  <si>
    <t>Dublín</t>
  </si>
  <si>
    <t>Irlanda</t>
  </si>
  <si>
    <t>7885 Misty Knoll</t>
  </si>
  <si>
    <t>8/30/2017 0:02</t>
  </si>
  <si>
    <t>1612 Golden Willow Crest</t>
  </si>
  <si>
    <t>Six-Fours-les-Plages</t>
  </si>
  <si>
    <t>Rennes</t>
  </si>
  <si>
    <t>Levy</t>
  </si>
  <si>
    <t>9460 Hidden Landing</t>
  </si>
  <si>
    <t>Capannori</t>
  </si>
  <si>
    <t>10/14/2015 5:54</t>
  </si>
  <si>
    <t>Toscana</t>
  </si>
  <si>
    <t>10/20/2015 5:54</t>
  </si>
  <si>
    <t>9297 Burning Extension</t>
  </si>
  <si>
    <t>Reutlingen</t>
  </si>
  <si>
    <t>Baden-Wurtemberg</t>
  </si>
  <si>
    <t>1591 Foggy Meadow</t>
  </si>
  <si>
    <t>Palaiseau</t>
  </si>
  <si>
    <t>10/16/2015 21:19</t>
  </si>
  <si>
    <t>Clay</t>
  </si>
  <si>
    <t>555 Colonial Butterfly Highway</t>
  </si>
  <si>
    <t>Redditch</t>
  </si>
  <si>
    <t>Warren</t>
  </si>
  <si>
    <t>139 Little Bear Chase</t>
  </si>
  <si>
    <t>Leeds</t>
  </si>
  <si>
    <t>10/21/2015 4:19</t>
  </si>
  <si>
    <t>10/27/2015 4:19</t>
  </si>
  <si>
    <t>Chang</t>
  </si>
  <si>
    <t>9/24/2015 7:41</t>
  </si>
  <si>
    <t>9/30/2015 7:41</t>
  </si>
  <si>
    <t>1132 Harvest Front</t>
  </si>
  <si>
    <t>Barcelona</t>
  </si>
  <si>
    <t>10/17/2015 6:25</t>
  </si>
  <si>
    <t>10/20/2015 6:25</t>
  </si>
  <si>
    <t>Hammond</t>
  </si>
  <si>
    <t>Castelldefels</t>
  </si>
  <si>
    <t>Vega Baja</t>
  </si>
  <si>
    <t>Carl</t>
  </si>
  <si>
    <t>7774 Dewy Line</t>
  </si>
  <si>
    <t>Oslo</t>
  </si>
  <si>
    <t>Noruega</t>
  </si>
  <si>
    <t>8/16/2015 21:03</t>
  </si>
  <si>
    <t>Teresa</t>
  </si>
  <si>
    <t>3684 Old River Crossing</t>
  </si>
  <si>
    <t>7/25/2015 6:53</t>
  </si>
  <si>
    <t>7/30/2015 6:53</t>
  </si>
  <si>
    <t>2762 Umber Cloud Glen</t>
  </si>
  <si>
    <t>7258 Burning Dale Mountain</t>
  </si>
  <si>
    <t>Hautmont</t>
  </si>
  <si>
    <t>Nathan</t>
  </si>
  <si>
    <t>Mahoney</t>
  </si>
  <si>
    <t>3593 Blue Brook Acres</t>
  </si>
  <si>
    <t>Banska Bystrica</t>
  </si>
  <si>
    <t>Eslovaquia</t>
  </si>
  <si>
    <t>11/28/2016 3:24</t>
  </si>
  <si>
    <t>Banská Bystrica</t>
  </si>
  <si>
    <t>1475 Red Creek Stead</t>
  </si>
  <si>
    <t>Nacka</t>
  </si>
  <si>
    <t>9/22/2017 20:09</t>
  </si>
  <si>
    <t>9/28/2017 20:09</t>
  </si>
  <si>
    <t>7761 Silent Hickory Drive</t>
  </si>
  <si>
    <t>West Bromwich</t>
  </si>
  <si>
    <t>Maddox</t>
  </si>
  <si>
    <t>4703 Old Route</t>
  </si>
  <si>
    <t>Milan</t>
  </si>
  <si>
    <t>8/27/2017 10:22</t>
  </si>
  <si>
    <t>Lombardía</t>
  </si>
  <si>
    <t>8/29/2017 10:22</t>
  </si>
  <si>
    <t>Jason</t>
  </si>
  <si>
    <t>Haas</t>
  </si>
  <si>
    <t>9420 Velvet Lagoon Trail</t>
  </si>
  <si>
    <t>Johnston</t>
  </si>
  <si>
    <t>2337 Indian Inlet</t>
  </si>
  <si>
    <t>9/15/2017 10:10</t>
  </si>
  <si>
    <t>9/18/2017 10:10</t>
  </si>
  <si>
    <t>Basingstoke</t>
  </si>
  <si>
    <t>9/29/2015 9:36</t>
  </si>
  <si>
    <t>3760 Stony Promenade</t>
  </si>
  <si>
    <t>9/19/2015 9:58</t>
  </si>
  <si>
    <t>9/24/2015 9:58</t>
  </si>
  <si>
    <t>Miller</t>
  </si>
  <si>
    <t>5434 Grand Common</t>
  </si>
  <si>
    <t>Littlehampton</t>
  </si>
  <si>
    <t>8/26/2015 22:57</t>
  </si>
  <si>
    <t>8/29/2015 22:57</t>
  </si>
  <si>
    <t>Steven</t>
  </si>
  <si>
    <t>4097 Middle Spring Centre</t>
  </si>
  <si>
    <t>7/14/2015 18:17</t>
  </si>
  <si>
    <t>7/18/2015 18:17</t>
  </si>
  <si>
    <t>Judith</t>
  </si>
  <si>
    <t>Osborne</t>
  </si>
  <si>
    <t>8924 Easy Treasure Nook</t>
  </si>
  <si>
    <t>Seville</t>
  </si>
  <si>
    <t>6/25/2017 18:00</t>
  </si>
  <si>
    <t>Andalucía</t>
  </si>
  <si>
    <t>6/28/2017 18:00</t>
  </si>
  <si>
    <t>Moncalieri</t>
  </si>
  <si>
    <t>Piamonte</t>
  </si>
  <si>
    <t>9/17/2017 8:46</t>
  </si>
  <si>
    <t>9/23/2017 8:46</t>
  </si>
  <si>
    <t>3506 Heather Berry Round</t>
  </si>
  <si>
    <t>Seraing</t>
  </si>
  <si>
    <t>Bélgica</t>
  </si>
  <si>
    <t>6/13/2015 14:39</t>
  </si>
  <si>
    <t>Lieja</t>
  </si>
  <si>
    <t>6/18/2015 14:39</t>
  </si>
  <si>
    <t>7800 Hazy Lake Acres</t>
  </si>
  <si>
    <t>Kramators'k</t>
  </si>
  <si>
    <t>8/28/2016 16:50</t>
  </si>
  <si>
    <t>Donetsk</t>
  </si>
  <si>
    <t>Children's Clothing</t>
  </si>
  <si>
    <t>Sara</t>
  </si>
  <si>
    <t>Mejia</t>
  </si>
  <si>
    <t>4520 Quiet Grounds</t>
  </si>
  <si>
    <t>Kiel</t>
  </si>
  <si>
    <t>10/19/2017 11:10</t>
  </si>
  <si>
    <t>Schleswig-Holstein</t>
  </si>
  <si>
    <t>Children's heaters</t>
  </si>
  <si>
    <t>10/24/2017 11:10</t>
  </si>
  <si>
    <t>Marilyn</t>
  </si>
  <si>
    <t>1155 Cotton Inlet</t>
  </si>
  <si>
    <t>8/31/2015 13:19</t>
  </si>
  <si>
    <t>896 Thunder Knoll</t>
  </si>
  <si>
    <t>Soto</t>
  </si>
  <si>
    <t>472 Cinder Sky Farm</t>
  </si>
  <si>
    <t>Sunderland</t>
  </si>
  <si>
    <t>8/16/2015 16:40</t>
  </si>
  <si>
    <t>8/21/2015 16:40</t>
  </si>
  <si>
    <t>6080 Old Bay</t>
  </si>
  <si>
    <t>10/20/2015 23:45</t>
  </si>
  <si>
    <t>10/23/2015 23:45</t>
  </si>
  <si>
    <t>4251 Sleepy View Alley</t>
  </si>
  <si>
    <t>Augsburg</t>
  </si>
  <si>
    <t>6/29/2015 20:56</t>
  </si>
  <si>
    <t>432 Dusty Glen</t>
  </si>
  <si>
    <t>Cognac</t>
  </si>
  <si>
    <t>Kathryn</t>
  </si>
  <si>
    <t>Singh</t>
  </si>
  <si>
    <t>6774 Noble Branch Knoll</t>
  </si>
  <si>
    <t>Castrop-Rauxel</t>
  </si>
  <si>
    <t>8/26/2017 13:21</t>
  </si>
  <si>
    <t>8/28/2017 13:21</t>
  </si>
  <si>
    <t>Peters</t>
  </si>
  <si>
    <t>Bytom</t>
  </si>
  <si>
    <t>Silesia</t>
  </si>
  <si>
    <t>Durango</t>
  </si>
  <si>
    <t>2/20/2017 13:05</t>
  </si>
  <si>
    <t>2/26/2017 13:05</t>
  </si>
  <si>
    <t>1812 Sunny River Wharf</t>
  </si>
  <si>
    <t>4/20/2017 8:59</t>
  </si>
  <si>
    <t>4/26/2017 8:59</t>
  </si>
  <si>
    <t>Ralph</t>
  </si>
  <si>
    <t>Nielsen</t>
  </si>
  <si>
    <t>6639 Clear Fawn Grounds</t>
  </si>
  <si>
    <t>3/17/2015 5:19</t>
  </si>
  <si>
    <t>3/22/2015 5:19</t>
  </si>
  <si>
    <t>Serra</t>
  </si>
  <si>
    <t>5/14/2015 3:29</t>
  </si>
  <si>
    <t>Espíritu Santo</t>
  </si>
  <si>
    <t>5/17/2015 3:29</t>
  </si>
  <si>
    <t>Amber</t>
  </si>
  <si>
    <t>3440 Clear Moor</t>
  </si>
  <si>
    <t>Donna</t>
  </si>
  <si>
    <t>8569 Umber Fox Common</t>
  </si>
  <si>
    <t>5/17/2015 7:52</t>
  </si>
  <si>
    <t>5/23/2015 7:52</t>
  </si>
  <si>
    <t>3412 Golden Orchard</t>
  </si>
  <si>
    <t>Santiago de los Caballeros</t>
  </si>
  <si>
    <t>5/17/2015 4:42</t>
  </si>
  <si>
    <t>Santiago de Chile</t>
  </si>
  <si>
    <t>5/19/2015 4:42</t>
  </si>
  <si>
    <t>3413 Silver Lake Carrefour</t>
  </si>
  <si>
    <t>Mayaguez</t>
  </si>
  <si>
    <t>2681 Cinder By-pass</t>
  </si>
  <si>
    <t>Sims</t>
  </si>
  <si>
    <t>3289 Thunder Prairie Inlet</t>
  </si>
  <si>
    <t>Pinar del Río</t>
  </si>
  <si>
    <t>1/25/2017 8:34</t>
  </si>
  <si>
    <t>1/27/2017 8:34</t>
  </si>
  <si>
    <t>8094 Broad Dale</t>
  </si>
  <si>
    <t>Araranguá</t>
  </si>
  <si>
    <t>6/14/2017 11:53</t>
  </si>
  <si>
    <t>6/16/2017 11:53</t>
  </si>
  <si>
    <t>6292 Velvet Wagon  Plaza</t>
  </si>
  <si>
    <t>1/30/2015 3:59</t>
  </si>
  <si>
    <t>8828 Red Farms</t>
  </si>
  <si>
    <t>Juárez</t>
  </si>
  <si>
    <t>2/21/2017 1:42</t>
  </si>
  <si>
    <t>2/23/2017 1:42</t>
  </si>
  <si>
    <t>6336 Thunder Dale</t>
  </si>
  <si>
    <t>4/14/2017 6:32</t>
  </si>
  <si>
    <t>4/17/2017 6:32</t>
  </si>
  <si>
    <t>Puno</t>
  </si>
  <si>
    <t>1/24/2017 7:21</t>
  </si>
  <si>
    <t>1/29/2017 7:21</t>
  </si>
  <si>
    <t>1974 Fallen Place</t>
  </si>
  <si>
    <t>3/18/2017 18:18</t>
  </si>
  <si>
    <t>3/20/2017 18:18</t>
  </si>
  <si>
    <t>2553 Golden Dale</t>
  </si>
  <si>
    <t>Navegantes</t>
  </si>
  <si>
    <t>2/24/2017 11:41</t>
  </si>
  <si>
    <t>Colon</t>
  </si>
  <si>
    <t>2568 Bright Lookout</t>
  </si>
  <si>
    <t>5/15/2017 15:25</t>
  </si>
  <si>
    <t>5/17/2017 15:25</t>
  </si>
  <si>
    <t>Bates</t>
  </si>
  <si>
    <t>382 Rocky Pond By-pass</t>
  </si>
  <si>
    <t>Catherine</t>
  </si>
  <si>
    <t>4692 Gentle Turnabout</t>
  </si>
  <si>
    <t>Tampico</t>
  </si>
  <si>
    <t>4/29/2015 13:29</t>
  </si>
  <si>
    <t>Tamaulipas</t>
  </si>
  <si>
    <t>5138 Green Boulevard</t>
  </si>
  <si>
    <t>La Paz</t>
  </si>
  <si>
    <t>Bolivia</t>
  </si>
  <si>
    <t>4689 Lost Spring Key</t>
  </si>
  <si>
    <t>Matagalpa</t>
  </si>
  <si>
    <t>2/21/2015 11:18</t>
  </si>
  <si>
    <t>2/24/2015 11:18</t>
  </si>
  <si>
    <t>1018 Colonial Nectar Subdivision</t>
  </si>
  <si>
    <t>Cuscatancingo</t>
  </si>
  <si>
    <t>Mccoy</t>
  </si>
  <si>
    <t>8696 Bright Dale Pointe</t>
  </si>
  <si>
    <t>3/16/2017 9:33</t>
  </si>
  <si>
    <t>3/21/2017 9:33</t>
  </si>
  <si>
    <t>Lopez</t>
  </si>
  <si>
    <t>914 Round Pony Canyon</t>
  </si>
  <si>
    <t>Americana</t>
  </si>
  <si>
    <t>4/15/2017 12:29</t>
  </si>
  <si>
    <t>Barbara</t>
  </si>
  <si>
    <t>Pham</t>
  </si>
  <si>
    <t>135 Burning Ridge</t>
  </si>
  <si>
    <t>Indaial</t>
  </si>
  <si>
    <t>5/28/2015 14:41</t>
  </si>
  <si>
    <t>Mcgrath</t>
  </si>
  <si>
    <t>1905 Broad Apple Highway</t>
  </si>
  <si>
    <t>Tijuana</t>
  </si>
  <si>
    <t>Baja California</t>
  </si>
  <si>
    <t>Mcdonald</t>
  </si>
  <si>
    <t>2291 Velvet Berry Freeway</t>
  </si>
  <si>
    <t>Ciudad del Carmen</t>
  </si>
  <si>
    <t>Campeche</t>
  </si>
  <si>
    <t>8718 High Front</t>
  </si>
  <si>
    <t>Santana de Parnaíba</t>
  </si>
  <si>
    <t>1/21/2015 5:13</t>
  </si>
  <si>
    <t>1/23/2015 5:13</t>
  </si>
  <si>
    <t>Juarez</t>
  </si>
  <si>
    <t>1809 Lost Pine Ledge</t>
  </si>
  <si>
    <t>Limeira</t>
  </si>
  <si>
    <t>5/14/2017 13:09</t>
  </si>
  <si>
    <t>5/16/2017 13:09</t>
  </si>
  <si>
    <t>1235 Honey Mews</t>
  </si>
  <si>
    <t>Valencia</t>
  </si>
  <si>
    <t>Carabobo</t>
  </si>
  <si>
    <t>5/13/2015 3:08</t>
  </si>
  <si>
    <t>4746 Quaking Bear Valley</t>
  </si>
  <si>
    <t>4/25/2017 14:45</t>
  </si>
  <si>
    <t>4/30/2017 14:45</t>
  </si>
  <si>
    <t>Copeland</t>
  </si>
  <si>
    <t>5735 Round Beacon Terrace</t>
  </si>
  <si>
    <t>2/20/2017 0:50</t>
  </si>
  <si>
    <t>2/26/2017 0:50</t>
  </si>
  <si>
    <t>Berg</t>
  </si>
  <si>
    <t>2387 Silver Freeway</t>
  </si>
  <si>
    <t>Chile</t>
  </si>
  <si>
    <t>3/23/2017 3:25</t>
  </si>
  <si>
    <t>3/25/2017 3:25</t>
  </si>
  <si>
    <t>6567 Red Sky Gate</t>
  </si>
  <si>
    <t>4/13/2017 22:07</t>
  </si>
  <si>
    <t>4/17/2017 22:07</t>
  </si>
  <si>
    <t>Macapá</t>
  </si>
  <si>
    <t>Amapá</t>
  </si>
  <si>
    <t>Team Golf New England Patriots Putter Grip</t>
  </si>
  <si>
    <t>Wolf</t>
  </si>
  <si>
    <t>7969 Umber Forest</t>
  </si>
  <si>
    <t>Portmore</t>
  </si>
  <si>
    <t>1/17/2015 2:46</t>
  </si>
  <si>
    <t>Santa Caterina</t>
  </si>
  <si>
    <t>1/23/2015 2:46</t>
  </si>
  <si>
    <t>1538 Sunny Lagoon Mews</t>
  </si>
  <si>
    <t>1/27/2015 5:13</t>
  </si>
  <si>
    <t>1/30/2015 5:13</t>
  </si>
  <si>
    <t>3450 Round Gate Close</t>
  </si>
  <si>
    <t>1/24/2015 20:06</t>
  </si>
  <si>
    <t>1/29/2015 20:06</t>
  </si>
  <si>
    <t>Joshua</t>
  </si>
  <si>
    <t>9709 Dewy Pointe</t>
  </si>
  <si>
    <t>Saltillo</t>
  </si>
  <si>
    <t>Coahuila</t>
  </si>
  <si>
    <t>4429 Lost Elk Front</t>
  </si>
  <si>
    <t>1/15/2015 10:50</t>
  </si>
  <si>
    <t>2721 Dewy Panda Manor</t>
  </si>
  <si>
    <t>Guantánamo</t>
  </si>
  <si>
    <t>4545 Quaking Hickory Ledge</t>
  </si>
  <si>
    <t>Cartago</t>
  </si>
  <si>
    <t>Valle del Cauca</t>
  </si>
  <si>
    <t>Arecibo</t>
  </si>
  <si>
    <t>6289 Rocky Way</t>
  </si>
  <si>
    <t>Arequipa</t>
  </si>
  <si>
    <t>2585 Silent Autumn Landing</t>
  </si>
  <si>
    <t>Atlixco</t>
  </si>
  <si>
    <t>2/22/2015 21:38</t>
  </si>
  <si>
    <t>2/28/2015 21:38</t>
  </si>
  <si>
    <t>1411 Little Log Boulevard</t>
  </si>
  <si>
    <t>Rio Branco</t>
  </si>
  <si>
    <t>3/28/2015 9:20</t>
  </si>
  <si>
    <t>Acre</t>
  </si>
  <si>
    <t>1768 Sleepy Zephyr Place</t>
  </si>
  <si>
    <t>Ayacucho</t>
  </si>
  <si>
    <t>Beard</t>
  </si>
  <si>
    <t>1811 Hazy Oak Subdivision</t>
  </si>
  <si>
    <t>5/13/2015 6:49</t>
  </si>
  <si>
    <t>5/17/2015 6:49</t>
  </si>
  <si>
    <t>2972 Pleasant Branch Road</t>
  </si>
  <si>
    <t>Vassouras</t>
  </si>
  <si>
    <t>6/15/2017 13:27</t>
  </si>
  <si>
    <t>Río de Janeiro</t>
  </si>
  <si>
    <t>6/20/2017 13:27</t>
  </si>
  <si>
    <t>6502 Heather Nook</t>
  </si>
  <si>
    <t>Hyderabad</t>
  </si>
  <si>
    <t>Telangana</t>
  </si>
  <si>
    <t>Warner</t>
  </si>
  <si>
    <t>3050 Shady Mews</t>
  </si>
  <si>
    <t>Jiangyan</t>
  </si>
  <si>
    <t>12/23/2015 22:37</t>
  </si>
  <si>
    <t>12/27/2015 22:37</t>
  </si>
  <si>
    <t>Brady</t>
  </si>
  <si>
    <t>8263 Indian Crossing</t>
  </si>
  <si>
    <t>Christchurch</t>
  </si>
  <si>
    <t>3/30/2016 15:07</t>
  </si>
  <si>
    <t>Canterbury</t>
  </si>
  <si>
    <t>Masterton</t>
  </si>
  <si>
    <t>3/25/2016 14:57</t>
  </si>
  <si>
    <t>adidas Kids' F5 Messi FG Soccer Cleat</t>
  </si>
  <si>
    <t>3/28/2016 14:57</t>
  </si>
  <si>
    <t>3562 Round Edge</t>
  </si>
  <si>
    <t>Daqing</t>
  </si>
  <si>
    <t>1/13/2016 16:48</t>
  </si>
  <si>
    <t>1/19/2016 16:48</t>
  </si>
  <si>
    <t>8663 Crystal Bluff Walk</t>
  </si>
  <si>
    <t>Albury</t>
  </si>
  <si>
    <t>3/22/2016 12:20</t>
  </si>
  <si>
    <t>Nike Women's Tempo Shorts</t>
  </si>
  <si>
    <t>3/27/2016 12:20</t>
  </si>
  <si>
    <t>Moore</t>
  </si>
  <si>
    <t>5687 Clear Maze</t>
  </si>
  <si>
    <t>10/28/2016 7:28</t>
  </si>
  <si>
    <t>10/30/2016 7:28</t>
  </si>
  <si>
    <t>4293 Rustic Island</t>
  </si>
  <si>
    <t>Valenzuela</t>
  </si>
  <si>
    <t>Jennings</t>
  </si>
  <si>
    <t>9/16/2016 10:20</t>
  </si>
  <si>
    <t>9/19/2016 10:20</t>
  </si>
  <si>
    <t>Antipolo</t>
  </si>
  <si>
    <t>12/15/2015 15:58</t>
  </si>
  <si>
    <t>Calabarzón</t>
  </si>
  <si>
    <t>12/17/2015 15:58</t>
  </si>
  <si>
    <t>4958 Heather Panda Bank</t>
  </si>
  <si>
    <t>Borujerd</t>
  </si>
  <si>
    <t>9/27/2016 21:00</t>
  </si>
  <si>
    <t>Lorestan</t>
  </si>
  <si>
    <t>9/29/2016 21:00</t>
  </si>
  <si>
    <t>Campos</t>
  </si>
  <si>
    <t>1019 Grand Shadow Wynd</t>
  </si>
  <si>
    <t>Izmir</t>
  </si>
  <si>
    <t>11/29/2016 10:14</t>
  </si>
  <si>
    <t xml:space="preserve">7969 Thunder Butterfly Mall </t>
  </si>
  <si>
    <t>Susan</t>
  </si>
  <si>
    <t>3662 Middle Willow Promenade</t>
  </si>
  <si>
    <t>Shulan</t>
  </si>
  <si>
    <t>11/29/2015 23:21</t>
  </si>
  <si>
    <t>Pugh</t>
  </si>
  <si>
    <t>5407 Sunny Wagon  Valley</t>
  </si>
  <si>
    <t>Antalya</t>
  </si>
  <si>
    <t>11/18/2016 10:04</t>
  </si>
  <si>
    <t>11/21/2016 10:04</t>
  </si>
  <si>
    <t>9/14/2016 16:38</t>
  </si>
  <si>
    <t>9/18/2016 16:38</t>
  </si>
  <si>
    <t>6534 Cinder Campus</t>
  </si>
  <si>
    <t>12/14/2015 22:38</t>
  </si>
  <si>
    <t>2383 Crystal Panda Mount</t>
  </si>
  <si>
    <t>2/13/2016 5:23</t>
  </si>
  <si>
    <t>Zachary</t>
  </si>
  <si>
    <t>4606 Tawny Autoroute</t>
  </si>
  <si>
    <t>2/23/2016 7:28</t>
  </si>
  <si>
    <t>2/26/2016 7:28</t>
  </si>
  <si>
    <t>1948 Round Nectar Via</t>
  </si>
  <si>
    <t>11/17/2016 5:41</t>
  </si>
  <si>
    <t>11/19/2016 5:41</t>
  </si>
  <si>
    <t>Villa</t>
  </si>
  <si>
    <t>3385 Cotton Wharf</t>
  </si>
  <si>
    <t>11/17/2015 17:46</t>
  </si>
  <si>
    <t>11/21/2015 17:46</t>
  </si>
  <si>
    <t>Taizz</t>
  </si>
  <si>
    <t>Yemen</t>
  </si>
  <si>
    <t>Taiz</t>
  </si>
  <si>
    <t>10/13/2016 6:58</t>
  </si>
  <si>
    <t>10/16/2016 6:58</t>
  </si>
  <si>
    <t>Yangzhou</t>
  </si>
  <si>
    <t>1063 Fallen Subdivision</t>
  </si>
  <si>
    <t>Asahikawa</t>
  </si>
  <si>
    <t>Hokkaido</t>
  </si>
  <si>
    <t>Gallagher</t>
  </si>
  <si>
    <t>2220 Quaking Lookout</t>
  </si>
  <si>
    <t>1/16/2016 14:10</t>
  </si>
  <si>
    <t>Mindanao Septentrional</t>
  </si>
  <si>
    <t>1/20/2016 14:10</t>
  </si>
  <si>
    <t>6449 Lazy Robin Drive</t>
  </si>
  <si>
    <t>Khouribga</t>
  </si>
  <si>
    <t>Chauía-Uardiga</t>
  </si>
  <si>
    <t>10/16/2016 11:42</t>
  </si>
  <si>
    <t>Janice</t>
  </si>
  <si>
    <t>6229 Clear Oak Lookout</t>
  </si>
  <si>
    <t>12/24/2016 14:13</t>
  </si>
  <si>
    <t>12/30/2016 14:13</t>
  </si>
  <si>
    <t>870 Amber Quail Circuit</t>
  </si>
  <si>
    <t>Accra</t>
  </si>
  <si>
    <t>Ghana</t>
  </si>
  <si>
    <t>11/27/2016 17:56</t>
  </si>
  <si>
    <t>Gran Accra</t>
  </si>
  <si>
    <t>11/29/2016 17:56</t>
  </si>
  <si>
    <t>Algonquin</t>
  </si>
  <si>
    <t>1726 Velvet Thicket</t>
  </si>
  <si>
    <t>Boghni</t>
  </si>
  <si>
    <t>Tizi Ouzou</t>
  </si>
  <si>
    <t>Indianapolis</t>
  </si>
  <si>
    <t>IN</t>
  </si>
  <si>
    <t>6163 Lazy Pointe</t>
  </si>
  <si>
    <t>Meknes</t>
  </si>
  <si>
    <t>10/17/2016 23:25</t>
  </si>
  <si>
    <t>Mequinez-Tafilalet</t>
  </si>
  <si>
    <t>10/21/2016 23:25</t>
  </si>
  <si>
    <t>5530 Emerald Elk Mews</t>
  </si>
  <si>
    <t>1/13/2017 21:54</t>
  </si>
  <si>
    <t>Buena Park</t>
  </si>
  <si>
    <t>3740 Velvet Rise</t>
  </si>
  <si>
    <t>Thika</t>
  </si>
  <si>
    <t>12/22/2016 18:26</t>
  </si>
  <si>
    <t>Central</t>
  </si>
  <si>
    <t>12/28/2016 18:26</t>
  </si>
  <si>
    <t>3204 Cinder Line</t>
  </si>
  <si>
    <t>11/30/2016 18:27</t>
  </si>
  <si>
    <t>Catonsville</t>
  </si>
  <si>
    <t>Goodwin</t>
  </si>
  <si>
    <t>2476 Grand Leaf Townline</t>
  </si>
  <si>
    <t>Ad Diwem</t>
  </si>
  <si>
    <t>10/22/2016 12:23</t>
  </si>
  <si>
    <t>Nilo Blanco</t>
  </si>
  <si>
    <t>10/27/2016 12:23</t>
  </si>
  <si>
    <t>1111 Cotton Vista</t>
  </si>
  <si>
    <t>Crystal</t>
  </si>
  <si>
    <t>Blake</t>
  </si>
  <si>
    <t>6764 Tawny Link</t>
  </si>
  <si>
    <t>Alexandria</t>
  </si>
  <si>
    <t>8/29/2016 20:10</t>
  </si>
  <si>
    <t>Alejandría</t>
  </si>
  <si>
    <t>Michelle</t>
  </si>
  <si>
    <t>858 Emerald Key</t>
  </si>
  <si>
    <t>6292 Wishing Branch Via</t>
  </si>
  <si>
    <t>9/19/2016 6:18</t>
  </si>
  <si>
    <t>9/21/2016 6:18</t>
  </si>
  <si>
    <t>Jersey City</t>
  </si>
  <si>
    <t>Hurst</t>
  </si>
  <si>
    <t>7697 Easy Butterfly Centre</t>
  </si>
  <si>
    <t>Kalemie</t>
  </si>
  <si>
    <t>10/14/2016 3:59</t>
  </si>
  <si>
    <t>Katanga</t>
  </si>
  <si>
    <t>10/17/2016 3:59</t>
  </si>
  <si>
    <t>Townsend</t>
  </si>
  <si>
    <t>4352 Heather Timber Quay</t>
  </si>
  <si>
    <t>Wad Madani</t>
  </si>
  <si>
    <t>9/23/2016 13:39</t>
  </si>
  <si>
    <t>Gezira</t>
  </si>
  <si>
    <t>9/25/2016 13:39</t>
  </si>
  <si>
    <t>Henry</t>
  </si>
  <si>
    <t>1490 Amber Forest Forest</t>
  </si>
  <si>
    <t>11/30/2016 11:06</t>
  </si>
  <si>
    <t>Shah</t>
  </si>
  <si>
    <t>9044 Round Private</t>
  </si>
  <si>
    <t>Mogadishu</t>
  </si>
  <si>
    <t>12/14/2016 19:50</t>
  </si>
  <si>
    <t>Benadir</t>
  </si>
  <si>
    <t>Glove It Women's Mod Oval Golf Glove</t>
  </si>
  <si>
    <t>12/16/2016 19:50</t>
  </si>
  <si>
    <t>Lombard</t>
  </si>
  <si>
    <t>Strong</t>
  </si>
  <si>
    <t>2557 Gentle Hills Wynd</t>
  </si>
  <si>
    <t>10/14/2016 3:39</t>
  </si>
  <si>
    <t>9831 Sunny Cloud Valley</t>
  </si>
  <si>
    <t>8/30/2016 2:28</t>
  </si>
  <si>
    <t>6269 Harvest Shadow Meadow</t>
  </si>
  <si>
    <t>New Bedford</t>
  </si>
  <si>
    <t>10/13/2016 21:09</t>
  </si>
  <si>
    <t>Newburgh</t>
  </si>
  <si>
    <t>Wallace</t>
  </si>
  <si>
    <t>6412 Quiet Swale</t>
  </si>
  <si>
    <t>Kindia</t>
  </si>
  <si>
    <t>Guinea</t>
  </si>
  <si>
    <t>12/19/2016 10:54</t>
  </si>
  <si>
    <t>12/23/2016 10:54</t>
  </si>
  <si>
    <t>Adams</t>
  </si>
  <si>
    <t>2459 Velvet Brook Woods</t>
  </si>
  <si>
    <t>Taza</t>
  </si>
  <si>
    <t>11/29/2016 8:07</t>
  </si>
  <si>
    <t>Taza-Alhucemas-Taunat</t>
  </si>
  <si>
    <t>Lansdale</t>
  </si>
  <si>
    <t>5078 Foggy Panda Highlands</t>
  </si>
  <si>
    <t>Dire Dawa</t>
  </si>
  <si>
    <t>Etiopía</t>
  </si>
  <si>
    <t>11/24/2016 6:33</t>
  </si>
  <si>
    <t>11/28/2016 6:33</t>
  </si>
  <si>
    <t>Titleist Pro V1 High Numbers Personalized Gol</t>
  </si>
  <si>
    <t>5571 Rocky Knoll</t>
  </si>
  <si>
    <t>7/27/2017 5:41</t>
  </si>
  <si>
    <t>Baltimore</t>
  </si>
  <si>
    <t>Atkinson</t>
  </si>
  <si>
    <t>8773 Colonial Shadow Maze</t>
  </si>
  <si>
    <t>Turin</t>
  </si>
  <si>
    <t>7/14/2015 2:31</t>
  </si>
  <si>
    <t>7/18/2015 2:31</t>
  </si>
  <si>
    <t>1606 Rocky Shadow Ledge</t>
  </si>
  <si>
    <t>Cologne</t>
  </si>
  <si>
    <t>Fullerton</t>
  </si>
  <si>
    <t>5803 Umber Meadow</t>
  </si>
  <si>
    <t>7/23/2015 11:06</t>
  </si>
  <si>
    <t>7/28/2015 11:06</t>
  </si>
  <si>
    <t>1221 High Crest</t>
  </si>
  <si>
    <t>Uvarovo</t>
  </si>
  <si>
    <t>11/15/2016 2:11</t>
  </si>
  <si>
    <t>Tambov</t>
  </si>
  <si>
    <t>11/20/2016 2:11</t>
  </si>
  <si>
    <t>Sacramento</t>
  </si>
  <si>
    <t>5098 Lazy Pathway</t>
  </si>
  <si>
    <t>Southend-on-Sea</t>
  </si>
  <si>
    <t>8/31/2015 3:51</t>
  </si>
  <si>
    <t>3957 Emerald Spring Nook</t>
  </si>
  <si>
    <t>Widnes</t>
  </si>
  <si>
    <t>Greensboro</t>
  </si>
  <si>
    <t>3977 Colonial Towers</t>
  </si>
  <si>
    <t>Meadows</t>
  </si>
  <si>
    <t>5835 Harvest Vista</t>
  </si>
  <si>
    <t>Carpentras</t>
  </si>
  <si>
    <t>7/17/2017 20:25</t>
  </si>
  <si>
    <t>Utrecht</t>
  </si>
  <si>
    <t>10/14/2015 17:07</t>
  </si>
  <si>
    <t>10/17/2015 17:07</t>
  </si>
  <si>
    <t>1449 Red Cove</t>
  </si>
  <si>
    <t>Genk</t>
  </si>
  <si>
    <t>8/13/2017 5:50</t>
  </si>
  <si>
    <t>Limburgo</t>
  </si>
  <si>
    <t>8/18/2017 5:50</t>
  </si>
  <si>
    <t>Sampson</t>
  </si>
  <si>
    <t>2056 Misty Grove Rise</t>
  </si>
  <si>
    <t>Gloucester</t>
  </si>
  <si>
    <t>9/15/2015 10:40</t>
  </si>
  <si>
    <t>Roseburg</t>
  </si>
  <si>
    <t>5430 Burning Rise Route</t>
  </si>
  <si>
    <t>9/24/2015 4:52</t>
  </si>
  <si>
    <t>9/27/2015 4:52</t>
  </si>
  <si>
    <t>Modesto</t>
  </si>
  <si>
    <t>6324 Golden Line</t>
  </si>
  <si>
    <t>Helsinki</t>
  </si>
  <si>
    <t>Fuentes</t>
  </si>
  <si>
    <t>5659 Shady Cloud Port</t>
  </si>
  <si>
    <t>Miramas</t>
  </si>
  <si>
    <t>Franco</t>
  </si>
  <si>
    <t>1214 Dusty Crescent</t>
  </si>
  <si>
    <t>Sofia</t>
  </si>
  <si>
    <t>Bulgaria</t>
  </si>
  <si>
    <t>Sofía-Ciudad</t>
  </si>
  <si>
    <t>Lacrosse</t>
  </si>
  <si>
    <t>Encinitas</t>
  </si>
  <si>
    <t>1795 Fallen Corners</t>
  </si>
  <si>
    <t>Granada</t>
  </si>
  <si>
    <t>Under Armour Men's Tech II T-Shirt</t>
  </si>
  <si>
    <t>8/13/2015 7:44</t>
  </si>
  <si>
    <t>9761 Quaking Acres</t>
  </si>
  <si>
    <t>Mont-Saint-Aignan</t>
  </si>
  <si>
    <t>Normandía</t>
  </si>
  <si>
    <t>6115 Clear River Key</t>
  </si>
  <si>
    <t>Berlín</t>
  </si>
  <si>
    <t>Watsonville</t>
  </si>
  <si>
    <t>1985 Sunny Manor</t>
  </si>
  <si>
    <t>7/26/2017 11:28</t>
  </si>
  <si>
    <t>7/29/2017 11:28</t>
  </si>
  <si>
    <t>Meridian</t>
  </si>
  <si>
    <t>ID</t>
  </si>
  <si>
    <t>4834 Easy Terrace</t>
  </si>
  <si>
    <t>Cagliari</t>
  </si>
  <si>
    <t>7/21/2017 21:07</t>
  </si>
  <si>
    <t>Cerdeña</t>
  </si>
  <si>
    <t>7/24/2017 21:07</t>
  </si>
  <si>
    <t>6058 Fallen Walk</t>
  </si>
  <si>
    <t>Erftstadt</t>
  </si>
  <si>
    <t>Anna</t>
  </si>
  <si>
    <t>Bailey</t>
  </si>
  <si>
    <t>1773 Amber Walk</t>
  </si>
  <si>
    <t>Harrow</t>
  </si>
  <si>
    <t>8/14/2017 9:21</t>
  </si>
  <si>
    <t>Endicott</t>
  </si>
  <si>
    <t>Arnold</t>
  </si>
  <si>
    <t>8775 Wishing Pony Byway</t>
  </si>
  <si>
    <t>Pescara</t>
  </si>
  <si>
    <t>8/28/2015 21:54</t>
  </si>
  <si>
    <t>Abruzos</t>
  </si>
  <si>
    <t>8/30/2015 21:54</t>
  </si>
  <si>
    <t>Tourcoing</t>
  </si>
  <si>
    <t>6/22/2015 13:25</t>
  </si>
  <si>
    <t>6/25/2015 13:25</t>
  </si>
  <si>
    <t>Katy</t>
  </si>
  <si>
    <t>906 Green Treasure Limits</t>
  </si>
  <si>
    <t>Afragola</t>
  </si>
  <si>
    <t>10/13/2015 1:10</t>
  </si>
  <si>
    <t>10/17/2015 1:10</t>
  </si>
  <si>
    <t>Visalia</t>
  </si>
  <si>
    <t>Ann</t>
  </si>
  <si>
    <t>7191 Jagged Avenue</t>
  </si>
  <si>
    <t>Lugansk</t>
  </si>
  <si>
    <t>12/27/2016 9:50</t>
  </si>
  <si>
    <t>12/31/2016 9:50</t>
  </si>
  <si>
    <t>Doncaster</t>
  </si>
  <si>
    <t>8/22/2015 17:43</t>
  </si>
  <si>
    <t>8/26/2015 17:43</t>
  </si>
  <si>
    <t>Rangel</t>
  </si>
  <si>
    <t>2395 Misty Carrefour</t>
  </si>
  <si>
    <t>Bry-sur-Marne</t>
  </si>
  <si>
    <t>9/14/2015 5:04</t>
  </si>
  <si>
    <t>Charleroi</t>
  </si>
  <si>
    <t>Henao</t>
  </si>
  <si>
    <t>10/14/2015 13:58</t>
  </si>
  <si>
    <t>516 Dewy Bluff Swale</t>
  </si>
  <si>
    <t>Lompoc</t>
  </si>
  <si>
    <t>Jesse</t>
  </si>
  <si>
    <t>2225 Crystal Beach</t>
  </si>
  <si>
    <t>Niort</t>
  </si>
  <si>
    <t>6/20/2015 9:34</t>
  </si>
  <si>
    <t>6/25/2015 9:34</t>
  </si>
  <si>
    <t>Shepherd</t>
  </si>
  <si>
    <t>18 Golden Point</t>
  </si>
  <si>
    <t>Venice</t>
  </si>
  <si>
    <t>9/17/2017 16:07</t>
  </si>
  <si>
    <t>9/19/2017 16:07</t>
  </si>
  <si>
    <t>9540 Little Vista</t>
  </si>
  <si>
    <t>Ulm</t>
  </si>
  <si>
    <t>7/18/2015 11:59</t>
  </si>
  <si>
    <t>7/23/2015 11:59</t>
  </si>
  <si>
    <t>Ogden</t>
  </si>
  <si>
    <t>7814 Colonial Autumn Line</t>
  </si>
  <si>
    <t>Cambridge</t>
  </si>
  <si>
    <t>Raleigh</t>
  </si>
  <si>
    <t>2538 Quaking Hills Ramp</t>
  </si>
  <si>
    <t>Siegen</t>
  </si>
  <si>
    <t>7/16/2017 7:38</t>
  </si>
  <si>
    <t>Diaz</t>
  </si>
  <si>
    <t>6174 Bright Vista</t>
  </si>
  <si>
    <t>7/16/2017 4:08</t>
  </si>
  <si>
    <t>7/18/2017 4:08</t>
  </si>
  <si>
    <t>141 Dewy Plaza</t>
  </si>
  <si>
    <t>6/25/2017 7:08</t>
  </si>
  <si>
    <t>6/27/2017 7:08</t>
  </si>
  <si>
    <t>Hacienda Heights</t>
  </si>
  <si>
    <t>3922 Grand Crescent</t>
  </si>
  <si>
    <t>Las Rozas de Madrid</t>
  </si>
  <si>
    <t>Union City</t>
  </si>
  <si>
    <t>Luton</t>
  </si>
  <si>
    <t>Hollywood</t>
  </si>
  <si>
    <t>8093 Old Autumn Green</t>
  </si>
  <si>
    <t>Verdun</t>
  </si>
  <si>
    <t>Bolingbrook</t>
  </si>
  <si>
    <t>7658 Hazy Mountain Plaza</t>
  </si>
  <si>
    <t>Conflans-Sainte-Honorine</t>
  </si>
  <si>
    <t>8/24/2017 18:37</t>
  </si>
  <si>
    <t>8/29/2017 18:37</t>
  </si>
  <si>
    <t>West Lafayette</t>
  </si>
  <si>
    <t>8153 Golden Timber Parkway</t>
  </si>
  <si>
    <t>Barnett</t>
  </si>
  <si>
    <t>1040 Quaking Mountain Heath</t>
  </si>
  <si>
    <t>12/28/2016 12:28</t>
  </si>
  <si>
    <t>Beck</t>
  </si>
  <si>
    <t>4770 Hidden Heath</t>
  </si>
  <si>
    <t>Sesto San Giovanni</t>
  </si>
  <si>
    <t>6/30/2015 21:28</t>
  </si>
  <si>
    <t>4110 Hidden Private</t>
  </si>
  <si>
    <t>Bondy</t>
  </si>
  <si>
    <t>8/19/2017 22:39</t>
  </si>
  <si>
    <t>8/23/2017 22:39</t>
  </si>
  <si>
    <t>Woodbridge</t>
  </si>
  <si>
    <t>8212 Broad Circle</t>
  </si>
  <si>
    <t>7/31/2017 23:33</t>
  </si>
  <si>
    <t>Valenciana</t>
  </si>
  <si>
    <t>Weslaco</t>
  </si>
  <si>
    <t>9188 Red Highway</t>
  </si>
  <si>
    <t>Noisy-le-Grand</t>
  </si>
  <si>
    <t>8/18/2017 5:40</t>
  </si>
  <si>
    <t>4599 Grand Route</t>
  </si>
  <si>
    <t>Elx</t>
  </si>
  <si>
    <t>10/16/2015 0:38</t>
  </si>
  <si>
    <t>10/19/2015 0:38</t>
  </si>
  <si>
    <t>9699 Cotton Autoroute</t>
  </si>
  <si>
    <t>Gronau</t>
  </si>
  <si>
    <t>9/13/2017 1:04</t>
  </si>
  <si>
    <t>9/18/2017 1:04</t>
  </si>
  <si>
    <t>672 Umber Vista</t>
  </si>
  <si>
    <t>Frankfurt</t>
  </si>
  <si>
    <t>9/15/2017 1:04</t>
  </si>
  <si>
    <t>Bell Gardens</t>
  </si>
  <si>
    <t>6502 Hazy Promenade</t>
  </si>
  <si>
    <t>11/15/2016 1:50</t>
  </si>
  <si>
    <t>11/19/2016 1:50</t>
  </si>
  <si>
    <t>5588 Merry Panda Park</t>
  </si>
  <si>
    <t>Rotherham</t>
  </si>
  <si>
    <t>6/28/2017 12:13</t>
  </si>
  <si>
    <t>6/30/2017 12:13</t>
  </si>
  <si>
    <t>5707 Indian Barn Road</t>
  </si>
  <si>
    <t>Savigny-le-Temple</t>
  </si>
  <si>
    <t>9/23/2015 20:28</t>
  </si>
  <si>
    <t>9/27/2015 20:28</t>
  </si>
  <si>
    <t>La Mirada</t>
  </si>
  <si>
    <t>2205 Red Arbor</t>
  </si>
  <si>
    <t>La Seyne-sur-Mer</t>
  </si>
  <si>
    <t>Dalton</t>
  </si>
  <si>
    <t>3294 Hazy Creek Farm</t>
  </si>
  <si>
    <t>Fuji</t>
  </si>
  <si>
    <t>12/28/2015 11:34</t>
  </si>
  <si>
    <t>Shizuoka</t>
  </si>
  <si>
    <t>6867 Honey Heights</t>
  </si>
  <si>
    <t>1/25/2016 7:20</t>
  </si>
  <si>
    <t>Anhui</t>
  </si>
  <si>
    <t>1/31/2016 7:20</t>
  </si>
  <si>
    <t>1303 Dewy Square</t>
  </si>
  <si>
    <t>Changwon</t>
  </si>
  <si>
    <t>11/17/2015 17:04</t>
  </si>
  <si>
    <t>Gyeongsangnam</t>
  </si>
  <si>
    <t>11/19/2015 17:04</t>
  </si>
  <si>
    <t>North Bergen</t>
  </si>
  <si>
    <t>Buchanan</t>
  </si>
  <si>
    <t>3233 Silent Dale Manor</t>
  </si>
  <si>
    <t>Baoding</t>
  </si>
  <si>
    <t>1/26/2018 19:16</t>
  </si>
  <si>
    <t>Hebei</t>
  </si>
  <si>
    <t>1/31/2018 19:16</t>
  </si>
  <si>
    <t>Raymond</t>
  </si>
  <si>
    <t>3796 Lost Hollow</t>
  </si>
  <si>
    <t>7262 Cotton Arbor</t>
  </si>
  <si>
    <t>Port Macquarie</t>
  </si>
  <si>
    <t>Wilkins</t>
  </si>
  <si>
    <t>8344 Colonial Maze</t>
  </si>
  <si>
    <t>3/24/2016 11:38</t>
  </si>
  <si>
    <t>3/29/2016 11:38</t>
  </si>
  <si>
    <t>Audra</t>
  </si>
  <si>
    <t>6651 Quaking Highlands</t>
  </si>
  <si>
    <t>Vijayawada</t>
  </si>
  <si>
    <t>12/22/2017 20:12</t>
  </si>
  <si>
    <t>Andhra Pradesh</t>
  </si>
  <si>
    <t>12/27/2017 20:12</t>
  </si>
  <si>
    <t>Alvarado</t>
  </si>
  <si>
    <t>6580 Iron Wagon  Inlet</t>
  </si>
  <si>
    <t>12/25/2015 11:24</t>
  </si>
  <si>
    <t>12/29/2015 11:24</t>
  </si>
  <si>
    <t>Bolton</t>
  </si>
  <si>
    <t>4675 Sleepy Rise</t>
  </si>
  <si>
    <t>3815 Tawny Swale</t>
  </si>
  <si>
    <t>11/16/2015 4:59</t>
  </si>
  <si>
    <t>11/20/2015 4:59</t>
  </si>
  <si>
    <t>South San Francisco</t>
  </si>
  <si>
    <t>1982 Rocky Parkway</t>
  </si>
  <si>
    <t>Termez</t>
  </si>
  <si>
    <t>Surjandarín</t>
  </si>
  <si>
    <t>5406 Round Bear Parkway</t>
  </si>
  <si>
    <t>Bishkek</t>
  </si>
  <si>
    <t>Kirguistán</t>
  </si>
  <si>
    <t>1/13/2017 0:53</t>
  </si>
  <si>
    <t>3841 Dewy Subdivision</t>
  </si>
  <si>
    <t>Pekín</t>
  </si>
  <si>
    <t>11/16/2015 18:38</t>
  </si>
  <si>
    <t>11/19/2015 18:38</t>
  </si>
  <si>
    <t>North Las Vegas</t>
  </si>
  <si>
    <t>Cora</t>
  </si>
  <si>
    <t>Cotton</t>
  </si>
  <si>
    <t>NV</t>
  </si>
  <si>
    <t>5234 Clear Horse Townline</t>
  </si>
  <si>
    <t>11/23/2017 11:18</t>
  </si>
  <si>
    <t>11/26/2017 11:18</t>
  </si>
  <si>
    <t>9234 Lost Bay</t>
  </si>
  <si>
    <t>11/17/2015 15:19</t>
  </si>
  <si>
    <t>11/19/2015 15:19</t>
  </si>
  <si>
    <t>Methuen</t>
  </si>
  <si>
    <t>9761 Broad Crossing</t>
  </si>
  <si>
    <t>3/30/2016 23:32</t>
  </si>
  <si>
    <t>Costa Mesa</t>
  </si>
  <si>
    <t>5292 Misty Goose Street</t>
  </si>
  <si>
    <t>Thane</t>
  </si>
  <si>
    <t>11/16/2015 18:17</t>
  </si>
  <si>
    <t>11/18/2015 18:17</t>
  </si>
  <si>
    <t>Hillary</t>
  </si>
  <si>
    <t>Atkins</t>
  </si>
  <si>
    <t>3719 Silver Key</t>
  </si>
  <si>
    <t>Mumbai</t>
  </si>
  <si>
    <t>11/23/2017 17:36</t>
  </si>
  <si>
    <t>11/29/2017 17:36</t>
  </si>
  <si>
    <t>Glen Burnie</t>
  </si>
  <si>
    <t>Mcdaniel</t>
  </si>
  <si>
    <t>5372 Heather Anchor Canyon</t>
  </si>
  <si>
    <t>Durgapur</t>
  </si>
  <si>
    <t>1/28/2016 2:15</t>
  </si>
  <si>
    <t>Bengala Occidental</t>
  </si>
  <si>
    <t>1/30/2016 2:15</t>
  </si>
  <si>
    <t>Fairfield</t>
  </si>
  <si>
    <t>Roman</t>
  </si>
  <si>
    <t>1202 Quaking Embers Link</t>
  </si>
  <si>
    <t>1/28/2018 21:22</t>
  </si>
  <si>
    <t>1/31/2018 21:22</t>
  </si>
  <si>
    <t>Samarinda</t>
  </si>
  <si>
    <t>11/29/2015 16:42</t>
  </si>
  <si>
    <t>Bacolod City</t>
  </si>
  <si>
    <t>12/23/2015 17:22</t>
  </si>
  <si>
    <t>Visayas Occidental</t>
  </si>
  <si>
    <t>12/27/2015 17:22</t>
  </si>
  <si>
    <t>2/13/2016 2:13</t>
  </si>
  <si>
    <t>2/16/2016 2:13</t>
  </si>
  <si>
    <t>11/30/2016 4:48</t>
  </si>
  <si>
    <t>Winnetka</t>
  </si>
  <si>
    <t>3586 Clear Key</t>
  </si>
  <si>
    <t>3/28/2016 11:16</t>
  </si>
  <si>
    <t>3/31/2016 11:16</t>
  </si>
  <si>
    <t>Stevenson</t>
  </si>
  <si>
    <t>1/18/2016 4:43</t>
  </si>
  <si>
    <t>1/22/2016 4:43</t>
  </si>
  <si>
    <t>Schroeder</t>
  </si>
  <si>
    <t>7975 Honey Valley</t>
  </si>
  <si>
    <t>12/21/2015 21:55</t>
  </si>
  <si>
    <t>12/26/2015 21:55</t>
  </si>
  <si>
    <t>Gloria</t>
  </si>
  <si>
    <t>252 Honey Embers Canyon</t>
  </si>
  <si>
    <t>Louis</t>
  </si>
  <si>
    <t>Callahan</t>
  </si>
  <si>
    <t>6682 Hidden Estates</t>
  </si>
  <si>
    <t>Lismore</t>
  </si>
  <si>
    <t>3/24/2016 7:25</t>
  </si>
  <si>
    <t>3/27/2016 7:25</t>
  </si>
  <si>
    <t>Mcallen</t>
  </si>
  <si>
    <t>Justice</t>
  </si>
  <si>
    <t>4788 Gentle Wynd</t>
  </si>
  <si>
    <t>1/26/2018 18:34</t>
  </si>
  <si>
    <t>1/29/2018 18:34</t>
  </si>
  <si>
    <t>Joliet</t>
  </si>
  <si>
    <t>1792 Thunder Pines</t>
  </si>
  <si>
    <t>Bhavnagar</t>
  </si>
  <si>
    <t>Brownsville</t>
  </si>
  <si>
    <t>3557 Grand Expressway</t>
  </si>
  <si>
    <t>Angeles City</t>
  </si>
  <si>
    <t>12/14/2015 12:18</t>
  </si>
  <si>
    <t>Luzón Central</t>
  </si>
  <si>
    <t>12/17/2015 12:18</t>
  </si>
  <si>
    <t>Pawtucket</t>
  </si>
  <si>
    <t>4135 Broad Blossom Crossing</t>
  </si>
  <si>
    <t>11/13/2015 15:09</t>
  </si>
  <si>
    <t>Cunningham</t>
  </si>
  <si>
    <t>5553 Gentle Link</t>
  </si>
  <si>
    <t>11/21/2015 9:42</t>
  </si>
  <si>
    <t>11/26/2015 9:42</t>
  </si>
  <si>
    <t>Colorado Springs</t>
  </si>
  <si>
    <t>3339 Noble Dale</t>
  </si>
  <si>
    <t>Corlu</t>
  </si>
  <si>
    <t>12/28/2016 0:54</t>
  </si>
  <si>
    <t>Tekirdag</t>
  </si>
  <si>
    <t>12/30/2016 0:54</t>
  </si>
  <si>
    <t>7596 Quaking Quay</t>
  </si>
  <si>
    <t>Jeddah</t>
  </si>
  <si>
    <t>11/17/2016 17:15</t>
  </si>
  <si>
    <t>Meca</t>
  </si>
  <si>
    <t>11/22/2016 17:15</t>
  </si>
  <si>
    <t>3944 Hidden Round</t>
  </si>
  <si>
    <t>8/31/2016 8:36</t>
  </si>
  <si>
    <t>Quincy</t>
  </si>
  <si>
    <t>Dyer</t>
  </si>
  <si>
    <t>8426 Umber Gardens</t>
  </si>
  <si>
    <t>K'ut'aisi</t>
  </si>
  <si>
    <t>Georgia</t>
  </si>
  <si>
    <t>12/25/2016 0:02</t>
  </si>
  <si>
    <t>Imericia</t>
  </si>
  <si>
    <t>12/29/2016 0:02</t>
  </si>
  <si>
    <t>7864 Lazy Deer Jetty</t>
  </si>
  <si>
    <t>Pittsfield</t>
  </si>
  <si>
    <t>5463 Heather Abbey</t>
  </si>
  <si>
    <t>Hirakata</t>
  </si>
  <si>
    <t>1/16/2016 1:13</t>
  </si>
  <si>
    <t>Osaka</t>
  </si>
  <si>
    <t>1/18/2016 1:13</t>
  </si>
  <si>
    <t>Chino</t>
  </si>
  <si>
    <t>3510 Dusty Zephyr Range</t>
  </si>
  <si>
    <t>Neijiang</t>
  </si>
  <si>
    <t>Sichuan</t>
  </si>
  <si>
    <t>Shirley</t>
  </si>
  <si>
    <t>4543 Cinder Link</t>
  </si>
  <si>
    <t>Shanwei</t>
  </si>
  <si>
    <t>11/13/2015 1:08</t>
  </si>
  <si>
    <t>Hernandez</t>
  </si>
  <si>
    <t>Marion</t>
  </si>
  <si>
    <t>5652 Merry Gate Pathway</t>
  </si>
  <si>
    <t>12/13/2015 0:55</t>
  </si>
  <si>
    <t>12/15/2015 0:55</t>
  </si>
  <si>
    <t>North Hills</t>
  </si>
  <si>
    <t>Poole</t>
  </si>
  <si>
    <t>8610 Sunny Rise Wynd</t>
  </si>
  <si>
    <t>2/14/2016 18:21</t>
  </si>
  <si>
    <t>1832 Indian Branch Beach</t>
  </si>
  <si>
    <t>3/21/2016 11:48</t>
  </si>
  <si>
    <t>3/26/2016 11:48</t>
  </si>
  <si>
    <t>Salina</t>
  </si>
  <si>
    <t>KS</t>
  </si>
  <si>
    <t>Waitakere</t>
  </si>
  <si>
    <t>3/23/2016 12:30</t>
  </si>
  <si>
    <t>3/27/2016 12:30</t>
  </si>
  <si>
    <t>Hyattsville</t>
  </si>
  <si>
    <t>1108 Lost Campus</t>
  </si>
  <si>
    <t>3/18/2016 15:08</t>
  </si>
  <si>
    <t>3/22/2016 15:08</t>
  </si>
  <si>
    <t>North Richland Hills</t>
  </si>
  <si>
    <t>872 Bright Leaf Vista</t>
  </si>
  <si>
    <t>3/14/2016 13:24</t>
  </si>
  <si>
    <t>3/19/2016 13:24</t>
  </si>
  <si>
    <t xml:space="preserve">Baby </t>
  </si>
  <si>
    <t>Spring Valley</t>
  </si>
  <si>
    <t>Bauer</t>
  </si>
  <si>
    <t>3238 Pleasant Leaf Thicket</t>
  </si>
  <si>
    <t>Mangalore</t>
  </si>
  <si>
    <t>12/19/2017 1:06</t>
  </si>
  <si>
    <t>Baby sweater</t>
  </si>
  <si>
    <t>12/24/2017 1:06</t>
  </si>
  <si>
    <t>Martina</t>
  </si>
  <si>
    <t>Bridges</t>
  </si>
  <si>
    <t>214 Lost Apple Close</t>
  </si>
  <si>
    <t>Kathmandu</t>
  </si>
  <si>
    <t>Nepal</t>
  </si>
  <si>
    <t>11/23/2017 16:54</t>
  </si>
  <si>
    <t>11/27/2017 16:54</t>
  </si>
  <si>
    <t>Delilah</t>
  </si>
  <si>
    <t>Church</t>
  </si>
  <si>
    <t>7829 Easy Estates</t>
  </si>
  <si>
    <t>Kendari</t>
  </si>
  <si>
    <t>12/22/2017 19:09</t>
  </si>
  <si>
    <t>Célebes Suroriental</t>
  </si>
  <si>
    <t>12/24/2017 19:09</t>
  </si>
  <si>
    <t>3047 Foggy Forest Plaza</t>
  </si>
  <si>
    <t>Probolinggo</t>
  </si>
  <si>
    <t>11/22/2015 11:16</t>
  </si>
  <si>
    <t>11/25/2015 11:16</t>
  </si>
  <si>
    <t>7383 Broad Parkway</t>
  </si>
  <si>
    <t>12/25/2015 9:18</t>
  </si>
  <si>
    <t>12/28/2015 9:18</t>
  </si>
  <si>
    <t>Schmidt</t>
  </si>
  <si>
    <t>4571 Rustic Highlands</t>
  </si>
  <si>
    <t>10/14/2016 14:09</t>
  </si>
  <si>
    <t>10/16/2016 14:09</t>
  </si>
  <si>
    <t>8399 Cotton Crossing</t>
  </si>
  <si>
    <t>12/15/2016 13:00</t>
  </si>
  <si>
    <t>12/21/2016 13:00</t>
  </si>
  <si>
    <t>11/25/2016 20:02</t>
  </si>
  <si>
    <t>4609 High Townline</t>
  </si>
  <si>
    <t>9/23/2016 10:30</t>
  </si>
  <si>
    <t>9/26/2016 10:30</t>
  </si>
  <si>
    <t>4720 Colonial Blossom Run</t>
  </si>
  <si>
    <t>12/29/2016 5:38</t>
  </si>
  <si>
    <t>5931 Foggy Shadow Beach</t>
  </si>
  <si>
    <t>Jixi</t>
  </si>
  <si>
    <t>12/28/2015 7:22</t>
  </si>
  <si>
    <t>12/31/2015 7:22</t>
  </si>
  <si>
    <t>Salas</t>
  </si>
  <si>
    <t>8503 Shady Autumn Drive</t>
  </si>
  <si>
    <t>12/25/2015 7:54</t>
  </si>
  <si>
    <t>12/29/2015 7:54</t>
  </si>
  <si>
    <t>Vasquez</t>
  </si>
  <si>
    <t>4791 Heather Cider Orchard</t>
  </si>
  <si>
    <t>12/14/2017 20:12</t>
  </si>
  <si>
    <t>12/16/2017 20:12</t>
  </si>
  <si>
    <t>9882 Cotton Abbey</t>
  </si>
  <si>
    <t>Darwin</t>
  </si>
  <si>
    <t>2/18/2016 21:40</t>
  </si>
  <si>
    <t>Territorio del Norte</t>
  </si>
  <si>
    <t>2/24/2016 21:40</t>
  </si>
  <si>
    <t>9439 Pleasant Rise Falls</t>
  </si>
  <si>
    <t>Milpitas</t>
  </si>
  <si>
    <t>Combs</t>
  </si>
  <si>
    <t>12/19/2017 0:45</t>
  </si>
  <si>
    <t>12/23/2017 0:45</t>
  </si>
  <si>
    <t>Rowland Heights</t>
  </si>
  <si>
    <t>3202 Dewy Route</t>
  </si>
  <si>
    <t>Rasht</t>
  </si>
  <si>
    <t>Guilán</t>
  </si>
  <si>
    <t>1991 Indian Horse Range</t>
  </si>
  <si>
    <t>Ahvaz</t>
  </si>
  <si>
    <t>Juzestán</t>
  </si>
  <si>
    <t>Gardena</t>
  </si>
  <si>
    <t>Figueroa</t>
  </si>
  <si>
    <t>7980 Little Rise Village</t>
  </si>
  <si>
    <t>Arnsberg</t>
  </si>
  <si>
    <t>6/21/2017 22:12</t>
  </si>
  <si>
    <t>6/27/2017 22:12</t>
  </si>
  <si>
    <t>Mercer</t>
  </si>
  <si>
    <t>8297 Easy Thicket</t>
  </si>
  <si>
    <t>9/17/2017 2:07</t>
  </si>
  <si>
    <t>Cicero</t>
  </si>
  <si>
    <t>Pitts</t>
  </si>
  <si>
    <t>8550 Emerald Apple Alley</t>
  </si>
  <si>
    <t>3909 Clear Mount</t>
  </si>
  <si>
    <t>9/15/2015 23:07</t>
  </si>
  <si>
    <t>Kramer</t>
  </si>
  <si>
    <t>2893 Shady Drive</t>
  </si>
  <si>
    <t>Genoa</t>
  </si>
  <si>
    <t>8/28/2015 15:57</t>
  </si>
  <si>
    <t>Liguria</t>
  </si>
  <si>
    <t>Garner</t>
  </si>
  <si>
    <t>1548 Lazy Circuit</t>
  </si>
  <si>
    <t>Toulouse</t>
  </si>
  <si>
    <t>8/15/2017 11:16</t>
  </si>
  <si>
    <t>Asheboro</t>
  </si>
  <si>
    <t>7430 Clear Beacon Vista</t>
  </si>
  <si>
    <t>9/17/2015 16:48</t>
  </si>
  <si>
    <t>La Crosse</t>
  </si>
  <si>
    <t>7231 Silent Square</t>
  </si>
  <si>
    <t>7/20/2017 8:40</t>
  </si>
  <si>
    <t>7/24/2017 8:40</t>
  </si>
  <si>
    <t>Florissant</t>
  </si>
  <si>
    <t>4466 Little Grove</t>
  </si>
  <si>
    <t>Waterlooville</t>
  </si>
  <si>
    <t>5393 Shady Passage</t>
  </si>
  <si>
    <t>8/27/2015 22:26</t>
  </si>
  <si>
    <t>Canyon Country</t>
  </si>
  <si>
    <t>5714 Fallen Prairie Woods</t>
  </si>
  <si>
    <t>Leipzig</t>
  </si>
  <si>
    <t>8/31/2017 16:19</t>
  </si>
  <si>
    <t>Sajonia</t>
  </si>
  <si>
    <t>4101 Crystal Range</t>
  </si>
  <si>
    <t>Ithaca</t>
  </si>
  <si>
    <t>2329 Sunny View Corner</t>
  </si>
  <si>
    <t>9/15/2015 12:26</t>
  </si>
  <si>
    <t>10/24/2015 4:29</t>
  </si>
  <si>
    <t>10/26/2015 4:29</t>
  </si>
  <si>
    <t>8988 Thunder Circle</t>
  </si>
  <si>
    <t>Vanves</t>
  </si>
  <si>
    <t>7/29/2015 23:00</t>
  </si>
  <si>
    <t>Allentown</t>
  </si>
  <si>
    <t>6779 Iron Woods</t>
  </si>
  <si>
    <t>7/24/2017 4:49</t>
  </si>
  <si>
    <t>7/26/2017 4:49</t>
  </si>
  <si>
    <t>1761 Sleepy River Canyon</t>
  </si>
  <si>
    <t>Meyzieu</t>
  </si>
  <si>
    <t>Auvernia-Ródano-Alpes</t>
  </si>
  <si>
    <t>Escondido</t>
  </si>
  <si>
    <t>Jacob</t>
  </si>
  <si>
    <t>Guerrero</t>
  </si>
  <si>
    <t>3309 Grand Circuit</t>
  </si>
  <si>
    <t>8/19/2017 7:35</t>
  </si>
  <si>
    <t>8/25/2017 7:35</t>
  </si>
  <si>
    <t>7/30/2017 23:44</t>
  </si>
  <si>
    <t>Troy</t>
  </si>
  <si>
    <t>5763 Grand Maze</t>
  </si>
  <si>
    <t>Mulhouse</t>
  </si>
  <si>
    <t>Roberts</t>
  </si>
  <si>
    <t>4293 Misty Route</t>
  </si>
  <si>
    <t>8/26/2015 21:54</t>
  </si>
  <si>
    <t>8/31/2015 21:54</t>
  </si>
  <si>
    <t>9/13/2015 11:23</t>
  </si>
  <si>
    <t>Arlington</t>
  </si>
  <si>
    <t>5926 Emerald Elk Diversion</t>
  </si>
  <si>
    <t>9/23/2017 20:19</t>
  </si>
  <si>
    <t>9/28/2017 20:19</t>
  </si>
  <si>
    <t>Cole</t>
  </si>
  <si>
    <t>1831 Honey Hickory Mount</t>
  </si>
  <si>
    <t>11/24/2016 12:10</t>
  </si>
  <si>
    <t>11/29/2016 12:10</t>
  </si>
  <si>
    <t>681 Tawny Range</t>
  </si>
  <si>
    <t>Leicester</t>
  </si>
  <si>
    <t>8237 Silent Pioneer Heights</t>
  </si>
  <si>
    <t>4968 Honey Pine Island</t>
  </si>
  <si>
    <t>Chelles</t>
  </si>
  <si>
    <t>9/16/2017 23:18</t>
  </si>
  <si>
    <t>9/20/2017 23:18</t>
  </si>
  <si>
    <t>3938 Old Field</t>
  </si>
  <si>
    <t>Marbella</t>
  </si>
  <si>
    <t>8/25/2015 17:32</t>
  </si>
  <si>
    <t>8/29/2015 17:32</t>
  </si>
  <si>
    <t>4927 Dewy Farms</t>
  </si>
  <si>
    <t>Florence</t>
  </si>
  <si>
    <t>6/16/2015 6:25</t>
  </si>
  <si>
    <t>6/18/2015 6:25</t>
  </si>
  <si>
    <t>Friedman</t>
  </si>
  <si>
    <t>1465 Quaking Ledge</t>
  </si>
  <si>
    <t>9/13/2015 18:44</t>
  </si>
  <si>
    <t>3216 Rocky Centre</t>
  </si>
  <si>
    <t>6/24/2015 16:34</t>
  </si>
  <si>
    <t>6/28/2015 16:34</t>
  </si>
  <si>
    <t>2541 Merry Fawn Via</t>
  </si>
  <si>
    <t>Kashira</t>
  </si>
  <si>
    <t>Moscú</t>
  </si>
  <si>
    <t>Chandler</t>
  </si>
  <si>
    <t>1112 Sunny Pond Wood</t>
  </si>
  <si>
    <t>Cholet</t>
  </si>
  <si>
    <t>10/19/2015 13:04</t>
  </si>
  <si>
    <t>10/23/2015 13:04</t>
  </si>
  <si>
    <t>Brian</t>
  </si>
  <si>
    <t>8927 Broad Embers Corners</t>
  </si>
  <si>
    <t>Bochum</t>
  </si>
  <si>
    <t>8/19/2015 10:32</t>
  </si>
  <si>
    <t>8/22/2015 10:32</t>
  </si>
  <si>
    <t>Hancock</t>
  </si>
  <si>
    <t>1632 Honey Abbey</t>
  </si>
  <si>
    <t>Annecy</t>
  </si>
  <si>
    <t>6/16/2015 1:52</t>
  </si>
  <si>
    <t>6/20/2015 1:52</t>
  </si>
  <si>
    <t>Magdeburg</t>
  </si>
  <si>
    <t>6/27/2017 20:06</t>
  </si>
  <si>
    <t>Elgin</t>
  </si>
  <si>
    <t>8584 Golden By-pass</t>
  </si>
  <si>
    <t>Amberes</t>
  </si>
  <si>
    <t>6/15/2015 18:31</t>
  </si>
  <si>
    <t>Jeffrey</t>
  </si>
  <si>
    <t>8824 Jagged Cape</t>
  </si>
  <si>
    <t>8/14/2017 9:00</t>
  </si>
  <si>
    <t>Palmdale</t>
  </si>
  <si>
    <t>Makhachkala</t>
  </si>
  <si>
    <t>Daguestán</t>
  </si>
  <si>
    <t>10/13/2016 17:39</t>
  </si>
  <si>
    <t>5407 Rustic Forest Pines</t>
  </si>
  <si>
    <t>Cheliábinsk</t>
  </si>
  <si>
    <t>9/16/2016 12:26</t>
  </si>
  <si>
    <t>9/20/2016 12:26</t>
  </si>
  <si>
    <t>3601 Foggy Timber Gate</t>
  </si>
  <si>
    <t>8249 Cotton Wood</t>
  </si>
  <si>
    <t>8/24/2017 15:06</t>
  </si>
  <si>
    <t>8/29/2017 15:06</t>
  </si>
  <si>
    <t>Massapequa</t>
  </si>
  <si>
    <t>Shannon</t>
  </si>
  <si>
    <t>3470 Clear Estates</t>
  </si>
  <si>
    <t>10/16/2016 4:41</t>
  </si>
  <si>
    <t>10/18/2016 4:41</t>
  </si>
  <si>
    <t>454 Old Glade</t>
  </si>
  <si>
    <t>4839 Lazy View</t>
  </si>
  <si>
    <t>Brandenburgo</t>
  </si>
  <si>
    <t>7/20/2017 22:41</t>
  </si>
  <si>
    <t>7/24/2017 22:41</t>
  </si>
  <si>
    <t>9553 Jagged Limits</t>
  </si>
  <si>
    <t>Wetzlar</t>
  </si>
  <si>
    <t>6/27/2017 12:02</t>
  </si>
  <si>
    <t>6/30/2017 12:02</t>
  </si>
  <si>
    <t>Pittsburg</t>
  </si>
  <si>
    <t>6081 Burning Grounds</t>
  </si>
  <si>
    <t>Pertuis</t>
  </si>
  <si>
    <t>7/22/2015 23:53</t>
  </si>
  <si>
    <t>7/25/2015 23:53</t>
  </si>
  <si>
    <t>West New York</t>
  </si>
  <si>
    <t>325 Misty Forest</t>
  </si>
  <si>
    <t>Torrevieja</t>
  </si>
  <si>
    <t>7/17/2017 1:09</t>
  </si>
  <si>
    <t>7/19/2017 1:09</t>
  </si>
  <si>
    <t>Powell</t>
  </si>
  <si>
    <t>7302 Cinder Autoroute</t>
  </si>
  <si>
    <t>9/27/2015 6:48</t>
  </si>
  <si>
    <t>Andrews</t>
  </si>
  <si>
    <t>Cagnes-sur-Mer</t>
  </si>
  <si>
    <t>9/13/2015 19:05</t>
  </si>
  <si>
    <t>9/18/2015 19:05</t>
  </si>
  <si>
    <t>Roth</t>
  </si>
  <si>
    <t>3570 Stony View</t>
  </si>
  <si>
    <t>Nanterre</t>
  </si>
  <si>
    <t>10/14/2015 4:51</t>
  </si>
  <si>
    <t>7/25/2017 10:15</t>
  </si>
  <si>
    <t>7/31/2017 10:15</t>
  </si>
  <si>
    <t>Fischer</t>
  </si>
  <si>
    <t>4863 Indian Lane</t>
  </si>
  <si>
    <t>Vichy</t>
  </si>
  <si>
    <t>Auvernia</t>
  </si>
  <si>
    <t>Ortiz</t>
  </si>
  <si>
    <t>9761 Grand Shadow Extension</t>
  </si>
  <si>
    <t>8/28/2015 1:35</t>
  </si>
  <si>
    <t>Orlando</t>
  </si>
  <si>
    <t>5406 Misty Timber End</t>
  </si>
  <si>
    <t>2269 Rocky Swale</t>
  </si>
  <si>
    <t>Lohne</t>
  </si>
  <si>
    <t>8598 Harvest Beacon Plaza</t>
  </si>
  <si>
    <t>Le Mans</t>
  </si>
  <si>
    <t>7/13/2017 17:37</t>
  </si>
  <si>
    <t>7/18/2017 17:37</t>
  </si>
  <si>
    <t>4485 Hidden Timber Alley</t>
  </si>
  <si>
    <t>Bordeaux</t>
  </si>
  <si>
    <t>10/14/2015 20:27</t>
  </si>
  <si>
    <t>3422 Jagged Willow Way</t>
  </si>
  <si>
    <t>Astracán</t>
  </si>
  <si>
    <t>12/29/2016 22:27</t>
  </si>
  <si>
    <t>12/31/2016 22:27</t>
  </si>
  <si>
    <t>3482 Indian Pony Towers</t>
  </si>
  <si>
    <t>6/21/2015 11:50</t>
  </si>
  <si>
    <t>6/26/2015 11:50</t>
  </si>
  <si>
    <t>Glendale</t>
  </si>
  <si>
    <t>Helen</t>
  </si>
  <si>
    <t>Moody</t>
  </si>
  <si>
    <t>2704 Silent Pine Corner</t>
  </si>
  <si>
    <t>Rouen</t>
  </si>
  <si>
    <t>6/19/2017 3:17</t>
  </si>
  <si>
    <t>6/24/2017 3:17</t>
  </si>
  <si>
    <t>245 Green Range</t>
  </si>
  <si>
    <t>Stuttgart</t>
  </si>
  <si>
    <t>7/16/2017 2:43</t>
  </si>
  <si>
    <t>7/19/2017 2:43</t>
  </si>
  <si>
    <t>8688 Amber Creek Round</t>
  </si>
  <si>
    <t>9/16/2015 17:51</t>
  </si>
  <si>
    <t>9/18/2015 17:51</t>
  </si>
  <si>
    <t>Peterborough</t>
  </si>
  <si>
    <t>Rivas</t>
  </si>
  <si>
    <t>7/25/2015 19:30</t>
  </si>
  <si>
    <t>7/31/2015 19:30</t>
  </si>
  <si>
    <t>Enfield</t>
  </si>
  <si>
    <t>2186 Easy Creek Key</t>
  </si>
  <si>
    <t>8/23/2015 23:29</t>
  </si>
  <si>
    <t>8/27/2015 23:29</t>
  </si>
  <si>
    <t>Patterson</t>
  </si>
  <si>
    <t>2525 Thunder Loop</t>
  </si>
  <si>
    <t>Montecatini Terme</t>
  </si>
  <si>
    <t>8/31/2016 23:19</t>
  </si>
  <si>
    <t>9706 Honey Alley</t>
  </si>
  <si>
    <t>7/30/2017 12:52</t>
  </si>
  <si>
    <t>Kidd</t>
  </si>
  <si>
    <t>7368 Blue Road</t>
  </si>
  <si>
    <t>7628 Rustic Anchor Point</t>
  </si>
  <si>
    <t>Warsaw</t>
  </si>
  <si>
    <t>10/23/2016 3:06</t>
  </si>
  <si>
    <t>Mazovia</t>
  </si>
  <si>
    <t>10/25/2016 3:06</t>
  </si>
  <si>
    <t>Baldwin Park</t>
  </si>
  <si>
    <t>Rhodes</t>
  </si>
  <si>
    <t>Huelva</t>
  </si>
  <si>
    <t>8/14/2015 15:37</t>
  </si>
  <si>
    <t>8/19/2015 15:37</t>
  </si>
  <si>
    <t>1674 Lost Diversion</t>
  </si>
  <si>
    <t>Reggio nell'Emilia</t>
  </si>
  <si>
    <t>8/23/2015 21:44</t>
  </si>
  <si>
    <t>8/27/2015 21:44</t>
  </si>
  <si>
    <t>4423 Little Mews</t>
  </si>
  <si>
    <t>Le Bouscat</t>
  </si>
  <si>
    <t>6/18/2017 3:28</t>
  </si>
  <si>
    <t>6/20/2017 3:28</t>
  </si>
  <si>
    <t>9/25/2017 2:06</t>
  </si>
  <si>
    <t>9/30/2017 2:06</t>
  </si>
  <si>
    <t>Chino Hills</t>
  </si>
  <si>
    <t>1120 Clear Crossing</t>
  </si>
  <si>
    <t>Derbent</t>
  </si>
  <si>
    <t>1756 Quiet Estates</t>
  </si>
  <si>
    <t>7312 Wishing Forest Highway</t>
  </si>
  <si>
    <t>7/17/2015 11:06</t>
  </si>
  <si>
    <t>7/21/2015 11:06</t>
  </si>
  <si>
    <t>Harrison</t>
  </si>
  <si>
    <t>1247 Tawny Berry Court</t>
  </si>
  <si>
    <t>9/22/2015 17:08</t>
  </si>
  <si>
    <t>9/28/2015 17:08</t>
  </si>
  <si>
    <t>Ellis</t>
  </si>
  <si>
    <t>Crewe</t>
  </si>
  <si>
    <t>8/15/2015 20:32</t>
  </si>
  <si>
    <t>7957 Merry Common</t>
  </si>
  <si>
    <t>Paris</t>
  </si>
  <si>
    <t>9/25/2017 0:21</t>
  </si>
  <si>
    <t>9/30/2017 0:21</t>
  </si>
  <si>
    <t>11/15/2016 0:26</t>
  </si>
  <si>
    <t>11/20/2016 0:26</t>
  </si>
  <si>
    <t>5042 Cozy Acres</t>
  </si>
  <si>
    <t>Bognor Regis</t>
  </si>
  <si>
    <t>7/23/2017 2:53</t>
  </si>
  <si>
    <t>7/26/2017 2:53</t>
  </si>
  <si>
    <t>Toms River</t>
  </si>
  <si>
    <t>Cooper</t>
  </si>
  <si>
    <t>9/22/2015 11:53</t>
  </si>
  <si>
    <t>9/28/2015 11:53</t>
  </si>
  <si>
    <t>Estes</t>
  </si>
  <si>
    <t>9254 Thunder Meadow</t>
  </si>
  <si>
    <t>Biarritz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</si>
</sst>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84F5-E832-401D-BA21-B374E45A91E3}">
  <dimension ref="A1:BJ1000"/>
  <sheetViews>
    <sheetView tabSelected="1" workbookViewId="0">
      <selection sqref="A1:BJ1000"/>
    </sheetView>
  </sheetViews>
  <sheetFormatPr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">
      <c r="A2" s="2" t="s">
        <v>62</v>
      </c>
      <c r="B2" s="2">
        <v>3</v>
      </c>
      <c r="C2" s="2">
        <v>4</v>
      </c>
      <c r="D2" s="2">
        <v>91.25</v>
      </c>
      <c r="E2" s="2">
        <v>314.64</v>
      </c>
      <c r="F2" s="2" t="s">
        <v>63</v>
      </c>
      <c r="G2" s="2" t="s">
        <v>64</v>
      </c>
      <c r="H2" s="2">
        <v>73</v>
      </c>
      <c r="I2" s="2" t="s">
        <v>65</v>
      </c>
      <c r="J2" s="2" t="s">
        <v>66</v>
      </c>
      <c r="K2" s="2" t="s">
        <v>67</v>
      </c>
      <c r="L2" s="2" t="s">
        <v>68</v>
      </c>
      <c r="M2" s="2">
        <v>20755</v>
      </c>
      <c r="N2" s="2" t="s">
        <v>69</v>
      </c>
      <c r="O2" s="2" t="s">
        <v>70</v>
      </c>
      <c r="P2" s="2" t="s">
        <v>71</v>
      </c>
      <c r="Q2" s="2" t="s">
        <v>72</v>
      </c>
      <c r="R2" s="2">
        <v>725</v>
      </c>
      <c r="S2" s="2">
        <v>2</v>
      </c>
      <c r="T2" s="2" t="s">
        <v>73</v>
      </c>
      <c r="U2" s="2">
        <v>18.251453399999999</v>
      </c>
      <c r="V2" s="2">
        <v>-66.037056000000007</v>
      </c>
      <c r="W2" s="2" t="s">
        <v>74</v>
      </c>
      <c r="X2" s="2" t="s">
        <v>75</v>
      </c>
      <c r="Y2" s="2" t="s">
        <v>76</v>
      </c>
      <c r="Z2" s="2">
        <v>20755</v>
      </c>
      <c r="AA2" s="2" t="s">
        <v>77</v>
      </c>
      <c r="AB2" s="2">
        <v>77202</v>
      </c>
      <c r="AC2" s="2">
        <v>1360</v>
      </c>
      <c r="AD2" s="2">
        <v>13.11</v>
      </c>
      <c r="AE2" s="2">
        <v>0.04</v>
      </c>
      <c r="AF2" s="2" t="str" cm="1">
        <f t="array" ref="AF2">_xlfn.IFS(AE2=0, "No Discount ", AE2&lt;=0.08,"Low Discount", AE2&lt;=0.16,"Medium Discount", AE2&gt;0.16, "High Discount")</f>
        <v>Low Discount</v>
      </c>
      <c r="AG2" s="2">
        <v>180517</v>
      </c>
      <c r="AH2" s="2">
        <v>327.75</v>
      </c>
      <c r="AI2" s="2">
        <v>0.28999999999999998</v>
      </c>
      <c r="AJ2" s="2" t="str" cm="1">
        <f t="array" ref="AJ2">_xlfn.IFS(AI2&lt;=0, "No Profit", AI2&lt;=0.16,"Low Profit",AI2&lt;=0.32,"Medium Profit",AI2&gt;0.32,"High Profit")</f>
        <v>Medium Profit</v>
      </c>
      <c r="AK2" s="2">
        <v>1</v>
      </c>
      <c r="AL2" s="2">
        <v>327.75</v>
      </c>
      <c r="AM2" s="2">
        <v>314.64</v>
      </c>
      <c r="AN2" s="2">
        <v>91.25</v>
      </c>
      <c r="AO2" s="2" t="s">
        <v>78</v>
      </c>
      <c r="AP2" s="2" t="s">
        <v>79</v>
      </c>
      <c r="AQ2" s="2" t="s">
        <v>80</v>
      </c>
      <c r="AR2" s="2" t="s">
        <v>81</v>
      </c>
      <c r="AS2" s="2">
        <v>1360</v>
      </c>
      <c r="AT2" s="2">
        <v>73</v>
      </c>
      <c r="AU2" s="2" t="s">
        <v>82</v>
      </c>
      <c r="AV2" s="2">
        <v>327.75</v>
      </c>
      <c r="AW2" s="2">
        <v>0</v>
      </c>
      <c r="AX2" s="3">
        <v>43161.955555555556</v>
      </c>
      <c r="AY2" s="2" t="s">
        <v>83</v>
      </c>
      <c r="AZ2" s="4">
        <v>43131</v>
      </c>
      <c r="BA2" s="5">
        <v>0.9555555555555556</v>
      </c>
      <c r="BB2" s="2">
        <v>2018</v>
      </c>
      <c r="BC2" s="2" t="s">
        <v>84</v>
      </c>
      <c r="BD2" s="2">
        <v>31</v>
      </c>
      <c r="BE2" s="4">
        <v>43161</v>
      </c>
      <c r="BF2" s="5">
        <v>0.9555555555555556</v>
      </c>
      <c r="BG2" s="2" t="str" cm="1">
        <f t="array" ref="BG2">_xlfn.IFS(BF2&lt;TIMEVALUE("06:00"),"Night", BF2&gt;=TIMEVALUE("21:00"),"Night",BF2&gt;=TIMEVALUE("17:00"),"Evening",BF2&gt;=TIMEVALUE("12:00"),"Afternoon", BF2&gt;=TIMEVALUE("06:00"),"Morning")</f>
        <v>Night</v>
      </c>
      <c r="BH2" s="2">
        <v>2018</v>
      </c>
      <c r="BI2" s="2" t="s">
        <v>85</v>
      </c>
      <c r="BJ2" s="2">
        <v>2</v>
      </c>
    </row>
    <row r="3" spans="1:62" x14ac:dyDescent="0.3">
      <c r="A3" s="2" t="s">
        <v>86</v>
      </c>
      <c r="B3" s="2">
        <v>5</v>
      </c>
      <c r="C3" s="2">
        <v>4</v>
      </c>
      <c r="D3" s="2">
        <v>-249.09</v>
      </c>
      <c r="E3" s="2">
        <v>311.36</v>
      </c>
      <c r="F3" s="2" t="s">
        <v>87</v>
      </c>
      <c r="G3" s="2" t="s">
        <v>88</v>
      </c>
      <c r="H3" s="2">
        <v>73</v>
      </c>
      <c r="I3" s="2" t="s">
        <v>65</v>
      </c>
      <c r="J3" s="2" t="s">
        <v>66</v>
      </c>
      <c r="K3" s="2" t="s">
        <v>67</v>
      </c>
      <c r="L3" s="2" t="s">
        <v>89</v>
      </c>
      <c r="M3" s="2">
        <v>19492</v>
      </c>
      <c r="N3" s="2" t="s">
        <v>90</v>
      </c>
      <c r="O3" s="2" t="s">
        <v>70</v>
      </c>
      <c r="P3" s="2" t="s">
        <v>71</v>
      </c>
      <c r="Q3" s="2" t="s">
        <v>91</v>
      </c>
      <c r="R3" s="2">
        <v>725</v>
      </c>
      <c r="S3" s="2">
        <v>2</v>
      </c>
      <c r="T3" s="2" t="s">
        <v>73</v>
      </c>
      <c r="U3" s="2">
        <v>18.279451399999999</v>
      </c>
      <c r="V3" s="2">
        <v>-66.037063599999996</v>
      </c>
      <c r="W3" s="2" t="s">
        <v>74</v>
      </c>
      <c r="X3" s="2" t="s">
        <v>92</v>
      </c>
      <c r="Y3" s="2" t="s">
        <v>93</v>
      </c>
      <c r="Z3" s="2">
        <v>19492</v>
      </c>
      <c r="AA3" s="2" t="s">
        <v>94</v>
      </c>
      <c r="AB3" s="2">
        <v>75939</v>
      </c>
      <c r="AC3" s="2">
        <v>1360</v>
      </c>
      <c r="AD3" s="2">
        <v>16.39</v>
      </c>
      <c r="AE3" s="2">
        <v>0.05</v>
      </c>
      <c r="AF3" s="2" t="str" cm="1">
        <f t="array" ref="AF3">_xlfn.IFS(AE3=0, "No Discount ", AE3&lt;=0.08,"Low Discount", AE3&lt;=0.16,"Medium Discount", AE3&gt;0.16, "High Discount")</f>
        <v>Low Discount</v>
      </c>
      <c r="AG3" s="2">
        <v>179254</v>
      </c>
      <c r="AH3" s="2">
        <v>327.75</v>
      </c>
      <c r="AI3" s="2">
        <v>-0.8</v>
      </c>
      <c r="AJ3" s="2" t="str" cm="1">
        <f t="array" ref="AJ3">_xlfn.IFS(AI3&lt;=0, "No Profit", AI3&lt;=0.16,"Low Profit",AI3&lt;=0.32,"Medium Profit",AI3&gt;0.32,"High Profit")</f>
        <v>No Profit</v>
      </c>
      <c r="AK3" s="2">
        <v>1</v>
      </c>
      <c r="AL3" s="2">
        <v>327.75</v>
      </c>
      <c r="AM3" s="2">
        <v>311.36</v>
      </c>
      <c r="AN3" s="2">
        <v>-249.09</v>
      </c>
      <c r="AO3" s="2" t="s">
        <v>95</v>
      </c>
      <c r="AP3" s="2" t="s">
        <v>96</v>
      </c>
      <c r="AQ3" s="2" t="s">
        <v>97</v>
      </c>
      <c r="AR3" s="2" t="s">
        <v>81</v>
      </c>
      <c r="AS3" s="2">
        <v>1360</v>
      </c>
      <c r="AT3" s="2">
        <v>73</v>
      </c>
      <c r="AU3" s="2" t="s">
        <v>82</v>
      </c>
      <c r="AV3" s="2">
        <v>327.75</v>
      </c>
      <c r="AW3" s="2">
        <v>0</v>
      </c>
      <c r="AX3" s="2" t="s">
        <v>98</v>
      </c>
      <c r="AY3" s="2" t="s">
        <v>83</v>
      </c>
      <c r="AZ3" s="4">
        <v>43113</v>
      </c>
      <c r="BA3" s="5">
        <v>0.51875000000000004</v>
      </c>
      <c r="BB3" s="2">
        <v>2018</v>
      </c>
      <c r="BC3" s="2" t="s">
        <v>84</v>
      </c>
      <c r="BD3" s="2">
        <v>13</v>
      </c>
      <c r="BE3" s="4">
        <v>43118</v>
      </c>
      <c r="BF3" s="5">
        <v>0.51875000000000004</v>
      </c>
      <c r="BG3" s="2" t="str" cm="1">
        <f t="array" ref="BG3">_xlfn.IFS(BF3&lt;TIMEVALUE("06:00"),"Night", BF3&gt;=TIMEVALUE("21:00"),"Night",BF3&gt;=TIMEVALUE("17:00"),"Evening",BF3&gt;=TIMEVALUE("12:00"),"Afternoon", BF3&gt;=TIMEVALUE("06:00"),"Morning")</f>
        <v>Afternoon</v>
      </c>
      <c r="BH3" s="2">
        <v>2018</v>
      </c>
      <c r="BI3" s="2" t="s">
        <v>84</v>
      </c>
      <c r="BJ3" s="2">
        <v>18</v>
      </c>
    </row>
    <row r="4" spans="1:62" x14ac:dyDescent="0.3">
      <c r="A4" s="2" t="s">
        <v>99</v>
      </c>
      <c r="B4" s="2">
        <v>4</v>
      </c>
      <c r="C4" s="2">
        <v>4</v>
      </c>
      <c r="D4" s="2">
        <v>-247.78</v>
      </c>
      <c r="E4" s="2">
        <v>309.72000000000003</v>
      </c>
      <c r="F4" s="2" t="s">
        <v>100</v>
      </c>
      <c r="G4" s="2" t="s">
        <v>64</v>
      </c>
      <c r="H4" s="2">
        <v>73</v>
      </c>
      <c r="I4" s="2" t="s">
        <v>65</v>
      </c>
      <c r="J4" s="2" t="s">
        <v>101</v>
      </c>
      <c r="K4" s="2" t="s">
        <v>102</v>
      </c>
      <c r="L4" s="2" t="s">
        <v>103</v>
      </c>
      <c r="M4" s="2">
        <v>19491</v>
      </c>
      <c r="N4" s="2" t="s">
        <v>104</v>
      </c>
      <c r="O4" s="2" t="s">
        <v>70</v>
      </c>
      <c r="P4" s="2" t="s">
        <v>105</v>
      </c>
      <c r="Q4" s="2" t="s">
        <v>106</v>
      </c>
      <c r="R4" s="2">
        <v>95125</v>
      </c>
      <c r="S4" s="2">
        <v>2</v>
      </c>
      <c r="T4" s="2" t="s">
        <v>73</v>
      </c>
      <c r="U4" s="2">
        <v>37.292232499999997</v>
      </c>
      <c r="V4" s="2">
        <v>-121.88127900000001</v>
      </c>
      <c r="W4" s="2" t="s">
        <v>74</v>
      </c>
      <c r="X4" s="2" t="s">
        <v>92</v>
      </c>
      <c r="Y4" s="2" t="s">
        <v>93</v>
      </c>
      <c r="Z4" s="2">
        <v>19491</v>
      </c>
      <c r="AA4" s="2" t="s">
        <v>107</v>
      </c>
      <c r="AB4" s="2">
        <v>75938</v>
      </c>
      <c r="AC4" s="2">
        <v>1360</v>
      </c>
      <c r="AD4" s="2">
        <v>18.03</v>
      </c>
      <c r="AE4" s="2">
        <v>0.06</v>
      </c>
      <c r="AF4" s="2" t="str" cm="1">
        <f t="array" ref="AF4">_xlfn.IFS(AE4=0, "No Discount ", AE4&lt;=0.08,"Low Discount", AE4&lt;=0.16,"Medium Discount", AE4&gt;0.16, "High Discount")</f>
        <v>Low Discount</v>
      </c>
      <c r="AG4" s="2">
        <v>179253</v>
      </c>
      <c r="AH4" s="2">
        <v>327.75</v>
      </c>
      <c r="AI4" s="2">
        <v>-0.8</v>
      </c>
      <c r="AJ4" s="2" t="str" cm="1">
        <f t="array" ref="AJ4">_xlfn.IFS(AI4&lt;=0, "No Profit", AI4&lt;=0.16,"Low Profit",AI4&lt;=0.32,"Medium Profit",AI4&gt;0.32,"High Profit")</f>
        <v>No Profit</v>
      </c>
      <c r="AK4" s="2">
        <v>1</v>
      </c>
      <c r="AL4" s="2">
        <v>327.75</v>
      </c>
      <c r="AM4" s="2">
        <v>309.72000000000003</v>
      </c>
      <c r="AN4" s="2">
        <v>-247.78</v>
      </c>
      <c r="AO4" s="2" t="s">
        <v>95</v>
      </c>
      <c r="AP4" s="2" t="s">
        <v>96</v>
      </c>
      <c r="AQ4" s="2" t="s">
        <v>108</v>
      </c>
      <c r="AR4" s="2" t="s">
        <v>81</v>
      </c>
      <c r="AS4" s="2">
        <v>1360</v>
      </c>
      <c r="AT4" s="2">
        <v>73</v>
      </c>
      <c r="AU4" s="2" t="s">
        <v>82</v>
      </c>
      <c r="AV4" s="2">
        <v>327.75</v>
      </c>
      <c r="AW4" s="2">
        <v>0</v>
      </c>
      <c r="AX4" s="2" t="s">
        <v>109</v>
      </c>
      <c r="AY4" s="2" t="s">
        <v>83</v>
      </c>
      <c r="AZ4" s="4">
        <v>43113</v>
      </c>
      <c r="BA4" s="5">
        <v>0.50416666666666665</v>
      </c>
      <c r="BB4" s="2">
        <v>2018</v>
      </c>
      <c r="BC4" s="2" t="s">
        <v>84</v>
      </c>
      <c r="BD4" s="2">
        <v>13</v>
      </c>
      <c r="BE4" s="4">
        <v>43117</v>
      </c>
      <c r="BF4" s="5">
        <v>0.50416666666666665</v>
      </c>
      <c r="BG4" s="2" t="str" cm="1">
        <f t="array" ref="BG4">_xlfn.IFS(BF4&lt;TIMEVALUE("06:00"),"Night", BF4&gt;=TIMEVALUE("21:00"),"Night",BF4&gt;=TIMEVALUE("17:00"),"Evening",BF4&gt;=TIMEVALUE("12:00"),"Afternoon", BF4&gt;=TIMEVALUE("06:00"),"Morning")</f>
        <v>Afternoon</v>
      </c>
      <c r="BH4" s="2">
        <v>2018</v>
      </c>
      <c r="BI4" s="2" t="s">
        <v>84</v>
      </c>
      <c r="BJ4" s="2">
        <v>17</v>
      </c>
    </row>
    <row r="5" spans="1:62" x14ac:dyDescent="0.3">
      <c r="A5" s="2" t="s">
        <v>62</v>
      </c>
      <c r="B5" s="2">
        <v>3</v>
      </c>
      <c r="C5" s="2">
        <v>4</v>
      </c>
      <c r="D5" s="2">
        <v>22.86</v>
      </c>
      <c r="E5" s="2">
        <v>304.81</v>
      </c>
      <c r="F5" s="2" t="s">
        <v>63</v>
      </c>
      <c r="G5" s="2" t="s">
        <v>64</v>
      </c>
      <c r="H5" s="2">
        <v>73</v>
      </c>
      <c r="I5" s="2" t="s">
        <v>65</v>
      </c>
      <c r="J5" s="2" t="s">
        <v>110</v>
      </c>
      <c r="K5" s="2" t="s">
        <v>102</v>
      </c>
      <c r="L5" s="2" t="s">
        <v>111</v>
      </c>
      <c r="M5" s="2">
        <v>19490</v>
      </c>
      <c r="N5" s="2" t="s">
        <v>112</v>
      </c>
      <c r="O5" s="2" t="s">
        <v>113</v>
      </c>
      <c r="P5" s="2" t="s">
        <v>105</v>
      </c>
      <c r="Q5" s="2" t="s">
        <v>114</v>
      </c>
      <c r="R5" s="2">
        <v>90027</v>
      </c>
      <c r="S5" s="2">
        <v>2</v>
      </c>
      <c r="T5" s="2" t="s">
        <v>73</v>
      </c>
      <c r="U5" s="2">
        <v>34.1259461</v>
      </c>
      <c r="V5" s="2">
        <v>-118.29101559999999</v>
      </c>
      <c r="W5" s="2" t="s">
        <v>74</v>
      </c>
      <c r="X5" s="2" t="s">
        <v>115</v>
      </c>
      <c r="Y5" s="2" t="s">
        <v>116</v>
      </c>
      <c r="Z5" s="2">
        <v>19490</v>
      </c>
      <c r="AA5" s="2" t="s">
        <v>117</v>
      </c>
      <c r="AB5" s="2">
        <v>75937</v>
      </c>
      <c r="AC5" s="2">
        <v>1360</v>
      </c>
      <c r="AD5" s="2">
        <v>22.94</v>
      </c>
      <c r="AE5" s="2">
        <v>7.0000000000000007E-2</v>
      </c>
      <c r="AF5" s="2" t="str" cm="1">
        <f t="array" ref="AF5">_xlfn.IFS(AE5=0, "No Discount ", AE5&lt;=0.08,"Low Discount", AE5&lt;=0.16,"Medium Discount", AE5&gt;0.16, "High Discount")</f>
        <v>Low Discount</v>
      </c>
      <c r="AG5" s="2">
        <v>179252</v>
      </c>
      <c r="AH5" s="2">
        <v>327.75</v>
      </c>
      <c r="AI5" s="2">
        <v>0.08</v>
      </c>
      <c r="AJ5" s="2" t="str" cm="1">
        <f t="array" ref="AJ5">_xlfn.IFS(AI5&lt;=0, "No Profit", AI5&lt;=0.16,"Low Profit",AI5&lt;=0.32,"Medium Profit",AI5&gt;0.32,"High Profit")</f>
        <v>Low Profit</v>
      </c>
      <c r="AK5" s="2">
        <v>1</v>
      </c>
      <c r="AL5" s="2">
        <v>327.75</v>
      </c>
      <c r="AM5" s="2">
        <v>304.81</v>
      </c>
      <c r="AN5" s="2">
        <v>22.86</v>
      </c>
      <c r="AO5" s="2" t="s">
        <v>118</v>
      </c>
      <c r="AP5" s="2" t="s">
        <v>119</v>
      </c>
      <c r="AQ5" s="2" t="s">
        <v>80</v>
      </c>
      <c r="AR5" s="2" t="s">
        <v>81</v>
      </c>
      <c r="AS5" s="2">
        <v>1360</v>
      </c>
      <c r="AT5" s="2">
        <v>73</v>
      </c>
      <c r="AU5" s="2" t="s">
        <v>82</v>
      </c>
      <c r="AV5" s="2">
        <v>327.75</v>
      </c>
      <c r="AW5" s="2">
        <v>0</v>
      </c>
      <c r="AX5" s="2" t="s">
        <v>120</v>
      </c>
      <c r="AY5" s="2" t="s">
        <v>83</v>
      </c>
      <c r="AZ5" s="4">
        <v>43113</v>
      </c>
      <c r="BA5" s="5">
        <v>0.48958333333333331</v>
      </c>
      <c r="BB5" s="2">
        <v>2018</v>
      </c>
      <c r="BC5" s="2" t="s">
        <v>84</v>
      </c>
      <c r="BD5" s="2">
        <v>13</v>
      </c>
      <c r="BE5" s="4">
        <v>43116</v>
      </c>
      <c r="BF5" s="5">
        <v>0.48958333333333331</v>
      </c>
      <c r="BG5" s="2" t="str" cm="1">
        <f t="array" ref="BG5">_xlfn.IFS(BF5&lt;TIMEVALUE("06:00"),"Night", BF5&gt;=TIMEVALUE("21:00"),"Night",BF5&gt;=TIMEVALUE("17:00"),"Evening",BF5&gt;=TIMEVALUE("12:00"),"Afternoon", BF5&gt;=TIMEVALUE("06:00"),"Morning")</f>
        <v>Morning</v>
      </c>
      <c r="BH5" s="2">
        <v>2018</v>
      </c>
      <c r="BI5" s="2" t="s">
        <v>84</v>
      </c>
      <c r="BJ5" s="2">
        <v>16</v>
      </c>
    </row>
    <row r="6" spans="1:62" x14ac:dyDescent="0.3">
      <c r="A6" s="2" t="s">
        <v>121</v>
      </c>
      <c r="B6" s="2">
        <v>2</v>
      </c>
      <c r="C6" s="2">
        <v>4</v>
      </c>
      <c r="D6" s="2">
        <v>134.21</v>
      </c>
      <c r="E6" s="2">
        <v>298.25</v>
      </c>
      <c r="F6" s="2" t="s">
        <v>63</v>
      </c>
      <c r="G6" s="2" t="s">
        <v>64</v>
      </c>
      <c r="H6" s="2">
        <v>73</v>
      </c>
      <c r="I6" s="2" t="s">
        <v>65</v>
      </c>
      <c r="J6" s="2" t="s">
        <v>66</v>
      </c>
      <c r="K6" s="2" t="s">
        <v>67</v>
      </c>
      <c r="L6" s="2" t="s">
        <v>122</v>
      </c>
      <c r="M6" s="2">
        <v>19489</v>
      </c>
      <c r="N6" s="2" t="s">
        <v>123</v>
      </c>
      <c r="O6" s="2" t="s">
        <v>124</v>
      </c>
      <c r="P6" s="2" t="s">
        <v>71</v>
      </c>
      <c r="Q6" s="2" t="s">
        <v>125</v>
      </c>
      <c r="R6" s="2">
        <v>725</v>
      </c>
      <c r="S6" s="2">
        <v>2</v>
      </c>
      <c r="T6" s="2" t="s">
        <v>73</v>
      </c>
      <c r="U6" s="2">
        <v>18.253768900000001</v>
      </c>
      <c r="V6" s="2">
        <v>-66.037048299999995</v>
      </c>
      <c r="W6" s="2" t="s">
        <v>74</v>
      </c>
      <c r="X6" s="2" t="s">
        <v>115</v>
      </c>
      <c r="Y6" s="2" t="s">
        <v>116</v>
      </c>
      <c r="Z6" s="2">
        <v>19489</v>
      </c>
      <c r="AA6" s="2" t="s">
        <v>126</v>
      </c>
      <c r="AB6" s="2">
        <v>75936</v>
      </c>
      <c r="AC6" s="2">
        <v>1360</v>
      </c>
      <c r="AD6" s="2">
        <v>29.5</v>
      </c>
      <c r="AE6" s="2">
        <v>0.09</v>
      </c>
      <c r="AF6" s="2" t="str" cm="1">
        <f t="array" ref="AF6">_xlfn.IFS(AE6=0, "No Discount ", AE6&lt;=0.08,"Low Discount", AE6&lt;=0.16,"Medium Discount", AE6&gt;0.16, "High Discount")</f>
        <v>Medium Discount</v>
      </c>
      <c r="AG6" s="2">
        <v>179251</v>
      </c>
      <c r="AH6" s="2">
        <v>327.75</v>
      </c>
      <c r="AI6" s="2">
        <v>0.45</v>
      </c>
      <c r="AJ6" s="2" t="str" cm="1">
        <f t="array" ref="AJ6">_xlfn.IFS(AI6&lt;=0, "No Profit", AI6&lt;=0.16,"Low Profit",AI6&lt;=0.32,"Medium Profit",AI6&gt;0.32,"High Profit")</f>
        <v>High Profit</v>
      </c>
      <c r="AK6" s="2">
        <v>1</v>
      </c>
      <c r="AL6" s="2">
        <v>327.75</v>
      </c>
      <c r="AM6" s="2">
        <v>298.25</v>
      </c>
      <c r="AN6" s="2">
        <v>134.21</v>
      </c>
      <c r="AO6" s="2" t="s">
        <v>118</v>
      </c>
      <c r="AP6" s="2" t="s">
        <v>119</v>
      </c>
      <c r="AQ6" s="2" t="s">
        <v>127</v>
      </c>
      <c r="AR6" s="2" t="s">
        <v>81</v>
      </c>
      <c r="AS6" s="2">
        <v>1360</v>
      </c>
      <c r="AT6" s="2">
        <v>73</v>
      </c>
      <c r="AU6" s="2" t="s">
        <v>82</v>
      </c>
      <c r="AV6" s="2">
        <v>327.75</v>
      </c>
      <c r="AW6" s="2">
        <v>0</v>
      </c>
      <c r="AX6" s="2" t="s">
        <v>128</v>
      </c>
      <c r="AY6" s="2" t="s">
        <v>83</v>
      </c>
      <c r="AZ6" s="4">
        <v>43113</v>
      </c>
      <c r="BA6" s="5">
        <v>0.47499999999999998</v>
      </c>
      <c r="BB6" s="2">
        <v>2018</v>
      </c>
      <c r="BC6" s="2" t="s">
        <v>84</v>
      </c>
      <c r="BD6" s="2">
        <v>13</v>
      </c>
      <c r="BE6" s="4">
        <v>43115</v>
      </c>
      <c r="BF6" s="5">
        <v>0.47499999999999998</v>
      </c>
      <c r="BG6" s="2" t="str" cm="1">
        <f t="array" ref="BG6">_xlfn.IFS(BF6&lt;TIMEVALUE("06:00"),"Night", BF6&gt;=TIMEVALUE("21:00"),"Night",BF6&gt;=TIMEVALUE("17:00"),"Evening",BF6&gt;=TIMEVALUE("12:00"),"Afternoon", BF6&gt;=TIMEVALUE("06:00"),"Morning")</f>
        <v>Morning</v>
      </c>
      <c r="BH6" s="2">
        <v>2018</v>
      </c>
      <c r="BI6" s="2" t="s">
        <v>84</v>
      </c>
      <c r="BJ6" s="2">
        <v>15</v>
      </c>
    </row>
    <row r="7" spans="1:62" x14ac:dyDescent="0.3">
      <c r="A7" s="2" t="s">
        <v>86</v>
      </c>
      <c r="B7" s="2">
        <v>6</v>
      </c>
      <c r="C7" s="2">
        <v>4</v>
      </c>
      <c r="D7" s="2">
        <v>18.579999999999998</v>
      </c>
      <c r="E7" s="2">
        <v>294.98</v>
      </c>
      <c r="F7" s="2" t="s">
        <v>129</v>
      </c>
      <c r="G7" s="2" t="s">
        <v>64</v>
      </c>
      <c r="H7" s="2">
        <v>73</v>
      </c>
      <c r="I7" s="2" t="s">
        <v>65</v>
      </c>
      <c r="J7" s="2" t="s">
        <v>130</v>
      </c>
      <c r="K7" s="2" t="s">
        <v>102</v>
      </c>
      <c r="L7" s="2" t="s">
        <v>131</v>
      </c>
      <c r="M7" s="2">
        <v>19488</v>
      </c>
      <c r="N7" s="2" t="s">
        <v>132</v>
      </c>
      <c r="O7" s="2" t="s">
        <v>70</v>
      </c>
      <c r="P7" s="2" t="s">
        <v>133</v>
      </c>
      <c r="Q7" s="2" t="s">
        <v>134</v>
      </c>
      <c r="R7" s="2">
        <v>14150</v>
      </c>
      <c r="S7" s="2">
        <v>2</v>
      </c>
      <c r="T7" s="2" t="s">
        <v>73</v>
      </c>
      <c r="U7" s="2">
        <v>43.013969400000001</v>
      </c>
      <c r="V7" s="2">
        <v>-78.879066499999993</v>
      </c>
      <c r="W7" s="2" t="s">
        <v>74</v>
      </c>
      <c r="X7" s="2" t="s">
        <v>135</v>
      </c>
      <c r="Y7" s="2" t="s">
        <v>116</v>
      </c>
      <c r="Z7" s="2">
        <v>19488</v>
      </c>
      <c r="AA7" s="2" t="s">
        <v>136</v>
      </c>
      <c r="AB7" s="2">
        <v>75935</v>
      </c>
      <c r="AC7" s="2">
        <v>1360</v>
      </c>
      <c r="AD7" s="2">
        <v>32.78</v>
      </c>
      <c r="AE7" s="2">
        <v>0.1</v>
      </c>
      <c r="AF7" s="2" t="str" cm="1">
        <f t="array" ref="AF7">_xlfn.IFS(AE7=0, "No Discount ", AE7&lt;=0.08,"Low Discount", AE7&lt;=0.16,"Medium Discount", AE7&gt;0.16, "High Discount")</f>
        <v>Medium Discount</v>
      </c>
      <c r="AG7" s="2">
        <v>179250</v>
      </c>
      <c r="AH7" s="2">
        <v>327.75</v>
      </c>
      <c r="AI7" s="2">
        <v>0.06</v>
      </c>
      <c r="AJ7" s="2" t="str" cm="1">
        <f t="array" ref="AJ7">_xlfn.IFS(AI7&lt;=0, "No Profit", AI7&lt;=0.16,"Low Profit",AI7&lt;=0.32,"Medium Profit",AI7&gt;0.32,"High Profit")</f>
        <v>Low Profit</v>
      </c>
      <c r="AK7" s="2">
        <v>1</v>
      </c>
      <c r="AL7" s="2">
        <v>327.75</v>
      </c>
      <c r="AM7" s="2">
        <v>294.98</v>
      </c>
      <c r="AN7" s="2">
        <v>18.579999999999998</v>
      </c>
      <c r="AO7" s="2" t="s">
        <v>118</v>
      </c>
      <c r="AP7" s="2" t="s">
        <v>119</v>
      </c>
      <c r="AQ7" s="2" t="s">
        <v>137</v>
      </c>
      <c r="AR7" s="2" t="s">
        <v>81</v>
      </c>
      <c r="AS7" s="2">
        <v>1360</v>
      </c>
      <c r="AT7" s="2">
        <v>73</v>
      </c>
      <c r="AU7" s="2" t="s">
        <v>82</v>
      </c>
      <c r="AV7" s="2">
        <v>327.75</v>
      </c>
      <c r="AW7" s="2">
        <v>0</v>
      </c>
      <c r="AX7" s="2" t="s">
        <v>138</v>
      </c>
      <c r="AY7" s="2" t="s">
        <v>83</v>
      </c>
      <c r="AZ7" s="4">
        <v>43113</v>
      </c>
      <c r="BA7" s="5">
        <v>0.46041666666666664</v>
      </c>
      <c r="BB7" s="2">
        <v>2018</v>
      </c>
      <c r="BC7" s="2" t="s">
        <v>84</v>
      </c>
      <c r="BD7" s="2">
        <v>13</v>
      </c>
      <c r="BE7" s="4">
        <v>43119</v>
      </c>
      <c r="BF7" s="5">
        <v>0.46041666666666664</v>
      </c>
      <c r="BG7" s="2" t="str" cm="1">
        <f t="array" ref="BG7">_xlfn.IFS(BF7&lt;TIMEVALUE("06:00"),"Night", BF7&gt;=TIMEVALUE("21:00"),"Night",BF7&gt;=TIMEVALUE("17:00"),"Evening",BF7&gt;=TIMEVALUE("12:00"),"Afternoon", BF7&gt;=TIMEVALUE("06:00"),"Morning")</f>
        <v>Morning</v>
      </c>
      <c r="BH7" s="2">
        <v>2018</v>
      </c>
      <c r="BI7" s="2" t="s">
        <v>84</v>
      </c>
      <c r="BJ7" s="2">
        <v>19</v>
      </c>
    </row>
    <row r="8" spans="1:62" x14ac:dyDescent="0.3">
      <c r="A8" s="2" t="s">
        <v>62</v>
      </c>
      <c r="B8" s="2">
        <v>2</v>
      </c>
      <c r="C8" s="2">
        <v>1</v>
      </c>
      <c r="D8" s="2">
        <v>95.18</v>
      </c>
      <c r="E8" s="2">
        <v>288.42</v>
      </c>
      <c r="F8" s="2" t="s">
        <v>87</v>
      </c>
      <c r="G8" s="2" t="s">
        <v>88</v>
      </c>
      <c r="H8" s="2">
        <v>73</v>
      </c>
      <c r="I8" s="2" t="s">
        <v>65</v>
      </c>
      <c r="J8" s="2" t="s">
        <v>66</v>
      </c>
      <c r="K8" s="2" t="s">
        <v>67</v>
      </c>
      <c r="L8" s="2" t="s">
        <v>139</v>
      </c>
      <c r="M8" s="2">
        <v>19487</v>
      </c>
      <c r="N8" s="2" t="s">
        <v>140</v>
      </c>
      <c r="O8" s="2" t="s">
        <v>113</v>
      </c>
      <c r="P8" s="2" t="s">
        <v>71</v>
      </c>
      <c r="Q8" s="2" t="s">
        <v>141</v>
      </c>
      <c r="R8" s="2">
        <v>725</v>
      </c>
      <c r="S8" s="2">
        <v>2</v>
      </c>
      <c r="T8" s="2" t="s">
        <v>73</v>
      </c>
      <c r="U8" s="2">
        <v>18.242538499999998</v>
      </c>
      <c r="V8" s="2">
        <v>-66.037056000000007</v>
      </c>
      <c r="W8" s="2" t="s">
        <v>74</v>
      </c>
      <c r="X8" s="2" t="s">
        <v>142</v>
      </c>
      <c r="Y8" s="2" t="s">
        <v>143</v>
      </c>
      <c r="Z8" s="2">
        <v>19487</v>
      </c>
      <c r="AA8" s="2" t="s">
        <v>144</v>
      </c>
      <c r="AB8" s="2">
        <v>75934</v>
      </c>
      <c r="AC8" s="2">
        <v>1360</v>
      </c>
      <c r="AD8" s="2">
        <v>39.33</v>
      </c>
      <c r="AE8" s="2">
        <v>0.12</v>
      </c>
      <c r="AF8" s="2" t="str" cm="1">
        <f t="array" ref="AF8">_xlfn.IFS(AE8=0, "No Discount ", AE8&lt;=0.08,"Low Discount", AE8&lt;=0.16,"Medium Discount", AE8&gt;0.16, "High Discount")</f>
        <v>Medium Discount</v>
      </c>
      <c r="AG8" s="2">
        <v>179249</v>
      </c>
      <c r="AH8" s="2">
        <v>327.75</v>
      </c>
      <c r="AI8" s="2">
        <v>0.33</v>
      </c>
      <c r="AJ8" s="2" t="str" cm="1">
        <f t="array" ref="AJ8">_xlfn.IFS(AI8&lt;=0, "No Profit", AI8&lt;=0.16,"Low Profit",AI8&lt;=0.32,"Medium Profit",AI8&gt;0.32,"High Profit")</f>
        <v>High Profit</v>
      </c>
      <c r="AK8" s="2">
        <v>1</v>
      </c>
      <c r="AL8" s="2">
        <v>327.75</v>
      </c>
      <c r="AM8" s="2">
        <v>288.42</v>
      </c>
      <c r="AN8" s="2">
        <v>95.18</v>
      </c>
      <c r="AO8" s="2" t="s">
        <v>145</v>
      </c>
      <c r="AP8" s="2" t="s">
        <v>146</v>
      </c>
      <c r="AQ8" s="2" t="s">
        <v>80</v>
      </c>
      <c r="AR8" s="2" t="s">
        <v>81</v>
      </c>
      <c r="AS8" s="2">
        <v>1360</v>
      </c>
      <c r="AT8" s="2">
        <v>73</v>
      </c>
      <c r="AU8" s="2" t="s">
        <v>82</v>
      </c>
      <c r="AV8" s="2">
        <v>327.75</v>
      </c>
      <c r="AW8" s="2">
        <v>0</v>
      </c>
      <c r="AX8" s="2" t="s">
        <v>147</v>
      </c>
      <c r="AY8" s="2" t="s">
        <v>148</v>
      </c>
      <c r="AZ8" s="4">
        <v>43113</v>
      </c>
      <c r="BA8" s="5">
        <v>0.44583333333333336</v>
      </c>
      <c r="BB8" s="2">
        <v>2018</v>
      </c>
      <c r="BC8" s="2" t="s">
        <v>84</v>
      </c>
      <c r="BD8" s="2">
        <v>13</v>
      </c>
      <c r="BE8" s="4">
        <v>43115</v>
      </c>
      <c r="BF8" s="5">
        <v>0.44583333333333336</v>
      </c>
      <c r="BG8" s="2" t="str" cm="1">
        <f t="array" ref="BG8">_xlfn.IFS(BF8&lt;TIMEVALUE("06:00"),"Night", BF8&gt;=TIMEVALUE("21:00"),"Night",BF8&gt;=TIMEVALUE("17:00"),"Evening",BF8&gt;=TIMEVALUE("12:00"),"Afternoon", BF8&gt;=TIMEVALUE("06:00"),"Morning")</f>
        <v>Morning</v>
      </c>
      <c r="BH8" s="2">
        <v>2018</v>
      </c>
      <c r="BI8" s="2" t="s">
        <v>84</v>
      </c>
      <c r="BJ8" s="2">
        <v>15</v>
      </c>
    </row>
    <row r="9" spans="1:62" x14ac:dyDescent="0.3">
      <c r="A9" s="2" t="s">
        <v>86</v>
      </c>
      <c r="B9" s="2">
        <v>2</v>
      </c>
      <c r="C9" s="2">
        <v>1</v>
      </c>
      <c r="D9" s="2">
        <v>68.430000000000007</v>
      </c>
      <c r="E9" s="2">
        <v>285.14</v>
      </c>
      <c r="F9" s="2" t="s">
        <v>87</v>
      </c>
      <c r="G9" s="2" t="s">
        <v>88</v>
      </c>
      <c r="H9" s="2">
        <v>73</v>
      </c>
      <c r="I9" s="2" t="s">
        <v>65</v>
      </c>
      <c r="J9" s="2" t="s">
        <v>149</v>
      </c>
      <c r="K9" s="2" t="s">
        <v>102</v>
      </c>
      <c r="L9" s="2" t="s">
        <v>150</v>
      </c>
      <c r="M9" s="2">
        <v>19486</v>
      </c>
      <c r="N9" s="2" t="s">
        <v>151</v>
      </c>
      <c r="O9" s="2" t="s">
        <v>124</v>
      </c>
      <c r="P9" s="2" t="s">
        <v>152</v>
      </c>
      <c r="Q9" s="2" t="s">
        <v>153</v>
      </c>
      <c r="R9" s="2">
        <v>33162</v>
      </c>
      <c r="S9" s="2">
        <v>2</v>
      </c>
      <c r="T9" s="2" t="s">
        <v>73</v>
      </c>
      <c r="U9" s="2">
        <v>25.928869299999999</v>
      </c>
      <c r="V9" s="2">
        <v>-80.162872300000004</v>
      </c>
      <c r="W9" s="2" t="s">
        <v>74</v>
      </c>
      <c r="X9" s="2" t="s">
        <v>142</v>
      </c>
      <c r="Y9" s="2" t="s">
        <v>143</v>
      </c>
      <c r="Z9" s="2">
        <v>19486</v>
      </c>
      <c r="AA9" s="2" t="s">
        <v>154</v>
      </c>
      <c r="AB9" s="2">
        <v>75933</v>
      </c>
      <c r="AC9" s="2">
        <v>1360</v>
      </c>
      <c r="AD9" s="2">
        <v>42.61</v>
      </c>
      <c r="AE9" s="2">
        <v>0.13</v>
      </c>
      <c r="AF9" s="2" t="str" cm="1">
        <f t="array" ref="AF9">_xlfn.IFS(AE9=0, "No Discount ", AE9&lt;=0.08,"Low Discount", AE9&lt;=0.16,"Medium Discount", AE9&gt;0.16, "High Discount")</f>
        <v>Medium Discount</v>
      </c>
      <c r="AG9" s="2">
        <v>179248</v>
      </c>
      <c r="AH9" s="2">
        <v>327.75</v>
      </c>
      <c r="AI9" s="2">
        <v>0.24</v>
      </c>
      <c r="AJ9" s="2" t="str" cm="1">
        <f t="array" ref="AJ9">_xlfn.IFS(AI9&lt;=0, "No Profit", AI9&lt;=0.16,"Low Profit",AI9&lt;=0.32,"Medium Profit",AI9&gt;0.32,"High Profit")</f>
        <v>Medium Profit</v>
      </c>
      <c r="AK9" s="2">
        <v>1</v>
      </c>
      <c r="AL9" s="2">
        <v>327.75</v>
      </c>
      <c r="AM9" s="2">
        <v>285.14</v>
      </c>
      <c r="AN9" s="2">
        <v>68.430000000000007</v>
      </c>
      <c r="AO9" s="2" t="s">
        <v>145</v>
      </c>
      <c r="AP9" s="2" t="s">
        <v>146</v>
      </c>
      <c r="AQ9" s="2" t="s">
        <v>155</v>
      </c>
      <c r="AR9" s="2" t="s">
        <v>81</v>
      </c>
      <c r="AS9" s="2">
        <v>1360</v>
      </c>
      <c r="AT9" s="2">
        <v>73</v>
      </c>
      <c r="AU9" s="2" t="s">
        <v>82</v>
      </c>
      <c r="AV9" s="2">
        <v>327.75</v>
      </c>
      <c r="AW9" s="2">
        <v>0</v>
      </c>
      <c r="AX9" s="2" t="s">
        <v>156</v>
      </c>
      <c r="AY9" s="2" t="s">
        <v>148</v>
      </c>
      <c r="AZ9" s="4">
        <v>43113</v>
      </c>
      <c r="BA9" s="5">
        <v>0.43125000000000002</v>
      </c>
      <c r="BB9" s="2">
        <v>2018</v>
      </c>
      <c r="BC9" s="2" t="s">
        <v>84</v>
      </c>
      <c r="BD9" s="2">
        <v>13</v>
      </c>
      <c r="BE9" s="4">
        <v>43115</v>
      </c>
      <c r="BF9" s="5">
        <v>0.43125000000000002</v>
      </c>
      <c r="BG9" s="2" t="str" cm="1">
        <f t="array" ref="BG9">_xlfn.IFS(BF9&lt;TIMEVALUE("06:00"),"Night", BF9&gt;=TIMEVALUE("21:00"),"Night",BF9&gt;=TIMEVALUE("17:00"),"Evening",BF9&gt;=TIMEVALUE("12:00"),"Afternoon", BF9&gt;=TIMEVALUE("06:00"),"Morning")</f>
        <v>Morning</v>
      </c>
      <c r="BH9" s="2">
        <v>2018</v>
      </c>
      <c r="BI9" s="2" t="s">
        <v>84</v>
      </c>
      <c r="BJ9" s="2">
        <v>15</v>
      </c>
    </row>
    <row r="10" spans="1:62" x14ac:dyDescent="0.3">
      <c r="A10" s="2" t="s">
        <v>99</v>
      </c>
      <c r="B10" s="2">
        <v>3</v>
      </c>
      <c r="C10" s="2">
        <v>2</v>
      </c>
      <c r="D10" s="2">
        <v>133.72</v>
      </c>
      <c r="E10" s="2">
        <v>278.58999999999997</v>
      </c>
      <c r="F10" s="2" t="s">
        <v>87</v>
      </c>
      <c r="G10" s="2" t="s">
        <v>88</v>
      </c>
      <c r="H10" s="2">
        <v>73</v>
      </c>
      <c r="I10" s="2" t="s">
        <v>65</v>
      </c>
      <c r="J10" s="2" t="s">
        <v>66</v>
      </c>
      <c r="K10" s="2" t="s">
        <v>67</v>
      </c>
      <c r="L10" s="2" t="s">
        <v>157</v>
      </c>
      <c r="M10" s="2">
        <v>19485</v>
      </c>
      <c r="N10" s="2" t="s">
        <v>158</v>
      </c>
      <c r="O10" s="2" t="s">
        <v>124</v>
      </c>
      <c r="P10" s="2" t="s">
        <v>71</v>
      </c>
      <c r="Q10" s="2" t="s">
        <v>159</v>
      </c>
      <c r="R10" s="2">
        <v>725</v>
      </c>
      <c r="S10" s="2">
        <v>2</v>
      </c>
      <c r="T10" s="2" t="s">
        <v>73</v>
      </c>
      <c r="U10" s="2">
        <v>18.233222999999999</v>
      </c>
      <c r="V10" s="2">
        <v>-66.037056000000007</v>
      </c>
      <c r="W10" s="2" t="s">
        <v>74</v>
      </c>
      <c r="X10" s="2" t="s">
        <v>142</v>
      </c>
      <c r="Y10" s="2" t="s">
        <v>143</v>
      </c>
      <c r="Z10" s="2">
        <v>19485</v>
      </c>
      <c r="AA10" s="2" t="s">
        <v>160</v>
      </c>
      <c r="AB10" s="2">
        <v>75932</v>
      </c>
      <c r="AC10" s="2">
        <v>1360</v>
      </c>
      <c r="AD10" s="2">
        <v>49.16</v>
      </c>
      <c r="AE10" s="2">
        <v>0.15</v>
      </c>
      <c r="AF10" s="2" t="str" cm="1">
        <f t="array" ref="AF10">_xlfn.IFS(AE10=0, "No Discount ", AE10&lt;=0.08,"Low Discount", AE10&lt;=0.16,"Medium Discount", AE10&gt;0.16, "High Discount")</f>
        <v>Medium Discount</v>
      </c>
      <c r="AG10" s="2">
        <v>179247</v>
      </c>
      <c r="AH10" s="2">
        <v>327.75</v>
      </c>
      <c r="AI10" s="2">
        <v>0.48</v>
      </c>
      <c r="AJ10" s="2" t="str" cm="1">
        <f t="array" ref="AJ10">_xlfn.IFS(AI10&lt;=0, "No Profit", AI10&lt;=0.16,"Low Profit",AI10&lt;=0.32,"Medium Profit",AI10&gt;0.32,"High Profit")</f>
        <v>High Profit</v>
      </c>
      <c r="AK10" s="2">
        <v>1</v>
      </c>
      <c r="AL10" s="2">
        <v>327.75</v>
      </c>
      <c r="AM10" s="2">
        <v>278.58999999999997</v>
      </c>
      <c r="AN10" s="2">
        <v>133.72</v>
      </c>
      <c r="AO10" s="2" t="s">
        <v>145</v>
      </c>
      <c r="AP10" s="2" t="s">
        <v>146</v>
      </c>
      <c r="AQ10" s="2" t="s">
        <v>108</v>
      </c>
      <c r="AR10" s="2" t="s">
        <v>81</v>
      </c>
      <c r="AS10" s="2">
        <v>1360</v>
      </c>
      <c r="AT10" s="2">
        <v>73</v>
      </c>
      <c r="AU10" s="2" t="s">
        <v>82</v>
      </c>
      <c r="AV10" s="2">
        <v>327.75</v>
      </c>
      <c r="AW10" s="2">
        <v>0</v>
      </c>
      <c r="AX10" s="2" t="s">
        <v>161</v>
      </c>
      <c r="AY10" s="2" t="s">
        <v>162</v>
      </c>
      <c r="AZ10" s="4">
        <v>43113</v>
      </c>
      <c r="BA10" s="5">
        <v>0.41666666666666669</v>
      </c>
      <c r="BB10" s="2">
        <v>2018</v>
      </c>
      <c r="BC10" s="2" t="s">
        <v>84</v>
      </c>
      <c r="BD10" s="2">
        <v>13</v>
      </c>
      <c r="BE10" s="4">
        <v>43116</v>
      </c>
      <c r="BF10" s="5">
        <v>0.41666666666666669</v>
      </c>
      <c r="BG10" s="2" t="str" cm="1">
        <f t="array" ref="BG10">_xlfn.IFS(BF10&lt;TIMEVALUE("06:00"),"Night", BF10&gt;=TIMEVALUE("21:00"),"Night",BF10&gt;=TIMEVALUE("17:00"),"Evening",BF10&gt;=TIMEVALUE("12:00"),"Afternoon", BF10&gt;=TIMEVALUE("06:00"),"Morning")</f>
        <v>Morning</v>
      </c>
      <c r="BH10" s="2">
        <v>2018</v>
      </c>
      <c r="BI10" s="2" t="s">
        <v>84</v>
      </c>
      <c r="BJ10" s="2">
        <v>16</v>
      </c>
    </row>
    <row r="11" spans="1:62" x14ac:dyDescent="0.3">
      <c r="A11" s="2" t="s">
        <v>99</v>
      </c>
      <c r="B11" s="2">
        <v>2</v>
      </c>
      <c r="C11" s="2">
        <v>1</v>
      </c>
      <c r="D11" s="2">
        <v>132.15</v>
      </c>
      <c r="E11" s="2">
        <v>275.31</v>
      </c>
      <c r="F11" s="2" t="s">
        <v>87</v>
      </c>
      <c r="G11" s="2" t="s">
        <v>88</v>
      </c>
      <c r="H11" s="2">
        <v>73</v>
      </c>
      <c r="I11" s="2" t="s">
        <v>65</v>
      </c>
      <c r="J11" s="2" t="s">
        <v>163</v>
      </c>
      <c r="K11" s="2" t="s">
        <v>102</v>
      </c>
      <c r="L11" s="2" t="s">
        <v>164</v>
      </c>
      <c r="M11" s="2">
        <v>19484</v>
      </c>
      <c r="N11" s="2" t="s">
        <v>165</v>
      </c>
      <c r="O11" s="2" t="s">
        <v>124</v>
      </c>
      <c r="P11" s="2" t="s">
        <v>105</v>
      </c>
      <c r="Q11" s="2" t="s">
        <v>166</v>
      </c>
      <c r="R11" s="2">
        <v>94583</v>
      </c>
      <c r="S11" s="2">
        <v>2</v>
      </c>
      <c r="T11" s="2" t="s">
        <v>73</v>
      </c>
      <c r="U11" s="2">
        <v>37.773990599999998</v>
      </c>
      <c r="V11" s="2">
        <v>-121.966629</v>
      </c>
      <c r="W11" s="2" t="s">
        <v>74</v>
      </c>
      <c r="X11" s="2" t="s">
        <v>142</v>
      </c>
      <c r="Y11" s="2" t="s">
        <v>143</v>
      </c>
      <c r="Z11" s="2">
        <v>19484</v>
      </c>
      <c r="AA11" s="2" t="s">
        <v>167</v>
      </c>
      <c r="AB11" s="2">
        <v>75931</v>
      </c>
      <c r="AC11" s="2">
        <v>1360</v>
      </c>
      <c r="AD11" s="2">
        <v>52.44</v>
      </c>
      <c r="AE11" s="2">
        <v>0.16</v>
      </c>
      <c r="AF11" s="2" t="str" cm="1">
        <f t="array" ref="AF11">_xlfn.IFS(AE11=0, "No Discount ", AE11&lt;=0.08,"Low Discount", AE11&lt;=0.16,"Medium Discount", AE11&gt;0.16, "High Discount")</f>
        <v>Medium Discount</v>
      </c>
      <c r="AG11" s="2">
        <v>179246</v>
      </c>
      <c r="AH11" s="2">
        <v>327.75</v>
      </c>
      <c r="AI11" s="2">
        <v>0.48</v>
      </c>
      <c r="AJ11" s="2" t="str" cm="1">
        <f t="array" ref="AJ11">_xlfn.IFS(AI11&lt;=0, "No Profit", AI11&lt;=0.16,"Low Profit",AI11&lt;=0.32,"Medium Profit",AI11&gt;0.32,"High Profit")</f>
        <v>High Profit</v>
      </c>
      <c r="AK11" s="2">
        <v>1</v>
      </c>
      <c r="AL11" s="2">
        <v>327.75</v>
      </c>
      <c r="AM11" s="2">
        <v>275.31</v>
      </c>
      <c r="AN11" s="2">
        <v>132.15</v>
      </c>
      <c r="AO11" s="2" t="s">
        <v>145</v>
      </c>
      <c r="AP11" s="2" t="s">
        <v>146</v>
      </c>
      <c r="AQ11" s="2" t="s">
        <v>108</v>
      </c>
      <c r="AR11" s="2" t="s">
        <v>81</v>
      </c>
      <c r="AS11" s="2">
        <v>1360</v>
      </c>
      <c r="AT11" s="2">
        <v>73</v>
      </c>
      <c r="AU11" s="2" t="s">
        <v>82</v>
      </c>
      <c r="AV11" s="2">
        <v>327.75</v>
      </c>
      <c r="AW11" s="2">
        <v>0</v>
      </c>
      <c r="AX11" s="2" t="s">
        <v>168</v>
      </c>
      <c r="AY11" s="2" t="s">
        <v>148</v>
      </c>
      <c r="AZ11" s="4">
        <v>43113</v>
      </c>
      <c r="BA11" s="5">
        <v>0.40208333333333335</v>
      </c>
      <c r="BB11" s="2">
        <v>2018</v>
      </c>
      <c r="BC11" s="2" t="s">
        <v>84</v>
      </c>
      <c r="BD11" s="2">
        <v>13</v>
      </c>
      <c r="BE11" s="4">
        <v>43115</v>
      </c>
      <c r="BF11" s="5">
        <v>0.40208333333333335</v>
      </c>
      <c r="BG11" s="2" t="str" cm="1">
        <f t="array" ref="BG11">_xlfn.IFS(BF11&lt;TIMEVALUE("06:00"),"Night", BF11&gt;=TIMEVALUE("21:00"),"Night",BF11&gt;=TIMEVALUE("17:00"),"Evening",BF11&gt;=TIMEVALUE("12:00"),"Afternoon", BF11&gt;=TIMEVALUE("06:00"),"Morning")</f>
        <v>Morning</v>
      </c>
      <c r="BH11" s="2">
        <v>2018</v>
      </c>
      <c r="BI11" s="2" t="s">
        <v>84</v>
      </c>
      <c r="BJ11" s="2">
        <v>15</v>
      </c>
    </row>
    <row r="12" spans="1:62" x14ac:dyDescent="0.3">
      <c r="A12" s="2" t="s">
        <v>86</v>
      </c>
      <c r="B12" s="2">
        <v>6</v>
      </c>
      <c r="C12" s="2">
        <v>2</v>
      </c>
      <c r="D12" s="2">
        <v>130.58000000000001</v>
      </c>
      <c r="E12" s="2">
        <v>272.02999999999997</v>
      </c>
      <c r="F12" s="2" t="s">
        <v>129</v>
      </c>
      <c r="G12" s="2" t="s">
        <v>64</v>
      </c>
      <c r="H12" s="2">
        <v>73</v>
      </c>
      <c r="I12" s="2" t="s">
        <v>65</v>
      </c>
      <c r="J12" s="2" t="s">
        <v>66</v>
      </c>
      <c r="K12" s="2" t="s">
        <v>67</v>
      </c>
      <c r="L12" s="2" t="s">
        <v>169</v>
      </c>
      <c r="M12" s="2">
        <v>19483</v>
      </c>
      <c r="N12" s="2" t="s">
        <v>170</v>
      </c>
      <c r="O12" s="2" t="s">
        <v>124</v>
      </c>
      <c r="P12" s="2" t="s">
        <v>71</v>
      </c>
      <c r="Q12" s="2" t="s">
        <v>171</v>
      </c>
      <c r="R12" s="2">
        <v>725</v>
      </c>
      <c r="S12" s="2">
        <v>2</v>
      </c>
      <c r="T12" s="2" t="s">
        <v>73</v>
      </c>
      <c r="U12" s="2">
        <v>18.282844499999999</v>
      </c>
      <c r="V12" s="2">
        <v>-66.037056000000007</v>
      </c>
      <c r="W12" s="2" t="s">
        <v>74</v>
      </c>
      <c r="X12" s="2" t="s">
        <v>172</v>
      </c>
      <c r="Y12" s="2" t="s">
        <v>173</v>
      </c>
      <c r="Z12" s="2">
        <v>19483</v>
      </c>
      <c r="AA12" s="2" t="s">
        <v>174</v>
      </c>
      <c r="AB12" s="2">
        <v>75930</v>
      </c>
      <c r="AC12" s="2">
        <v>1360</v>
      </c>
      <c r="AD12" s="2">
        <v>55.72</v>
      </c>
      <c r="AE12" s="2">
        <v>0.17</v>
      </c>
      <c r="AF12" s="2" t="str" cm="1">
        <f t="array" ref="AF12">_xlfn.IFS(AE12=0, "No Discount ", AE12&lt;=0.08,"Low Discount", AE12&lt;=0.16,"Medium Discount", AE12&gt;0.16, "High Discount")</f>
        <v>High Discount</v>
      </c>
      <c r="AG12" s="2">
        <v>179245</v>
      </c>
      <c r="AH12" s="2">
        <v>327.75</v>
      </c>
      <c r="AI12" s="2">
        <v>0.48</v>
      </c>
      <c r="AJ12" s="2" t="str" cm="1">
        <f t="array" ref="AJ12">_xlfn.IFS(AI12&lt;=0, "No Profit", AI12&lt;=0.16,"Low Profit",AI12&lt;=0.32,"Medium Profit",AI12&gt;0.32,"High Profit")</f>
        <v>High Profit</v>
      </c>
      <c r="AK12" s="2">
        <v>1</v>
      </c>
      <c r="AL12" s="2">
        <v>327.75</v>
      </c>
      <c r="AM12" s="2">
        <v>272.02999999999997</v>
      </c>
      <c r="AN12" s="2">
        <v>130.58000000000001</v>
      </c>
      <c r="AO12" s="2" t="s">
        <v>145</v>
      </c>
      <c r="AP12" s="2" t="s">
        <v>172</v>
      </c>
      <c r="AQ12" s="2" t="s">
        <v>175</v>
      </c>
      <c r="AR12" s="2" t="s">
        <v>81</v>
      </c>
      <c r="AS12" s="2">
        <v>1360</v>
      </c>
      <c r="AT12" s="2">
        <v>73</v>
      </c>
      <c r="AU12" s="2" t="s">
        <v>82</v>
      </c>
      <c r="AV12" s="2">
        <v>327.75</v>
      </c>
      <c r="AW12" s="2">
        <v>0</v>
      </c>
      <c r="AX12" s="2" t="s">
        <v>176</v>
      </c>
      <c r="AY12" s="2" t="s">
        <v>162</v>
      </c>
      <c r="AZ12" s="4">
        <v>43113</v>
      </c>
      <c r="BA12" s="5">
        <v>0.38750000000000001</v>
      </c>
      <c r="BB12" s="2">
        <v>2018</v>
      </c>
      <c r="BC12" s="2" t="s">
        <v>84</v>
      </c>
      <c r="BD12" s="2">
        <v>13</v>
      </c>
      <c r="BE12" s="4">
        <v>43119</v>
      </c>
      <c r="BF12" s="5">
        <v>0.38750000000000001</v>
      </c>
      <c r="BG12" s="2" t="str" cm="1">
        <f t="array" ref="BG12">_xlfn.IFS(BF12&lt;TIMEVALUE("06:00"),"Night", BF12&gt;=TIMEVALUE("21:00"),"Night",BF12&gt;=TIMEVALUE("17:00"),"Evening",BF12&gt;=TIMEVALUE("12:00"),"Afternoon", BF12&gt;=TIMEVALUE("06:00"),"Morning")</f>
        <v>Morning</v>
      </c>
      <c r="BH12" s="2">
        <v>2018</v>
      </c>
      <c r="BI12" s="2" t="s">
        <v>84</v>
      </c>
      <c r="BJ12" s="2">
        <v>19</v>
      </c>
    </row>
    <row r="13" spans="1:62" x14ac:dyDescent="0.3">
      <c r="A13" s="2" t="s">
        <v>86</v>
      </c>
      <c r="B13" s="2">
        <v>5</v>
      </c>
      <c r="C13" s="2">
        <v>2</v>
      </c>
      <c r="D13" s="2">
        <v>45.69</v>
      </c>
      <c r="E13" s="2">
        <v>268.76</v>
      </c>
      <c r="F13" s="2" t="s">
        <v>87</v>
      </c>
      <c r="G13" s="2" t="s">
        <v>88</v>
      </c>
      <c r="H13" s="2">
        <v>73</v>
      </c>
      <c r="I13" s="2" t="s">
        <v>65</v>
      </c>
      <c r="J13" s="2" t="s">
        <v>177</v>
      </c>
      <c r="K13" s="2" t="s">
        <v>102</v>
      </c>
      <c r="L13" s="2" t="s">
        <v>178</v>
      </c>
      <c r="M13" s="2">
        <v>19482</v>
      </c>
      <c r="N13" s="2" t="s">
        <v>179</v>
      </c>
      <c r="O13" s="2" t="s">
        <v>70</v>
      </c>
      <c r="P13" s="2" t="s">
        <v>133</v>
      </c>
      <c r="Q13" s="2" t="s">
        <v>180</v>
      </c>
      <c r="R13" s="2">
        <v>11520</v>
      </c>
      <c r="S13" s="2">
        <v>2</v>
      </c>
      <c r="T13" s="2" t="s">
        <v>73</v>
      </c>
      <c r="U13" s="2">
        <v>40.654865299999997</v>
      </c>
      <c r="V13" s="2">
        <v>-73.587074299999998</v>
      </c>
      <c r="W13" s="2" t="s">
        <v>74</v>
      </c>
      <c r="X13" s="2" t="s">
        <v>181</v>
      </c>
      <c r="Y13" s="2" t="s">
        <v>76</v>
      </c>
      <c r="Z13" s="2">
        <v>19482</v>
      </c>
      <c r="AA13" s="2" t="s">
        <v>182</v>
      </c>
      <c r="AB13" s="2">
        <v>75929</v>
      </c>
      <c r="AC13" s="2">
        <v>1360</v>
      </c>
      <c r="AD13" s="2">
        <v>59</v>
      </c>
      <c r="AE13" s="2">
        <v>0.18</v>
      </c>
      <c r="AF13" s="2" t="str" cm="1">
        <f t="array" ref="AF13">_xlfn.IFS(AE13=0, "No Discount ", AE13&lt;=0.08,"Low Discount", AE13&lt;=0.16,"Medium Discount", AE13&gt;0.16, "High Discount")</f>
        <v>High Discount</v>
      </c>
      <c r="AG13" s="2">
        <v>179244</v>
      </c>
      <c r="AH13" s="2">
        <v>327.75</v>
      </c>
      <c r="AI13" s="2">
        <v>0.17</v>
      </c>
      <c r="AJ13" s="2" t="str" cm="1">
        <f t="array" ref="AJ13">_xlfn.IFS(AI13&lt;=0, "No Profit", AI13&lt;=0.16,"Low Profit",AI13&lt;=0.32,"Medium Profit",AI13&gt;0.32,"High Profit")</f>
        <v>Medium Profit</v>
      </c>
      <c r="AK13" s="2">
        <v>1</v>
      </c>
      <c r="AL13" s="2">
        <v>327.75</v>
      </c>
      <c r="AM13" s="2">
        <v>268.76</v>
      </c>
      <c r="AN13" s="2">
        <v>45.69</v>
      </c>
      <c r="AO13" s="2" t="s">
        <v>78</v>
      </c>
      <c r="AP13" s="2" t="s">
        <v>183</v>
      </c>
      <c r="AQ13" s="2" t="s">
        <v>97</v>
      </c>
      <c r="AR13" s="2" t="s">
        <v>81</v>
      </c>
      <c r="AS13" s="2">
        <v>1360</v>
      </c>
      <c r="AT13" s="2">
        <v>73</v>
      </c>
      <c r="AU13" s="2" t="s">
        <v>82</v>
      </c>
      <c r="AV13" s="2">
        <v>327.75</v>
      </c>
      <c r="AW13" s="2">
        <v>0</v>
      </c>
      <c r="AX13" s="2" t="s">
        <v>184</v>
      </c>
      <c r="AY13" s="2" t="s">
        <v>162</v>
      </c>
      <c r="AZ13" s="4">
        <v>43113</v>
      </c>
      <c r="BA13" s="5">
        <v>0.37291666666666667</v>
      </c>
      <c r="BB13" s="2">
        <v>2018</v>
      </c>
      <c r="BC13" s="2" t="s">
        <v>84</v>
      </c>
      <c r="BD13" s="2">
        <v>13</v>
      </c>
      <c r="BE13" s="4">
        <v>43118</v>
      </c>
      <c r="BF13" s="5">
        <v>0.37291666666666667</v>
      </c>
      <c r="BG13" s="2" t="str" cm="1">
        <f t="array" ref="BG13">_xlfn.IFS(BF13&lt;TIMEVALUE("06:00"),"Night", BF13&gt;=TIMEVALUE("21:00"),"Night",BF13&gt;=TIMEVALUE("17:00"),"Evening",BF13&gt;=TIMEVALUE("12:00"),"Afternoon", BF13&gt;=TIMEVALUE("06:00"),"Morning")</f>
        <v>Morning</v>
      </c>
      <c r="BH13" s="2">
        <v>2018</v>
      </c>
      <c r="BI13" s="2" t="s">
        <v>84</v>
      </c>
      <c r="BJ13" s="2">
        <v>18</v>
      </c>
    </row>
    <row r="14" spans="1:62" x14ac:dyDescent="0.3">
      <c r="A14" s="2" t="s">
        <v>86</v>
      </c>
      <c r="B14" s="2">
        <v>4</v>
      </c>
      <c r="C14" s="2">
        <v>2</v>
      </c>
      <c r="D14" s="2">
        <v>21.76</v>
      </c>
      <c r="E14" s="2">
        <v>262.2</v>
      </c>
      <c r="F14" s="2" t="s">
        <v>87</v>
      </c>
      <c r="G14" s="2" t="s">
        <v>88</v>
      </c>
      <c r="H14" s="2">
        <v>73</v>
      </c>
      <c r="I14" s="2" t="s">
        <v>65</v>
      </c>
      <c r="J14" s="2" t="s">
        <v>185</v>
      </c>
      <c r="K14" s="2" t="s">
        <v>102</v>
      </c>
      <c r="L14" s="2" t="s">
        <v>186</v>
      </c>
      <c r="M14" s="2">
        <v>19481</v>
      </c>
      <c r="N14" s="2" t="s">
        <v>187</v>
      </c>
      <c r="O14" s="2" t="s">
        <v>124</v>
      </c>
      <c r="P14" s="2" t="s">
        <v>105</v>
      </c>
      <c r="Q14" s="2" t="s">
        <v>188</v>
      </c>
      <c r="R14" s="2">
        <v>93905</v>
      </c>
      <c r="S14" s="2">
        <v>2</v>
      </c>
      <c r="T14" s="2" t="s">
        <v>73</v>
      </c>
      <c r="U14" s="2">
        <v>36.676338200000004</v>
      </c>
      <c r="V14" s="2">
        <v>-121.65651699999999</v>
      </c>
      <c r="W14" s="2" t="s">
        <v>74</v>
      </c>
      <c r="X14" s="2" t="s">
        <v>181</v>
      </c>
      <c r="Y14" s="2" t="s">
        <v>76</v>
      </c>
      <c r="Z14" s="2">
        <v>19481</v>
      </c>
      <c r="AA14" s="2" t="s">
        <v>189</v>
      </c>
      <c r="AB14" s="2">
        <v>75928</v>
      </c>
      <c r="AC14" s="2">
        <v>1360</v>
      </c>
      <c r="AD14" s="2">
        <v>65.55</v>
      </c>
      <c r="AE14" s="2">
        <v>0.2</v>
      </c>
      <c r="AF14" s="2" t="str" cm="1">
        <f t="array" ref="AF14">_xlfn.IFS(AE14=0, "No Discount ", AE14&lt;=0.08,"Low Discount", AE14&lt;=0.16,"Medium Discount", AE14&gt;0.16, "High Discount")</f>
        <v>High Discount</v>
      </c>
      <c r="AG14" s="2">
        <v>179243</v>
      </c>
      <c r="AH14" s="2">
        <v>327.75</v>
      </c>
      <c r="AI14" s="2">
        <v>0.08</v>
      </c>
      <c r="AJ14" s="2" t="str" cm="1">
        <f t="array" ref="AJ14">_xlfn.IFS(AI14&lt;=0, "No Profit", AI14&lt;=0.16,"Low Profit",AI14&lt;=0.32,"Medium Profit",AI14&gt;0.32,"High Profit")</f>
        <v>Low Profit</v>
      </c>
      <c r="AK14" s="2">
        <v>1</v>
      </c>
      <c r="AL14" s="2">
        <v>327.75</v>
      </c>
      <c r="AM14" s="2">
        <v>262.2</v>
      </c>
      <c r="AN14" s="2">
        <v>21.76</v>
      </c>
      <c r="AO14" s="2" t="s">
        <v>78</v>
      </c>
      <c r="AP14" s="2" t="s">
        <v>183</v>
      </c>
      <c r="AQ14" s="2" t="s">
        <v>97</v>
      </c>
      <c r="AR14" s="2" t="s">
        <v>81</v>
      </c>
      <c r="AS14" s="2">
        <v>1360</v>
      </c>
      <c r="AT14" s="2">
        <v>73</v>
      </c>
      <c r="AU14" s="2" t="s">
        <v>82</v>
      </c>
      <c r="AV14" s="2">
        <v>327.75</v>
      </c>
      <c r="AW14" s="2">
        <v>0</v>
      </c>
      <c r="AX14" s="2" t="s">
        <v>190</v>
      </c>
      <c r="AY14" s="2" t="s">
        <v>162</v>
      </c>
      <c r="AZ14" s="4">
        <v>43113</v>
      </c>
      <c r="BA14" s="5">
        <v>0.35833333333333334</v>
      </c>
      <c r="BB14" s="2">
        <v>2018</v>
      </c>
      <c r="BC14" s="2" t="s">
        <v>84</v>
      </c>
      <c r="BD14" s="2">
        <v>13</v>
      </c>
      <c r="BE14" s="4">
        <v>43117</v>
      </c>
      <c r="BF14" s="5">
        <v>0.35833333333333334</v>
      </c>
      <c r="BG14" s="2" t="str" cm="1">
        <f t="array" ref="BG14">_xlfn.IFS(BF14&lt;TIMEVALUE("06:00"),"Night", BF14&gt;=TIMEVALUE("21:00"),"Night",BF14&gt;=TIMEVALUE("17:00"),"Evening",BF14&gt;=TIMEVALUE("12:00"),"Afternoon", BF14&gt;=TIMEVALUE("06:00"),"Morning")</f>
        <v>Morning</v>
      </c>
      <c r="BH14" s="2">
        <v>2018</v>
      </c>
      <c r="BI14" s="2" t="s">
        <v>84</v>
      </c>
      <c r="BJ14" s="2">
        <v>17</v>
      </c>
    </row>
    <row r="15" spans="1:62" x14ac:dyDescent="0.3">
      <c r="A15" s="2" t="s">
        <v>62</v>
      </c>
      <c r="B15" s="2">
        <v>2</v>
      </c>
      <c r="C15" s="2">
        <v>1</v>
      </c>
      <c r="D15" s="2">
        <v>24.58</v>
      </c>
      <c r="E15" s="2">
        <v>245.81</v>
      </c>
      <c r="F15" s="2" t="s">
        <v>87</v>
      </c>
      <c r="G15" s="2" t="s">
        <v>88</v>
      </c>
      <c r="H15" s="2">
        <v>73</v>
      </c>
      <c r="I15" s="2" t="s">
        <v>65</v>
      </c>
      <c r="J15" s="2" t="s">
        <v>66</v>
      </c>
      <c r="K15" s="2" t="s">
        <v>67</v>
      </c>
      <c r="L15" s="2" t="s">
        <v>191</v>
      </c>
      <c r="M15" s="2">
        <v>19480</v>
      </c>
      <c r="N15" s="2" t="s">
        <v>192</v>
      </c>
      <c r="O15" s="2" t="s">
        <v>124</v>
      </c>
      <c r="P15" s="2" t="s">
        <v>71</v>
      </c>
      <c r="Q15" s="2" t="s">
        <v>193</v>
      </c>
      <c r="R15" s="2">
        <v>725</v>
      </c>
      <c r="S15" s="2">
        <v>2</v>
      </c>
      <c r="T15" s="2" t="s">
        <v>73</v>
      </c>
      <c r="U15" s="2">
        <v>18.278438600000001</v>
      </c>
      <c r="V15" s="2">
        <v>-66.037056000000007</v>
      </c>
      <c r="W15" s="2" t="s">
        <v>74</v>
      </c>
      <c r="X15" s="2" t="s">
        <v>194</v>
      </c>
      <c r="Y15" s="2" t="s">
        <v>93</v>
      </c>
      <c r="Z15" s="2">
        <v>19480</v>
      </c>
      <c r="AA15" s="2" t="s">
        <v>195</v>
      </c>
      <c r="AB15" s="2">
        <v>75927</v>
      </c>
      <c r="AC15" s="2">
        <v>1360</v>
      </c>
      <c r="AD15" s="2">
        <v>81.94</v>
      </c>
      <c r="AE15" s="2">
        <v>0.25</v>
      </c>
      <c r="AF15" s="2" t="str" cm="1">
        <f t="array" ref="AF15">_xlfn.IFS(AE15=0, "No Discount ", AE15&lt;=0.08,"Low Discount", AE15&lt;=0.16,"Medium Discount", AE15&gt;0.16, "High Discount")</f>
        <v>High Discount</v>
      </c>
      <c r="AG15" s="2">
        <v>179242</v>
      </c>
      <c r="AH15" s="2">
        <v>327.75</v>
      </c>
      <c r="AI15" s="2">
        <v>0.1</v>
      </c>
      <c r="AJ15" s="2" t="str" cm="1">
        <f t="array" ref="AJ15">_xlfn.IFS(AI15&lt;=0, "No Profit", AI15&lt;=0.16,"Low Profit",AI15&lt;=0.32,"Medium Profit",AI15&gt;0.32,"High Profit")</f>
        <v>Low Profit</v>
      </c>
      <c r="AK15" s="2">
        <v>1</v>
      </c>
      <c r="AL15" s="2">
        <v>327.75</v>
      </c>
      <c r="AM15" s="2">
        <v>245.81</v>
      </c>
      <c r="AN15" s="2">
        <v>24.58</v>
      </c>
      <c r="AO15" s="2" t="s">
        <v>95</v>
      </c>
      <c r="AP15" s="2" t="s">
        <v>196</v>
      </c>
      <c r="AQ15" s="2" t="s">
        <v>80</v>
      </c>
      <c r="AR15" s="2" t="s">
        <v>81</v>
      </c>
      <c r="AS15" s="2">
        <v>1360</v>
      </c>
      <c r="AT15" s="2">
        <v>73</v>
      </c>
      <c r="AU15" s="2" t="s">
        <v>82</v>
      </c>
      <c r="AV15" s="2">
        <v>327.75</v>
      </c>
      <c r="AW15" s="2">
        <v>0</v>
      </c>
      <c r="AX15" s="2" t="s">
        <v>197</v>
      </c>
      <c r="AY15" s="2" t="s">
        <v>148</v>
      </c>
      <c r="AZ15" s="4">
        <v>43113</v>
      </c>
      <c r="BA15" s="5">
        <v>0.34375</v>
      </c>
      <c r="BB15" s="2">
        <v>2018</v>
      </c>
      <c r="BC15" s="2" t="s">
        <v>84</v>
      </c>
      <c r="BD15" s="2">
        <v>13</v>
      </c>
      <c r="BE15" s="4">
        <v>43115</v>
      </c>
      <c r="BF15" s="5">
        <v>0.34375</v>
      </c>
      <c r="BG15" s="2" t="str" cm="1">
        <f t="array" ref="BG15">_xlfn.IFS(BF15&lt;TIMEVALUE("06:00"),"Night", BF15&gt;=TIMEVALUE("21:00"),"Night",BF15&gt;=TIMEVALUE("17:00"),"Evening",BF15&gt;=TIMEVALUE("12:00"),"Afternoon", BF15&gt;=TIMEVALUE("06:00"),"Morning")</f>
        <v>Morning</v>
      </c>
      <c r="BH15" s="2">
        <v>2018</v>
      </c>
      <c r="BI15" s="2" t="s">
        <v>84</v>
      </c>
      <c r="BJ15" s="2">
        <v>15</v>
      </c>
    </row>
    <row r="16" spans="1:62" x14ac:dyDescent="0.3">
      <c r="A16" s="2" t="s">
        <v>86</v>
      </c>
      <c r="B16" s="2">
        <v>2</v>
      </c>
      <c r="C16" s="2">
        <v>1</v>
      </c>
      <c r="D16" s="2">
        <v>16.39</v>
      </c>
      <c r="E16" s="2">
        <v>327.75</v>
      </c>
      <c r="F16" s="2" t="s">
        <v>87</v>
      </c>
      <c r="G16" s="2" t="s">
        <v>88</v>
      </c>
      <c r="H16" s="2">
        <v>73</v>
      </c>
      <c r="I16" s="2" t="s">
        <v>65</v>
      </c>
      <c r="J16" s="2" t="s">
        <v>198</v>
      </c>
      <c r="K16" s="2" t="s">
        <v>102</v>
      </c>
      <c r="L16" s="2" t="s">
        <v>199</v>
      </c>
      <c r="M16" s="2">
        <v>19479</v>
      </c>
      <c r="N16" s="2" t="s">
        <v>200</v>
      </c>
      <c r="O16" s="2" t="s">
        <v>124</v>
      </c>
      <c r="P16" s="2" t="s">
        <v>201</v>
      </c>
      <c r="Q16" s="2" t="s">
        <v>202</v>
      </c>
      <c r="R16" s="2">
        <v>1960</v>
      </c>
      <c r="S16" s="2">
        <v>2</v>
      </c>
      <c r="T16" s="2" t="s">
        <v>73</v>
      </c>
      <c r="U16" s="2">
        <v>42.526275599999998</v>
      </c>
      <c r="V16" s="2">
        <v>-70.927032499999996</v>
      </c>
      <c r="W16" s="2" t="s">
        <v>74</v>
      </c>
      <c r="X16" s="2" t="s">
        <v>194</v>
      </c>
      <c r="Y16" s="2" t="s">
        <v>93</v>
      </c>
      <c r="Z16" s="2">
        <v>19479</v>
      </c>
      <c r="AA16" s="2" t="s">
        <v>203</v>
      </c>
      <c r="AB16" s="2">
        <v>75926</v>
      </c>
      <c r="AC16" s="2">
        <v>1360</v>
      </c>
      <c r="AD16" s="2">
        <v>0</v>
      </c>
      <c r="AE16" s="2">
        <v>0</v>
      </c>
      <c r="AF16" s="2" t="str" cm="1">
        <f t="array" ref="AF16">_xlfn.IFS(AE16=0, "No Discount ", AE16&lt;=0.08,"Low Discount", AE16&lt;=0.16,"Medium Discount", AE16&gt;0.16, "High Discount")</f>
        <v xml:space="preserve">No Discount </v>
      </c>
      <c r="AG16" s="2">
        <v>179241</v>
      </c>
      <c r="AH16" s="2">
        <v>327.75</v>
      </c>
      <c r="AI16" s="2">
        <v>0.05</v>
      </c>
      <c r="AJ16" s="2" t="str" cm="1">
        <f t="array" ref="AJ16">_xlfn.IFS(AI16&lt;=0, "No Profit", AI16&lt;=0.16,"Low Profit",AI16&lt;=0.32,"Medium Profit",AI16&gt;0.32,"High Profit")</f>
        <v>Low Profit</v>
      </c>
      <c r="AK16" s="2">
        <v>1</v>
      </c>
      <c r="AL16" s="2">
        <v>327.75</v>
      </c>
      <c r="AM16" s="2">
        <v>327.75</v>
      </c>
      <c r="AN16" s="2">
        <v>16.39</v>
      </c>
      <c r="AO16" s="2" t="s">
        <v>95</v>
      </c>
      <c r="AP16" s="2" t="s">
        <v>196</v>
      </c>
      <c r="AQ16" s="2" t="s">
        <v>155</v>
      </c>
      <c r="AR16" s="2" t="s">
        <v>81</v>
      </c>
      <c r="AS16" s="2">
        <v>1360</v>
      </c>
      <c r="AT16" s="2">
        <v>73</v>
      </c>
      <c r="AU16" s="2" t="s">
        <v>82</v>
      </c>
      <c r="AV16" s="2">
        <v>327.75</v>
      </c>
      <c r="AW16" s="2">
        <v>0</v>
      </c>
      <c r="AX16" s="2" t="s">
        <v>204</v>
      </c>
      <c r="AY16" s="2" t="s">
        <v>148</v>
      </c>
      <c r="AZ16" s="4">
        <v>43113</v>
      </c>
      <c r="BA16" s="5">
        <v>0.32916666666666666</v>
      </c>
      <c r="BB16" s="2">
        <v>2018</v>
      </c>
      <c r="BC16" s="2" t="s">
        <v>84</v>
      </c>
      <c r="BD16" s="2">
        <v>13</v>
      </c>
      <c r="BE16" s="4">
        <v>43115</v>
      </c>
      <c r="BF16" s="5">
        <v>0.32916666666666666</v>
      </c>
      <c r="BG16" s="2" t="str" cm="1">
        <f t="array" ref="BG16">_xlfn.IFS(BF16&lt;TIMEVALUE("06:00"),"Night", BF16&gt;=TIMEVALUE("21:00"),"Night",BF16&gt;=TIMEVALUE("17:00"),"Evening",BF16&gt;=TIMEVALUE("12:00"),"Afternoon", BF16&gt;=TIMEVALUE("06:00"),"Morning")</f>
        <v>Morning</v>
      </c>
      <c r="BH16" s="2">
        <v>2018</v>
      </c>
      <c r="BI16" s="2" t="s">
        <v>84</v>
      </c>
      <c r="BJ16" s="2">
        <v>15</v>
      </c>
    </row>
    <row r="17" spans="1:62" x14ac:dyDescent="0.3">
      <c r="A17" s="2" t="s">
        <v>62</v>
      </c>
      <c r="B17" s="2">
        <v>2</v>
      </c>
      <c r="C17" s="2">
        <v>1</v>
      </c>
      <c r="D17" s="2">
        <v>-259.58</v>
      </c>
      <c r="E17" s="2">
        <v>324.47000000000003</v>
      </c>
      <c r="F17" s="2" t="s">
        <v>87</v>
      </c>
      <c r="G17" s="2" t="s">
        <v>88</v>
      </c>
      <c r="H17" s="2">
        <v>73</v>
      </c>
      <c r="I17" s="2" t="s">
        <v>65</v>
      </c>
      <c r="J17" s="2" t="s">
        <v>66</v>
      </c>
      <c r="K17" s="2" t="s">
        <v>67</v>
      </c>
      <c r="L17" s="2" t="s">
        <v>205</v>
      </c>
      <c r="M17" s="2">
        <v>19478</v>
      </c>
      <c r="N17" s="2" t="s">
        <v>206</v>
      </c>
      <c r="O17" s="2" t="s">
        <v>124</v>
      </c>
      <c r="P17" s="2" t="s">
        <v>71</v>
      </c>
      <c r="Q17" s="2" t="s">
        <v>207</v>
      </c>
      <c r="R17" s="2">
        <v>725</v>
      </c>
      <c r="S17" s="2">
        <v>2</v>
      </c>
      <c r="T17" s="2" t="s">
        <v>73</v>
      </c>
      <c r="U17" s="2">
        <v>18.284050000000001</v>
      </c>
      <c r="V17" s="2">
        <v>-66.037056000000007</v>
      </c>
      <c r="W17" s="2" t="s">
        <v>74</v>
      </c>
      <c r="X17" s="2" t="s">
        <v>194</v>
      </c>
      <c r="Y17" s="2" t="s">
        <v>93</v>
      </c>
      <c r="Z17" s="2">
        <v>19478</v>
      </c>
      <c r="AA17" s="2" t="s">
        <v>208</v>
      </c>
      <c r="AB17" s="2">
        <v>75925</v>
      </c>
      <c r="AC17" s="2">
        <v>1360</v>
      </c>
      <c r="AD17" s="2">
        <v>3.28</v>
      </c>
      <c r="AE17" s="2">
        <v>0.01</v>
      </c>
      <c r="AF17" s="2" t="str" cm="1">
        <f t="array" ref="AF17">_xlfn.IFS(AE17=0, "No Discount ", AE17&lt;=0.08,"Low Discount", AE17&lt;=0.16,"Medium Discount", AE17&gt;0.16, "High Discount")</f>
        <v>Low Discount</v>
      </c>
      <c r="AG17" s="2">
        <v>179240</v>
      </c>
      <c r="AH17" s="2">
        <v>327.75</v>
      </c>
      <c r="AI17" s="2">
        <v>-0.8</v>
      </c>
      <c r="AJ17" s="2" t="str" cm="1">
        <f t="array" ref="AJ17">_xlfn.IFS(AI17&lt;=0, "No Profit", AI17&lt;=0.16,"Low Profit",AI17&lt;=0.32,"Medium Profit",AI17&gt;0.32,"High Profit")</f>
        <v>No Profit</v>
      </c>
      <c r="AK17" s="2">
        <v>1</v>
      </c>
      <c r="AL17" s="2">
        <v>327.75</v>
      </c>
      <c r="AM17" s="2">
        <v>324.47000000000003</v>
      </c>
      <c r="AN17" s="2">
        <v>-259.58</v>
      </c>
      <c r="AO17" s="2" t="s">
        <v>95</v>
      </c>
      <c r="AP17" s="2" t="s">
        <v>196</v>
      </c>
      <c r="AQ17" s="2" t="s">
        <v>80</v>
      </c>
      <c r="AR17" s="2" t="s">
        <v>81</v>
      </c>
      <c r="AS17" s="2">
        <v>1360</v>
      </c>
      <c r="AT17" s="2">
        <v>73</v>
      </c>
      <c r="AU17" s="2" t="s">
        <v>82</v>
      </c>
      <c r="AV17" s="2">
        <v>327.75</v>
      </c>
      <c r="AW17" s="2">
        <v>0</v>
      </c>
      <c r="AX17" s="2" t="s">
        <v>209</v>
      </c>
      <c r="AY17" s="2" t="s">
        <v>148</v>
      </c>
      <c r="AZ17" s="4">
        <v>43113</v>
      </c>
      <c r="BA17" s="5">
        <v>0.31458333333333333</v>
      </c>
      <c r="BB17" s="2">
        <v>2018</v>
      </c>
      <c r="BC17" s="2" t="s">
        <v>84</v>
      </c>
      <c r="BD17" s="2">
        <v>13</v>
      </c>
      <c r="BE17" s="4">
        <v>43115</v>
      </c>
      <c r="BF17" s="5">
        <v>0.31458333333333333</v>
      </c>
      <c r="BG17" s="2" t="str" cm="1">
        <f t="array" ref="BG17">_xlfn.IFS(BF17&lt;TIMEVALUE("06:00"),"Night", BF17&gt;=TIMEVALUE("21:00"),"Night",BF17&gt;=TIMEVALUE("17:00"),"Evening",BF17&gt;=TIMEVALUE("12:00"),"Afternoon", BF17&gt;=TIMEVALUE("06:00"),"Morning")</f>
        <v>Morning</v>
      </c>
      <c r="BH17" s="2">
        <v>2018</v>
      </c>
      <c r="BI17" s="2" t="s">
        <v>84</v>
      </c>
      <c r="BJ17" s="2">
        <v>15</v>
      </c>
    </row>
    <row r="18" spans="1:62" x14ac:dyDescent="0.3">
      <c r="A18" s="2" t="s">
        <v>121</v>
      </c>
      <c r="B18" s="2">
        <v>5</v>
      </c>
      <c r="C18" s="2">
        <v>2</v>
      </c>
      <c r="D18" s="2">
        <v>-246.36</v>
      </c>
      <c r="E18" s="2">
        <v>321.2</v>
      </c>
      <c r="F18" s="2" t="s">
        <v>87</v>
      </c>
      <c r="G18" s="2" t="s">
        <v>88</v>
      </c>
      <c r="H18" s="2">
        <v>73</v>
      </c>
      <c r="I18" s="2" t="s">
        <v>65</v>
      </c>
      <c r="J18" s="2" t="s">
        <v>210</v>
      </c>
      <c r="K18" s="2" t="s">
        <v>67</v>
      </c>
      <c r="L18" s="2" t="s">
        <v>211</v>
      </c>
      <c r="M18" s="2">
        <v>19477</v>
      </c>
      <c r="N18" s="2" t="s">
        <v>212</v>
      </c>
      <c r="O18" s="2" t="s">
        <v>124</v>
      </c>
      <c r="P18" s="2" t="s">
        <v>71</v>
      </c>
      <c r="Q18" s="2" t="s">
        <v>213</v>
      </c>
      <c r="R18" s="2">
        <v>729</v>
      </c>
      <c r="S18" s="2">
        <v>2</v>
      </c>
      <c r="T18" s="2" t="s">
        <v>73</v>
      </c>
      <c r="U18" s="2">
        <v>18.395790099999999</v>
      </c>
      <c r="V18" s="2">
        <v>-65.872886699999995</v>
      </c>
      <c r="W18" s="2" t="s">
        <v>74</v>
      </c>
      <c r="X18" s="2" t="s">
        <v>214</v>
      </c>
      <c r="Y18" s="2" t="s">
        <v>215</v>
      </c>
      <c r="Z18" s="2">
        <v>19477</v>
      </c>
      <c r="AA18" s="2" t="s">
        <v>216</v>
      </c>
      <c r="AB18" s="2">
        <v>75924</v>
      </c>
      <c r="AC18" s="2">
        <v>1360</v>
      </c>
      <c r="AD18" s="2">
        <v>6.56</v>
      </c>
      <c r="AE18" s="2">
        <v>0.02</v>
      </c>
      <c r="AF18" s="2" t="str" cm="1">
        <f t="array" ref="AF18">_xlfn.IFS(AE18=0, "No Discount ", AE18&lt;=0.08,"Low Discount", AE18&lt;=0.16,"Medium Discount", AE18&gt;0.16, "High Discount")</f>
        <v>Low Discount</v>
      </c>
      <c r="AG18" s="2">
        <v>179239</v>
      </c>
      <c r="AH18" s="2">
        <v>327.75</v>
      </c>
      <c r="AI18" s="2">
        <v>-0.77</v>
      </c>
      <c r="AJ18" s="2" t="str" cm="1">
        <f t="array" ref="AJ18">_xlfn.IFS(AI18&lt;=0, "No Profit", AI18&lt;=0.16,"Low Profit",AI18&lt;=0.32,"Medium Profit",AI18&gt;0.32,"High Profit")</f>
        <v>No Profit</v>
      </c>
      <c r="AK18" s="2">
        <v>1</v>
      </c>
      <c r="AL18" s="2">
        <v>327.75</v>
      </c>
      <c r="AM18" s="2">
        <v>321.2</v>
      </c>
      <c r="AN18" s="2">
        <v>-246.36</v>
      </c>
      <c r="AO18" s="2" t="s">
        <v>145</v>
      </c>
      <c r="AP18" s="2" t="s">
        <v>214</v>
      </c>
      <c r="AQ18" s="2" t="s">
        <v>127</v>
      </c>
      <c r="AR18" s="2" t="s">
        <v>81</v>
      </c>
      <c r="AS18" s="2">
        <v>1360</v>
      </c>
      <c r="AT18" s="2">
        <v>73</v>
      </c>
      <c r="AU18" s="2" t="s">
        <v>82</v>
      </c>
      <c r="AV18" s="2">
        <v>327.75</v>
      </c>
      <c r="AW18" s="2">
        <v>0</v>
      </c>
      <c r="AX18" s="2" t="s">
        <v>217</v>
      </c>
      <c r="AY18" s="2" t="s">
        <v>162</v>
      </c>
      <c r="AZ18" s="4">
        <v>43113</v>
      </c>
      <c r="BA18" s="5">
        <v>0.3</v>
      </c>
      <c r="BB18" s="2">
        <v>2018</v>
      </c>
      <c r="BC18" s="2" t="s">
        <v>84</v>
      </c>
      <c r="BD18" s="2">
        <v>13</v>
      </c>
      <c r="BE18" s="4">
        <v>43118</v>
      </c>
      <c r="BF18" s="5">
        <v>0.3</v>
      </c>
      <c r="BG18" s="2" t="str" cm="1">
        <f t="array" ref="BG18">_xlfn.IFS(BF18&lt;TIMEVALUE("06:00"),"Night", BF18&gt;=TIMEVALUE("21:00"),"Night",BF18&gt;=TIMEVALUE("17:00"),"Evening",BF18&gt;=TIMEVALUE("12:00"),"Afternoon", BF18&gt;=TIMEVALUE("06:00"),"Morning")</f>
        <v>Morning</v>
      </c>
      <c r="BH18" s="2">
        <v>2018</v>
      </c>
      <c r="BI18" s="2" t="s">
        <v>84</v>
      </c>
      <c r="BJ18" s="2">
        <v>18</v>
      </c>
    </row>
    <row r="19" spans="1:62" x14ac:dyDescent="0.3">
      <c r="A19" s="2" t="s">
        <v>99</v>
      </c>
      <c r="B19" s="2">
        <v>2</v>
      </c>
      <c r="C19" s="2">
        <v>1</v>
      </c>
      <c r="D19" s="2">
        <v>23.84</v>
      </c>
      <c r="E19" s="2">
        <v>317.92</v>
      </c>
      <c r="F19" s="2" t="s">
        <v>87</v>
      </c>
      <c r="G19" s="2" t="s">
        <v>88</v>
      </c>
      <c r="H19" s="2">
        <v>73</v>
      </c>
      <c r="I19" s="2" t="s">
        <v>65</v>
      </c>
      <c r="J19" s="2" t="s">
        <v>218</v>
      </c>
      <c r="K19" s="2" t="s">
        <v>102</v>
      </c>
      <c r="L19" s="2" t="s">
        <v>219</v>
      </c>
      <c r="M19" s="2">
        <v>19476</v>
      </c>
      <c r="N19" s="2" t="s">
        <v>220</v>
      </c>
      <c r="O19" s="2" t="s">
        <v>124</v>
      </c>
      <c r="P19" s="2" t="s">
        <v>105</v>
      </c>
      <c r="Q19" s="2" t="s">
        <v>221</v>
      </c>
      <c r="R19" s="2">
        <v>90723</v>
      </c>
      <c r="S19" s="2">
        <v>2</v>
      </c>
      <c r="T19" s="2" t="s">
        <v>73</v>
      </c>
      <c r="U19" s="2">
        <v>33.898693100000003</v>
      </c>
      <c r="V19" s="2">
        <v>-118.1745605</v>
      </c>
      <c r="W19" s="2" t="s">
        <v>74</v>
      </c>
      <c r="X19" s="2" t="s">
        <v>222</v>
      </c>
      <c r="Y19" s="2" t="s">
        <v>93</v>
      </c>
      <c r="Z19" s="2">
        <v>19476</v>
      </c>
      <c r="AA19" s="2" t="s">
        <v>223</v>
      </c>
      <c r="AB19" s="2">
        <v>75923</v>
      </c>
      <c r="AC19" s="2">
        <v>1360</v>
      </c>
      <c r="AD19" s="2">
        <v>9.83</v>
      </c>
      <c r="AE19" s="2">
        <v>0.03</v>
      </c>
      <c r="AF19" s="2" t="str" cm="1">
        <f t="array" ref="AF19">_xlfn.IFS(AE19=0, "No Discount ", AE19&lt;=0.08,"Low Discount", AE19&lt;=0.16,"Medium Discount", AE19&gt;0.16, "High Discount")</f>
        <v>Low Discount</v>
      </c>
      <c r="AG19" s="2">
        <v>179238</v>
      </c>
      <c r="AH19" s="2">
        <v>327.75</v>
      </c>
      <c r="AI19" s="2">
        <v>0.08</v>
      </c>
      <c r="AJ19" s="2" t="str" cm="1">
        <f t="array" ref="AJ19">_xlfn.IFS(AI19&lt;=0, "No Profit", AI19&lt;=0.16,"Low Profit",AI19&lt;=0.32,"Medium Profit",AI19&gt;0.32,"High Profit")</f>
        <v>Low Profit</v>
      </c>
      <c r="AK19" s="2">
        <v>1</v>
      </c>
      <c r="AL19" s="2">
        <v>327.75</v>
      </c>
      <c r="AM19" s="2">
        <v>317.92</v>
      </c>
      <c r="AN19" s="2">
        <v>23.84</v>
      </c>
      <c r="AO19" s="2" t="s">
        <v>95</v>
      </c>
      <c r="AP19" s="2" t="s">
        <v>224</v>
      </c>
      <c r="AQ19" s="2" t="s">
        <v>108</v>
      </c>
      <c r="AR19" s="2" t="s">
        <v>81</v>
      </c>
      <c r="AS19" s="2">
        <v>1360</v>
      </c>
      <c r="AT19" s="2">
        <v>73</v>
      </c>
      <c r="AU19" s="2" t="s">
        <v>82</v>
      </c>
      <c r="AV19" s="2">
        <v>327.75</v>
      </c>
      <c r="AW19" s="2">
        <v>0</v>
      </c>
      <c r="AX19" s="2" t="s">
        <v>225</v>
      </c>
      <c r="AY19" s="2" t="s">
        <v>148</v>
      </c>
      <c r="AZ19" s="4">
        <v>43113</v>
      </c>
      <c r="BA19" s="5">
        <v>0.28541666666666665</v>
      </c>
      <c r="BB19" s="2">
        <v>2018</v>
      </c>
      <c r="BC19" s="2" t="s">
        <v>84</v>
      </c>
      <c r="BD19" s="2">
        <v>13</v>
      </c>
      <c r="BE19" s="4">
        <v>43115</v>
      </c>
      <c r="BF19" s="5">
        <v>0.28541666666666665</v>
      </c>
      <c r="BG19" s="2" t="str" cm="1">
        <f t="array" ref="BG19">_xlfn.IFS(BF19&lt;TIMEVALUE("06:00"),"Night", BF19&gt;=TIMEVALUE("21:00"),"Night",BF19&gt;=TIMEVALUE("17:00"),"Evening",BF19&gt;=TIMEVALUE("12:00"),"Afternoon", BF19&gt;=TIMEVALUE("06:00"),"Morning")</f>
        <v>Morning</v>
      </c>
      <c r="BH19" s="2">
        <v>2018</v>
      </c>
      <c r="BI19" s="2" t="s">
        <v>84</v>
      </c>
      <c r="BJ19" s="2">
        <v>15</v>
      </c>
    </row>
    <row r="20" spans="1:62" x14ac:dyDescent="0.3">
      <c r="A20" s="2" t="s">
        <v>62</v>
      </c>
      <c r="B20" s="2">
        <v>2</v>
      </c>
      <c r="C20" s="2">
        <v>1</v>
      </c>
      <c r="D20" s="2">
        <v>102.26</v>
      </c>
      <c r="E20" s="2">
        <v>314.64</v>
      </c>
      <c r="F20" s="2" t="s">
        <v>87</v>
      </c>
      <c r="G20" s="2" t="s">
        <v>88</v>
      </c>
      <c r="H20" s="2">
        <v>73</v>
      </c>
      <c r="I20" s="2" t="s">
        <v>65</v>
      </c>
      <c r="J20" s="2" t="s">
        <v>66</v>
      </c>
      <c r="K20" s="2" t="s">
        <v>67</v>
      </c>
      <c r="L20" s="2" t="s">
        <v>226</v>
      </c>
      <c r="M20" s="2">
        <v>19475</v>
      </c>
      <c r="N20" s="2" t="s">
        <v>227</v>
      </c>
      <c r="O20" s="2" t="s">
        <v>70</v>
      </c>
      <c r="P20" s="2" t="s">
        <v>71</v>
      </c>
      <c r="Q20" s="2" t="s">
        <v>228</v>
      </c>
      <c r="R20" s="2">
        <v>725</v>
      </c>
      <c r="S20" s="2">
        <v>2</v>
      </c>
      <c r="T20" s="2" t="s">
        <v>73</v>
      </c>
      <c r="U20" s="2">
        <v>18.233778000000001</v>
      </c>
      <c r="V20" s="2">
        <v>-66.037063599999996</v>
      </c>
      <c r="W20" s="2" t="s">
        <v>74</v>
      </c>
      <c r="X20" s="2" t="s">
        <v>222</v>
      </c>
      <c r="Y20" s="2" t="s">
        <v>93</v>
      </c>
      <c r="Z20" s="2">
        <v>19475</v>
      </c>
      <c r="AA20" s="2" t="s">
        <v>229</v>
      </c>
      <c r="AB20" s="2">
        <v>75922</v>
      </c>
      <c r="AC20" s="2">
        <v>1360</v>
      </c>
      <c r="AD20" s="2">
        <v>13.11</v>
      </c>
      <c r="AE20" s="2">
        <v>0.04</v>
      </c>
      <c r="AF20" s="2" t="str" cm="1">
        <f t="array" ref="AF20">_xlfn.IFS(AE20=0, "No Discount ", AE20&lt;=0.08,"Low Discount", AE20&lt;=0.16,"Medium Discount", AE20&gt;0.16, "High Discount")</f>
        <v>Low Discount</v>
      </c>
      <c r="AG20" s="2">
        <v>179237</v>
      </c>
      <c r="AH20" s="2">
        <v>327.75</v>
      </c>
      <c r="AI20" s="2">
        <v>0.33</v>
      </c>
      <c r="AJ20" s="2" t="str" cm="1">
        <f t="array" ref="AJ20">_xlfn.IFS(AI20&lt;=0, "No Profit", AI20&lt;=0.16,"Low Profit",AI20&lt;=0.32,"Medium Profit",AI20&gt;0.32,"High Profit")</f>
        <v>High Profit</v>
      </c>
      <c r="AK20" s="2">
        <v>1</v>
      </c>
      <c r="AL20" s="2">
        <v>327.75</v>
      </c>
      <c r="AM20" s="2">
        <v>314.64</v>
      </c>
      <c r="AN20" s="2">
        <v>102.26</v>
      </c>
      <c r="AO20" s="2" t="s">
        <v>95</v>
      </c>
      <c r="AP20" s="2" t="s">
        <v>224</v>
      </c>
      <c r="AQ20" s="2" t="s">
        <v>80</v>
      </c>
      <c r="AR20" s="2" t="s">
        <v>81</v>
      </c>
      <c r="AS20" s="2">
        <v>1360</v>
      </c>
      <c r="AT20" s="2">
        <v>73</v>
      </c>
      <c r="AU20" s="2" t="s">
        <v>82</v>
      </c>
      <c r="AV20" s="2">
        <v>327.75</v>
      </c>
      <c r="AW20" s="2">
        <v>0</v>
      </c>
      <c r="AX20" s="2" t="s">
        <v>230</v>
      </c>
      <c r="AY20" s="2" t="s">
        <v>148</v>
      </c>
      <c r="AZ20" s="4">
        <v>43113</v>
      </c>
      <c r="BA20" s="5">
        <v>0.27083333333333331</v>
      </c>
      <c r="BB20" s="2">
        <v>2018</v>
      </c>
      <c r="BC20" s="2" t="s">
        <v>84</v>
      </c>
      <c r="BD20" s="2">
        <v>13</v>
      </c>
      <c r="BE20" s="4">
        <v>43115</v>
      </c>
      <c r="BF20" s="5">
        <v>0.27083333333333331</v>
      </c>
      <c r="BG20" s="2" t="str" cm="1">
        <f t="array" ref="BG20">_xlfn.IFS(BF20&lt;TIMEVALUE("06:00"),"Night", BF20&gt;=TIMEVALUE("21:00"),"Night",BF20&gt;=TIMEVALUE("17:00"),"Evening",BF20&gt;=TIMEVALUE("12:00"),"Afternoon", BF20&gt;=TIMEVALUE("06:00"),"Morning")</f>
        <v>Morning</v>
      </c>
      <c r="BH20" s="2">
        <v>2018</v>
      </c>
      <c r="BI20" s="2" t="s">
        <v>84</v>
      </c>
      <c r="BJ20" s="2">
        <v>15</v>
      </c>
    </row>
    <row r="21" spans="1:62" x14ac:dyDescent="0.3">
      <c r="A21" s="2" t="s">
        <v>121</v>
      </c>
      <c r="B21" s="2">
        <v>0</v>
      </c>
      <c r="C21" s="2">
        <v>0</v>
      </c>
      <c r="D21" s="2">
        <v>87.18</v>
      </c>
      <c r="E21" s="2">
        <v>311.36</v>
      </c>
      <c r="F21" s="2" t="s">
        <v>100</v>
      </c>
      <c r="G21" s="2" t="s">
        <v>64</v>
      </c>
      <c r="H21" s="2">
        <v>73</v>
      </c>
      <c r="I21" s="2" t="s">
        <v>65</v>
      </c>
      <c r="J21" s="2" t="s">
        <v>231</v>
      </c>
      <c r="K21" s="2" t="s">
        <v>102</v>
      </c>
      <c r="L21" s="2" t="s">
        <v>232</v>
      </c>
      <c r="M21" s="2">
        <v>19474</v>
      </c>
      <c r="N21" s="2" t="s">
        <v>233</v>
      </c>
      <c r="O21" s="2" t="s">
        <v>70</v>
      </c>
      <c r="P21" s="2" t="s">
        <v>234</v>
      </c>
      <c r="Q21" s="2" t="s">
        <v>235</v>
      </c>
      <c r="R21" s="2">
        <v>60056</v>
      </c>
      <c r="S21" s="2">
        <v>2</v>
      </c>
      <c r="T21" s="2" t="s">
        <v>73</v>
      </c>
      <c r="U21" s="2">
        <v>42.048305499999998</v>
      </c>
      <c r="V21" s="2">
        <v>-87.961341899999994</v>
      </c>
      <c r="W21" s="2" t="s">
        <v>74</v>
      </c>
      <c r="X21" s="2" t="s">
        <v>222</v>
      </c>
      <c r="Y21" s="2" t="s">
        <v>93</v>
      </c>
      <c r="Z21" s="2">
        <v>19474</v>
      </c>
      <c r="AA21" s="2" t="s">
        <v>236</v>
      </c>
      <c r="AB21" s="2">
        <v>75921</v>
      </c>
      <c r="AC21" s="2">
        <v>1360</v>
      </c>
      <c r="AD21" s="2">
        <v>16.39</v>
      </c>
      <c r="AE21" s="2">
        <v>0.05</v>
      </c>
      <c r="AF21" s="2" t="str" cm="1">
        <f t="array" ref="AF21">_xlfn.IFS(AE21=0, "No Discount ", AE21&lt;=0.08,"Low Discount", AE21&lt;=0.16,"Medium Discount", AE21&gt;0.16, "High Discount")</f>
        <v>Low Discount</v>
      </c>
      <c r="AG21" s="2">
        <v>179236</v>
      </c>
      <c r="AH21" s="2">
        <v>327.75</v>
      </c>
      <c r="AI21" s="2">
        <v>0.28000000000000003</v>
      </c>
      <c r="AJ21" s="2" t="str" cm="1">
        <f t="array" ref="AJ21">_xlfn.IFS(AI21&lt;=0, "No Profit", AI21&lt;=0.16,"Low Profit",AI21&lt;=0.32,"Medium Profit",AI21&gt;0.32,"High Profit")</f>
        <v>Medium Profit</v>
      </c>
      <c r="AK21" s="2">
        <v>1</v>
      </c>
      <c r="AL21" s="2">
        <v>327.75</v>
      </c>
      <c r="AM21" s="2">
        <v>311.36</v>
      </c>
      <c r="AN21" s="2">
        <v>87.18</v>
      </c>
      <c r="AO21" s="2" t="s">
        <v>95</v>
      </c>
      <c r="AP21" s="2" t="s">
        <v>224</v>
      </c>
      <c r="AQ21" s="2" t="s">
        <v>127</v>
      </c>
      <c r="AR21" s="2" t="s">
        <v>81</v>
      </c>
      <c r="AS21" s="2">
        <v>1360</v>
      </c>
      <c r="AT21" s="2">
        <v>73</v>
      </c>
      <c r="AU21" s="2" t="s">
        <v>82</v>
      </c>
      <c r="AV21" s="2">
        <v>327.75</v>
      </c>
      <c r="AW21" s="2">
        <v>0</v>
      </c>
      <c r="AX21" s="2" t="s">
        <v>237</v>
      </c>
      <c r="AY21" s="2" t="s">
        <v>238</v>
      </c>
      <c r="AZ21" s="4">
        <v>43113</v>
      </c>
      <c r="BA21" s="5">
        <v>0.25624999999999998</v>
      </c>
      <c r="BB21" s="2">
        <v>2018</v>
      </c>
      <c r="BC21" s="2" t="s">
        <v>84</v>
      </c>
      <c r="BD21" s="2">
        <v>13</v>
      </c>
      <c r="BE21" s="4">
        <v>43113</v>
      </c>
      <c r="BF21" s="5">
        <v>0.75624999999999998</v>
      </c>
      <c r="BG21" s="2" t="str" cm="1">
        <f t="array" ref="BG21">_xlfn.IFS(BF21&lt;TIMEVALUE("06:00"),"Night", BF21&gt;=TIMEVALUE("21:00"),"Night",BF21&gt;=TIMEVALUE("17:00"),"Evening",BF21&gt;=TIMEVALUE("12:00"),"Afternoon", BF21&gt;=TIMEVALUE("06:00"),"Morning")</f>
        <v>Evening</v>
      </c>
      <c r="BH21" s="2">
        <v>2018</v>
      </c>
      <c r="BI21" s="2" t="s">
        <v>84</v>
      </c>
      <c r="BJ21" s="2">
        <v>13</v>
      </c>
    </row>
    <row r="22" spans="1:62" x14ac:dyDescent="0.3">
      <c r="A22" s="2" t="s">
        <v>86</v>
      </c>
      <c r="B22" s="2">
        <v>0</v>
      </c>
      <c r="C22" s="2">
        <v>0</v>
      </c>
      <c r="D22" s="2">
        <v>154.86000000000001</v>
      </c>
      <c r="E22" s="2">
        <v>309.72000000000003</v>
      </c>
      <c r="F22" s="2" t="s">
        <v>100</v>
      </c>
      <c r="G22" s="2" t="s">
        <v>64</v>
      </c>
      <c r="H22" s="2">
        <v>73</v>
      </c>
      <c r="I22" s="2" t="s">
        <v>65</v>
      </c>
      <c r="J22" s="2" t="s">
        <v>239</v>
      </c>
      <c r="K22" s="2" t="s">
        <v>102</v>
      </c>
      <c r="L22" s="2" t="s">
        <v>240</v>
      </c>
      <c r="M22" s="2">
        <v>19473</v>
      </c>
      <c r="N22" s="2" t="s">
        <v>241</v>
      </c>
      <c r="O22" s="2" t="s">
        <v>124</v>
      </c>
      <c r="P22" s="2" t="s">
        <v>105</v>
      </c>
      <c r="Q22" s="2" t="s">
        <v>242</v>
      </c>
      <c r="R22" s="2">
        <v>90813</v>
      </c>
      <c r="S22" s="2">
        <v>2</v>
      </c>
      <c r="T22" s="2" t="s">
        <v>73</v>
      </c>
      <c r="U22" s="2">
        <v>33.782451600000002</v>
      </c>
      <c r="V22" s="2">
        <v>-118.1922455</v>
      </c>
      <c r="W22" s="2" t="s">
        <v>74</v>
      </c>
      <c r="X22" s="2" t="s">
        <v>222</v>
      </c>
      <c r="Y22" s="2" t="s">
        <v>93</v>
      </c>
      <c r="Z22" s="2">
        <v>19473</v>
      </c>
      <c r="AA22" s="2" t="s">
        <v>243</v>
      </c>
      <c r="AB22" s="2">
        <v>75920</v>
      </c>
      <c r="AC22" s="2">
        <v>1360</v>
      </c>
      <c r="AD22" s="2">
        <v>18.03</v>
      </c>
      <c r="AE22" s="2">
        <v>0.06</v>
      </c>
      <c r="AF22" s="2" t="str" cm="1">
        <f t="array" ref="AF22">_xlfn.IFS(AE22=0, "No Discount ", AE22&lt;=0.08,"Low Discount", AE22&lt;=0.16,"Medium Discount", AE22&gt;0.16, "High Discount")</f>
        <v>Low Discount</v>
      </c>
      <c r="AG22" s="2">
        <v>179235</v>
      </c>
      <c r="AH22" s="2">
        <v>327.75</v>
      </c>
      <c r="AI22" s="2">
        <v>0.5</v>
      </c>
      <c r="AJ22" s="2" t="str" cm="1">
        <f t="array" ref="AJ22">_xlfn.IFS(AI22&lt;=0, "No Profit", AI22&lt;=0.16,"Low Profit",AI22&lt;=0.32,"Medium Profit",AI22&gt;0.32,"High Profit")</f>
        <v>High Profit</v>
      </c>
      <c r="AK22" s="2">
        <v>1</v>
      </c>
      <c r="AL22" s="2">
        <v>327.75</v>
      </c>
      <c r="AM22" s="2">
        <v>309.72000000000003</v>
      </c>
      <c r="AN22" s="2">
        <v>154.86000000000001</v>
      </c>
      <c r="AO22" s="2" t="s">
        <v>95</v>
      </c>
      <c r="AP22" s="2" t="s">
        <v>224</v>
      </c>
      <c r="AQ22" s="2" t="s">
        <v>155</v>
      </c>
      <c r="AR22" s="2" t="s">
        <v>81</v>
      </c>
      <c r="AS22" s="2">
        <v>1360</v>
      </c>
      <c r="AT22" s="2">
        <v>73</v>
      </c>
      <c r="AU22" s="2" t="s">
        <v>82</v>
      </c>
      <c r="AV22" s="2">
        <v>327.75</v>
      </c>
      <c r="AW22" s="2">
        <v>0</v>
      </c>
      <c r="AX22" s="2" t="s">
        <v>244</v>
      </c>
      <c r="AY22" s="2" t="s">
        <v>238</v>
      </c>
      <c r="AZ22" s="4">
        <v>43113</v>
      </c>
      <c r="BA22" s="5">
        <v>0.24166666666666667</v>
      </c>
      <c r="BB22" s="2">
        <v>2018</v>
      </c>
      <c r="BC22" s="2" t="s">
        <v>84</v>
      </c>
      <c r="BD22" s="2">
        <v>13</v>
      </c>
      <c r="BE22" s="4">
        <v>43113</v>
      </c>
      <c r="BF22" s="5">
        <v>0.7416666666666667</v>
      </c>
      <c r="BG22" s="2" t="str" cm="1">
        <f t="array" ref="BG22">_xlfn.IFS(BF22&lt;TIMEVALUE("06:00"),"Night", BF22&gt;=TIMEVALUE("21:00"),"Night",BF22&gt;=TIMEVALUE("17:00"),"Evening",BF22&gt;=TIMEVALUE("12:00"),"Afternoon", BF22&gt;=TIMEVALUE("06:00"),"Morning")</f>
        <v>Evening</v>
      </c>
      <c r="BH22" s="2">
        <v>2018</v>
      </c>
      <c r="BI22" s="2" t="s">
        <v>84</v>
      </c>
      <c r="BJ22" s="2">
        <v>13</v>
      </c>
    </row>
    <row r="23" spans="1:62" x14ac:dyDescent="0.3">
      <c r="A23" s="2" t="s">
        <v>86</v>
      </c>
      <c r="B23" s="2">
        <v>5</v>
      </c>
      <c r="C23" s="2">
        <v>4</v>
      </c>
      <c r="D23" s="2">
        <v>82.3</v>
      </c>
      <c r="E23" s="2">
        <v>304.81</v>
      </c>
      <c r="F23" s="2" t="s">
        <v>87</v>
      </c>
      <c r="G23" s="2" t="s">
        <v>88</v>
      </c>
      <c r="H23" s="2">
        <v>73</v>
      </c>
      <c r="I23" s="2" t="s">
        <v>65</v>
      </c>
      <c r="J23" s="2" t="s">
        <v>66</v>
      </c>
      <c r="K23" s="2" t="s">
        <v>67</v>
      </c>
      <c r="L23" s="2" t="s">
        <v>245</v>
      </c>
      <c r="M23" s="2">
        <v>19472</v>
      </c>
      <c r="N23" s="2" t="s">
        <v>246</v>
      </c>
      <c r="O23" s="2" t="s">
        <v>124</v>
      </c>
      <c r="P23" s="2" t="s">
        <v>71</v>
      </c>
      <c r="Q23" s="2" t="s">
        <v>247</v>
      </c>
      <c r="R23" s="2">
        <v>725</v>
      </c>
      <c r="S23" s="2">
        <v>2</v>
      </c>
      <c r="T23" s="2" t="s">
        <v>73</v>
      </c>
      <c r="U23" s="2">
        <v>18.283376700000002</v>
      </c>
      <c r="V23" s="2">
        <v>-66.037056000000007</v>
      </c>
      <c r="W23" s="2" t="s">
        <v>74</v>
      </c>
      <c r="X23" s="2" t="s">
        <v>222</v>
      </c>
      <c r="Y23" s="2" t="s">
        <v>93</v>
      </c>
      <c r="Z23" s="2">
        <v>19472</v>
      </c>
      <c r="AA23" s="2" t="s">
        <v>248</v>
      </c>
      <c r="AB23" s="2">
        <v>75919</v>
      </c>
      <c r="AC23" s="2">
        <v>1360</v>
      </c>
      <c r="AD23" s="2">
        <v>22.94</v>
      </c>
      <c r="AE23" s="2">
        <v>7.0000000000000007E-2</v>
      </c>
      <c r="AF23" s="2" t="str" cm="1">
        <f t="array" ref="AF23">_xlfn.IFS(AE23=0, "No Discount ", AE23&lt;=0.08,"Low Discount", AE23&lt;=0.16,"Medium Discount", AE23&gt;0.16, "High Discount")</f>
        <v>Low Discount</v>
      </c>
      <c r="AG23" s="2">
        <v>179234</v>
      </c>
      <c r="AH23" s="2">
        <v>327.75</v>
      </c>
      <c r="AI23" s="2">
        <v>0.27</v>
      </c>
      <c r="AJ23" s="2" t="str" cm="1">
        <f t="array" ref="AJ23">_xlfn.IFS(AI23&lt;=0, "No Profit", AI23&lt;=0.16,"Low Profit",AI23&lt;=0.32,"Medium Profit",AI23&gt;0.32,"High Profit")</f>
        <v>Medium Profit</v>
      </c>
      <c r="AK23" s="2">
        <v>1</v>
      </c>
      <c r="AL23" s="2">
        <v>327.75</v>
      </c>
      <c r="AM23" s="2">
        <v>304.81</v>
      </c>
      <c r="AN23" s="2">
        <v>82.3</v>
      </c>
      <c r="AO23" s="2" t="s">
        <v>95</v>
      </c>
      <c r="AP23" s="2" t="s">
        <v>224</v>
      </c>
      <c r="AQ23" s="2" t="s">
        <v>97</v>
      </c>
      <c r="AR23" s="2" t="s">
        <v>81</v>
      </c>
      <c r="AS23" s="2">
        <v>1360</v>
      </c>
      <c r="AT23" s="2">
        <v>73</v>
      </c>
      <c r="AU23" s="2" t="s">
        <v>82</v>
      </c>
      <c r="AV23" s="2">
        <v>327.75</v>
      </c>
      <c r="AW23" s="2">
        <v>0</v>
      </c>
      <c r="AX23" s="2" t="s">
        <v>249</v>
      </c>
      <c r="AY23" s="2" t="s">
        <v>83</v>
      </c>
      <c r="AZ23" s="4">
        <v>43113</v>
      </c>
      <c r="BA23" s="5">
        <v>0.22708333333333333</v>
      </c>
      <c r="BB23" s="2">
        <v>2018</v>
      </c>
      <c r="BC23" s="2" t="s">
        <v>84</v>
      </c>
      <c r="BD23" s="2">
        <v>13</v>
      </c>
      <c r="BE23" s="4">
        <v>43118</v>
      </c>
      <c r="BF23" s="5">
        <v>0.22708333333333333</v>
      </c>
      <c r="BG23" s="2" t="str" cm="1">
        <f t="array" ref="BG23">_xlfn.IFS(BF23&lt;TIMEVALUE("06:00"),"Night", BF23&gt;=TIMEVALUE("21:00"),"Night",BF23&gt;=TIMEVALUE("17:00"),"Evening",BF23&gt;=TIMEVALUE("12:00"),"Afternoon", BF23&gt;=TIMEVALUE("06:00"),"Morning")</f>
        <v>Night</v>
      </c>
      <c r="BH23" s="2">
        <v>2018</v>
      </c>
      <c r="BI23" s="2" t="s">
        <v>84</v>
      </c>
      <c r="BJ23" s="2">
        <v>18</v>
      </c>
    </row>
    <row r="24" spans="1:62" x14ac:dyDescent="0.3">
      <c r="A24" s="2" t="s">
        <v>86</v>
      </c>
      <c r="B24" s="2">
        <v>4</v>
      </c>
      <c r="C24" s="2">
        <v>2</v>
      </c>
      <c r="D24" s="2">
        <v>22.37</v>
      </c>
      <c r="E24" s="2">
        <v>298.25</v>
      </c>
      <c r="F24" s="2" t="s">
        <v>87</v>
      </c>
      <c r="G24" s="2" t="s">
        <v>88</v>
      </c>
      <c r="H24" s="2">
        <v>73</v>
      </c>
      <c r="I24" s="2" t="s">
        <v>65</v>
      </c>
      <c r="J24" s="2" t="s">
        <v>250</v>
      </c>
      <c r="K24" s="2" t="s">
        <v>102</v>
      </c>
      <c r="L24" s="2" t="s">
        <v>251</v>
      </c>
      <c r="M24" s="2">
        <v>19471</v>
      </c>
      <c r="N24" s="2" t="s">
        <v>220</v>
      </c>
      <c r="O24" s="2" t="s">
        <v>124</v>
      </c>
      <c r="P24" s="2" t="s">
        <v>105</v>
      </c>
      <c r="Q24" s="2" t="s">
        <v>252</v>
      </c>
      <c r="R24" s="2">
        <v>95670</v>
      </c>
      <c r="S24" s="2">
        <v>2</v>
      </c>
      <c r="T24" s="2" t="s">
        <v>73</v>
      </c>
      <c r="U24" s="2">
        <v>38.611774500000003</v>
      </c>
      <c r="V24" s="2">
        <v>-121.2828674</v>
      </c>
      <c r="W24" s="2" t="s">
        <v>74</v>
      </c>
      <c r="X24" s="2" t="s">
        <v>253</v>
      </c>
      <c r="Y24" s="2" t="s">
        <v>116</v>
      </c>
      <c r="Z24" s="2">
        <v>19471</v>
      </c>
      <c r="AA24" s="2" t="s">
        <v>254</v>
      </c>
      <c r="AB24" s="2">
        <v>75918</v>
      </c>
      <c r="AC24" s="2">
        <v>1360</v>
      </c>
      <c r="AD24" s="2">
        <v>29.5</v>
      </c>
      <c r="AE24" s="2">
        <v>0.09</v>
      </c>
      <c r="AF24" s="2" t="str" cm="1">
        <f t="array" ref="AF24">_xlfn.IFS(AE24=0, "No Discount ", AE24&lt;=0.08,"Low Discount", AE24&lt;=0.16,"Medium Discount", AE24&gt;0.16, "High Discount")</f>
        <v>Medium Discount</v>
      </c>
      <c r="AG24" s="2">
        <v>179233</v>
      </c>
      <c r="AH24" s="2">
        <v>327.75</v>
      </c>
      <c r="AI24" s="2">
        <v>0.08</v>
      </c>
      <c r="AJ24" s="2" t="str" cm="1">
        <f t="array" ref="AJ24">_xlfn.IFS(AI24&lt;=0, "No Profit", AI24&lt;=0.16,"Low Profit",AI24&lt;=0.32,"Medium Profit",AI24&gt;0.32,"High Profit")</f>
        <v>Low Profit</v>
      </c>
      <c r="AK24" s="2">
        <v>1</v>
      </c>
      <c r="AL24" s="2">
        <v>327.75</v>
      </c>
      <c r="AM24" s="2">
        <v>298.25</v>
      </c>
      <c r="AN24" s="2">
        <v>22.37</v>
      </c>
      <c r="AO24" s="2" t="s">
        <v>118</v>
      </c>
      <c r="AP24" s="2" t="s">
        <v>255</v>
      </c>
      <c r="AQ24" s="2" t="s">
        <v>97</v>
      </c>
      <c r="AR24" s="2" t="s">
        <v>81</v>
      </c>
      <c r="AS24" s="2">
        <v>1360</v>
      </c>
      <c r="AT24" s="2">
        <v>73</v>
      </c>
      <c r="AU24" s="2" t="s">
        <v>82</v>
      </c>
      <c r="AV24" s="2">
        <v>327.75</v>
      </c>
      <c r="AW24" s="2">
        <v>0</v>
      </c>
      <c r="AX24" s="2" t="s">
        <v>256</v>
      </c>
      <c r="AY24" s="2" t="s">
        <v>162</v>
      </c>
      <c r="AZ24" s="4">
        <v>43113</v>
      </c>
      <c r="BA24" s="5">
        <v>0.21249999999999999</v>
      </c>
      <c r="BB24" s="2">
        <v>2018</v>
      </c>
      <c r="BC24" s="2" t="s">
        <v>84</v>
      </c>
      <c r="BD24" s="2">
        <v>13</v>
      </c>
      <c r="BE24" s="4">
        <v>43117</v>
      </c>
      <c r="BF24" s="5">
        <v>0.21249999999999999</v>
      </c>
      <c r="BG24" s="2" t="str" cm="1">
        <f t="array" ref="BG24">_xlfn.IFS(BF24&lt;TIMEVALUE("06:00"),"Night", BF24&gt;=TIMEVALUE("21:00"),"Night",BF24&gt;=TIMEVALUE("17:00"),"Evening",BF24&gt;=TIMEVALUE("12:00"),"Afternoon", BF24&gt;=TIMEVALUE("06:00"),"Morning")</f>
        <v>Night</v>
      </c>
      <c r="BH24" s="2">
        <v>2018</v>
      </c>
      <c r="BI24" s="2" t="s">
        <v>84</v>
      </c>
      <c r="BJ24" s="2">
        <v>17</v>
      </c>
    </row>
    <row r="25" spans="1:62" x14ac:dyDescent="0.3">
      <c r="A25" s="2" t="s">
        <v>86</v>
      </c>
      <c r="B25" s="2">
        <v>3</v>
      </c>
      <c r="C25" s="2">
        <v>2</v>
      </c>
      <c r="D25" s="2">
        <v>17.7</v>
      </c>
      <c r="E25" s="2">
        <v>294.98</v>
      </c>
      <c r="F25" s="2" t="s">
        <v>129</v>
      </c>
      <c r="G25" s="2" t="s">
        <v>64</v>
      </c>
      <c r="H25" s="2">
        <v>73</v>
      </c>
      <c r="I25" s="2" t="s">
        <v>65</v>
      </c>
      <c r="J25" s="2" t="s">
        <v>66</v>
      </c>
      <c r="K25" s="2" t="s">
        <v>67</v>
      </c>
      <c r="L25" s="2" t="s">
        <v>257</v>
      </c>
      <c r="M25" s="2">
        <v>19470</v>
      </c>
      <c r="N25" s="2" t="s">
        <v>258</v>
      </c>
      <c r="O25" s="2" t="s">
        <v>124</v>
      </c>
      <c r="P25" s="2" t="s">
        <v>71</v>
      </c>
      <c r="Q25" s="2" t="s">
        <v>259</v>
      </c>
      <c r="R25" s="2">
        <v>725</v>
      </c>
      <c r="S25" s="2">
        <v>2</v>
      </c>
      <c r="T25" s="2" t="s">
        <v>73</v>
      </c>
      <c r="U25" s="2">
        <v>18.207336399999999</v>
      </c>
      <c r="V25" s="2">
        <v>-66.037056000000007</v>
      </c>
      <c r="W25" s="2" t="s">
        <v>74</v>
      </c>
      <c r="X25" s="2" t="s">
        <v>253</v>
      </c>
      <c r="Y25" s="2" t="s">
        <v>116</v>
      </c>
      <c r="Z25" s="2">
        <v>19470</v>
      </c>
      <c r="AA25" s="2" t="s">
        <v>260</v>
      </c>
      <c r="AB25" s="2">
        <v>75917</v>
      </c>
      <c r="AC25" s="2">
        <v>1360</v>
      </c>
      <c r="AD25" s="2">
        <v>32.78</v>
      </c>
      <c r="AE25" s="2">
        <v>0.1</v>
      </c>
      <c r="AF25" s="2" t="str" cm="1">
        <f t="array" ref="AF25">_xlfn.IFS(AE25=0, "No Discount ", AE25&lt;=0.08,"Low Discount", AE25&lt;=0.16,"Medium Discount", AE25&gt;0.16, "High Discount")</f>
        <v>Medium Discount</v>
      </c>
      <c r="AG25" s="2">
        <v>179232</v>
      </c>
      <c r="AH25" s="2">
        <v>327.75</v>
      </c>
      <c r="AI25" s="2">
        <v>0.06</v>
      </c>
      <c r="AJ25" s="2" t="str" cm="1">
        <f t="array" ref="AJ25">_xlfn.IFS(AI25&lt;=0, "No Profit", AI25&lt;=0.16,"Low Profit",AI25&lt;=0.32,"Medium Profit",AI25&gt;0.32,"High Profit")</f>
        <v>Low Profit</v>
      </c>
      <c r="AK25" s="2">
        <v>1</v>
      </c>
      <c r="AL25" s="2">
        <v>327.75</v>
      </c>
      <c r="AM25" s="2">
        <v>294.98</v>
      </c>
      <c r="AN25" s="2">
        <v>17.7</v>
      </c>
      <c r="AO25" s="2" t="s">
        <v>118</v>
      </c>
      <c r="AP25" s="2" t="s">
        <v>255</v>
      </c>
      <c r="AQ25" s="2" t="s">
        <v>137</v>
      </c>
      <c r="AR25" s="2" t="s">
        <v>81</v>
      </c>
      <c r="AS25" s="2">
        <v>1360</v>
      </c>
      <c r="AT25" s="2">
        <v>73</v>
      </c>
      <c r="AU25" s="2" t="s">
        <v>82</v>
      </c>
      <c r="AV25" s="2">
        <v>327.75</v>
      </c>
      <c r="AW25" s="2">
        <v>0</v>
      </c>
      <c r="AX25" s="2" t="s">
        <v>261</v>
      </c>
      <c r="AY25" s="2" t="s">
        <v>162</v>
      </c>
      <c r="AZ25" s="4">
        <v>43113</v>
      </c>
      <c r="BA25" s="5">
        <v>0.19791666666666666</v>
      </c>
      <c r="BB25" s="2">
        <v>2018</v>
      </c>
      <c r="BC25" s="2" t="s">
        <v>84</v>
      </c>
      <c r="BD25" s="2">
        <v>13</v>
      </c>
      <c r="BE25" s="4">
        <v>43116</v>
      </c>
      <c r="BF25" s="5">
        <v>0.19791666666666666</v>
      </c>
      <c r="BG25" s="2" t="str" cm="1">
        <f t="array" ref="BG25">_xlfn.IFS(BF25&lt;TIMEVALUE("06:00"),"Night", BF25&gt;=TIMEVALUE("21:00"),"Night",BF25&gt;=TIMEVALUE("17:00"),"Evening",BF25&gt;=TIMEVALUE("12:00"),"Afternoon", BF25&gt;=TIMEVALUE("06:00"),"Morning")</f>
        <v>Night</v>
      </c>
      <c r="BH25" s="2">
        <v>2018</v>
      </c>
      <c r="BI25" s="2" t="s">
        <v>84</v>
      </c>
      <c r="BJ25" s="2">
        <v>16</v>
      </c>
    </row>
    <row r="26" spans="1:62" x14ac:dyDescent="0.3">
      <c r="A26" s="2" t="s">
        <v>86</v>
      </c>
      <c r="B26" s="2">
        <v>2</v>
      </c>
      <c r="C26" s="2">
        <v>2</v>
      </c>
      <c r="D26" s="2">
        <v>90.28</v>
      </c>
      <c r="E26" s="2">
        <v>288.42</v>
      </c>
      <c r="F26" s="2" t="s">
        <v>129</v>
      </c>
      <c r="G26" s="2" t="s">
        <v>64</v>
      </c>
      <c r="H26" s="2">
        <v>73</v>
      </c>
      <c r="I26" s="2" t="s">
        <v>65</v>
      </c>
      <c r="J26" s="2" t="s">
        <v>262</v>
      </c>
      <c r="K26" s="2" t="s">
        <v>102</v>
      </c>
      <c r="L26" s="2" t="s">
        <v>263</v>
      </c>
      <c r="M26" s="2">
        <v>19469</v>
      </c>
      <c r="N26" s="2" t="s">
        <v>264</v>
      </c>
      <c r="O26" s="2" t="s">
        <v>124</v>
      </c>
      <c r="P26" s="2" t="s">
        <v>265</v>
      </c>
      <c r="Q26" s="2" t="s">
        <v>266</v>
      </c>
      <c r="R26" s="2">
        <v>59102</v>
      </c>
      <c r="S26" s="2">
        <v>2</v>
      </c>
      <c r="T26" s="2" t="s">
        <v>73</v>
      </c>
      <c r="U26" s="2">
        <v>45.788311</v>
      </c>
      <c r="V26" s="2">
        <v>-108.55941009999999</v>
      </c>
      <c r="W26" s="2" t="s">
        <v>74</v>
      </c>
      <c r="X26" s="2" t="s">
        <v>267</v>
      </c>
      <c r="Y26" s="2" t="s">
        <v>116</v>
      </c>
      <c r="Z26" s="2">
        <v>19469</v>
      </c>
      <c r="AA26" s="2" t="s">
        <v>268</v>
      </c>
      <c r="AB26" s="2">
        <v>75916</v>
      </c>
      <c r="AC26" s="2">
        <v>1360</v>
      </c>
      <c r="AD26" s="2">
        <v>39.33</v>
      </c>
      <c r="AE26" s="2">
        <v>0.12</v>
      </c>
      <c r="AF26" s="2" t="str" cm="1">
        <f t="array" ref="AF26">_xlfn.IFS(AE26=0, "No Discount ", AE26&lt;=0.08,"Low Discount", AE26&lt;=0.16,"Medium Discount", AE26&gt;0.16, "High Discount")</f>
        <v>Medium Discount</v>
      </c>
      <c r="AG26" s="2">
        <v>179231</v>
      </c>
      <c r="AH26" s="2">
        <v>327.75</v>
      </c>
      <c r="AI26" s="2">
        <v>0.31</v>
      </c>
      <c r="AJ26" s="2" t="str" cm="1">
        <f t="array" ref="AJ26">_xlfn.IFS(AI26&lt;=0, "No Profit", AI26&lt;=0.16,"Low Profit",AI26&lt;=0.32,"Medium Profit",AI26&gt;0.32,"High Profit")</f>
        <v>Medium Profit</v>
      </c>
      <c r="AK26" s="2">
        <v>1</v>
      </c>
      <c r="AL26" s="2">
        <v>327.75</v>
      </c>
      <c r="AM26" s="2">
        <v>288.42</v>
      </c>
      <c r="AN26" s="2">
        <v>90.28</v>
      </c>
      <c r="AO26" s="2" t="s">
        <v>118</v>
      </c>
      <c r="AP26" s="2" t="s">
        <v>119</v>
      </c>
      <c r="AQ26" s="2" t="s">
        <v>175</v>
      </c>
      <c r="AR26" s="2" t="s">
        <v>81</v>
      </c>
      <c r="AS26" s="2">
        <v>1360</v>
      </c>
      <c r="AT26" s="2">
        <v>73</v>
      </c>
      <c r="AU26" s="2" t="s">
        <v>82</v>
      </c>
      <c r="AV26" s="2">
        <v>327.75</v>
      </c>
      <c r="AW26" s="2">
        <v>0</v>
      </c>
      <c r="AX26" s="2" t="s">
        <v>269</v>
      </c>
      <c r="AY26" s="2" t="s">
        <v>162</v>
      </c>
      <c r="AZ26" s="4">
        <v>43113</v>
      </c>
      <c r="BA26" s="5">
        <v>0.18333333333333332</v>
      </c>
      <c r="BB26" s="2">
        <v>2018</v>
      </c>
      <c r="BC26" s="2" t="s">
        <v>84</v>
      </c>
      <c r="BD26" s="2">
        <v>13</v>
      </c>
      <c r="BE26" s="4">
        <v>43115</v>
      </c>
      <c r="BF26" s="5">
        <v>0.18333333333333332</v>
      </c>
      <c r="BG26" s="2" t="str" cm="1">
        <f t="array" ref="BG26">_xlfn.IFS(BF26&lt;TIMEVALUE("06:00"),"Night", BF26&gt;=TIMEVALUE("21:00"),"Night",BF26&gt;=TIMEVALUE("17:00"),"Evening",BF26&gt;=TIMEVALUE("12:00"),"Afternoon", BF26&gt;=TIMEVALUE("06:00"),"Morning")</f>
        <v>Night</v>
      </c>
      <c r="BH26" s="2">
        <v>2018</v>
      </c>
      <c r="BI26" s="2" t="s">
        <v>84</v>
      </c>
      <c r="BJ26" s="2">
        <v>15</v>
      </c>
    </row>
    <row r="27" spans="1:62" x14ac:dyDescent="0.3">
      <c r="A27" s="2" t="s">
        <v>62</v>
      </c>
      <c r="B27" s="2">
        <v>6</v>
      </c>
      <c r="C27" s="2">
        <v>2</v>
      </c>
      <c r="D27" s="2">
        <v>131.16999999999999</v>
      </c>
      <c r="E27" s="2">
        <v>285.14</v>
      </c>
      <c r="F27" s="2" t="s">
        <v>87</v>
      </c>
      <c r="G27" s="2" t="s">
        <v>88</v>
      </c>
      <c r="H27" s="2">
        <v>73</v>
      </c>
      <c r="I27" s="2" t="s">
        <v>65</v>
      </c>
      <c r="J27" s="2" t="s">
        <v>66</v>
      </c>
      <c r="K27" s="2" t="s">
        <v>67</v>
      </c>
      <c r="L27" s="2" t="s">
        <v>270</v>
      </c>
      <c r="M27" s="2">
        <v>19468</v>
      </c>
      <c r="N27" s="2" t="s">
        <v>271</v>
      </c>
      <c r="O27" s="2" t="s">
        <v>124</v>
      </c>
      <c r="P27" s="2" t="s">
        <v>71</v>
      </c>
      <c r="Q27" s="2" t="s">
        <v>272</v>
      </c>
      <c r="R27" s="2">
        <v>725</v>
      </c>
      <c r="S27" s="2">
        <v>2</v>
      </c>
      <c r="T27" s="2" t="s">
        <v>73</v>
      </c>
      <c r="U27" s="2">
        <v>18.261632899999999</v>
      </c>
      <c r="V27" s="2">
        <v>-66.037056000000007</v>
      </c>
      <c r="W27" s="2" t="s">
        <v>74</v>
      </c>
      <c r="X27" s="2" t="s">
        <v>273</v>
      </c>
      <c r="Y27" s="2" t="s">
        <v>116</v>
      </c>
      <c r="Z27" s="2">
        <v>19468</v>
      </c>
      <c r="AA27" s="2" t="s">
        <v>274</v>
      </c>
      <c r="AB27" s="2">
        <v>75915</v>
      </c>
      <c r="AC27" s="2">
        <v>1360</v>
      </c>
      <c r="AD27" s="2">
        <v>42.61</v>
      </c>
      <c r="AE27" s="2">
        <v>0.13</v>
      </c>
      <c r="AF27" s="2" t="str" cm="1">
        <f t="array" ref="AF27">_xlfn.IFS(AE27=0, "No Discount ", AE27&lt;=0.08,"Low Discount", AE27&lt;=0.16,"Medium Discount", AE27&gt;0.16, "High Discount")</f>
        <v>Medium Discount</v>
      </c>
      <c r="AG27" s="2">
        <v>179230</v>
      </c>
      <c r="AH27" s="2">
        <v>327.75</v>
      </c>
      <c r="AI27" s="2">
        <v>0.46</v>
      </c>
      <c r="AJ27" s="2" t="str" cm="1">
        <f t="array" ref="AJ27">_xlfn.IFS(AI27&lt;=0, "No Profit", AI27&lt;=0.16,"Low Profit",AI27&lt;=0.32,"Medium Profit",AI27&gt;0.32,"High Profit")</f>
        <v>High Profit</v>
      </c>
      <c r="AK27" s="2">
        <v>1</v>
      </c>
      <c r="AL27" s="2">
        <v>327.75</v>
      </c>
      <c r="AM27" s="2">
        <v>285.14</v>
      </c>
      <c r="AN27" s="2">
        <v>131.16999999999999</v>
      </c>
      <c r="AO27" s="2" t="s">
        <v>118</v>
      </c>
      <c r="AP27" s="2" t="s">
        <v>275</v>
      </c>
      <c r="AQ27" s="2" t="s">
        <v>80</v>
      </c>
      <c r="AR27" s="2" t="s">
        <v>81</v>
      </c>
      <c r="AS27" s="2">
        <v>1360</v>
      </c>
      <c r="AT27" s="2">
        <v>73</v>
      </c>
      <c r="AU27" s="2" t="s">
        <v>82</v>
      </c>
      <c r="AV27" s="2">
        <v>327.75</v>
      </c>
      <c r="AW27" s="2">
        <v>0</v>
      </c>
      <c r="AX27" s="2" t="s">
        <v>276</v>
      </c>
      <c r="AY27" s="2" t="s">
        <v>162</v>
      </c>
      <c r="AZ27" s="4">
        <v>43113</v>
      </c>
      <c r="BA27" s="5">
        <v>0.16875000000000001</v>
      </c>
      <c r="BB27" s="2">
        <v>2018</v>
      </c>
      <c r="BC27" s="2" t="s">
        <v>84</v>
      </c>
      <c r="BD27" s="2">
        <v>13</v>
      </c>
      <c r="BE27" s="4">
        <v>43119</v>
      </c>
      <c r="BF27" s="5">
        <v>0.16875000000000001</v>
      </c>
      <c r="BG27" s="2" t="str" cm="1">
        <f t="array" ref="BG27">_xlfn.IFS(BF27&lt;TIMEVALUE("06:00"),"Night", BF27&gt;=TIMEVALUE("21:00"),"Night",BF27&gt;=TIMEVALUE("17:00"),"Evening",BF27&gt;=TIMEVALUE("12:00"),"Afternoon", BF27&gt;=TIMEVALUE("06:00"),"Morning")</f>
        <v>Night</v>
      </c>
      <c r="BH27" s="2">
        <v>2018</v>
      </c>
      <c r="BI27" s="2" t="s">
        <v>84</v>
      </c>
      <c r="BJ27" s="2">
        <v>19</v>
      </c>
    </row>
    <row r="28" spans="1:62" x14ac:dyDescent="0.3">
      <c r="A28" s="2" t="s">
        <v>86</v>
      </c>
      <c r="B28" s="2">
        <v>5</v>
      </c>
      <c r="C28" s="2">
        <v>2</v>
      </c>
      <c r="D28" s="2">
        <v>90.54</v>
      </c>
      <c r="E28" s="2">
        <v>278.58999999999997</v>
      </c>
      <c r="F28" s="2" t="s">
        <v>87</v>
      </c>
      <c r="G28" s="2" t="s">
        <v>88</v>
      </c>
      <c r="H28" s="2">
        <v>73</v>
      </c>
      <c r="I28" s="2" t="s">
        <v>65</v>
      </c>
      <c r="J28" s="2" t="s">
        <v>277</v>
      </c>
      <c r="K28" s="2" t="s">
        <v>102</v>
      </c>
      <c r="L28" s="2" t="s">
        <v>278</v>
      </c>
      <c r="M28" s="2">
        <v>19467</v>
      </c>
      <c r="N28" s="2" t="s">
        <v>279</v>
      </c>
      <c r="O28" s="2" t="s">
        <v>70</v>
      </c>
      <c r="P28" s="2" t="s">
        <v>280</v>
      </c>
      <c r="Q28" s="2" t="s">
        <v>281</v>
      </c>
      <c r="R28" s="2">
        <v>18702</v>
      </c>
      <c r="S28" s="2">
        <v>2</v>
      </c>
      <c r="T28" s="2" t="s">
        <v>73</v>
      </c>
      <c r="U28" s="2">
        <v>41.235454599999997</v>
      </c>
      <c r="V28" s="2">
        <v>-75.869857800000005</v>
      </c>
      <c r="W28" s="2" t="s">
        <v>74</v>
      </c>
      <c r="X28" s="2" t="s">
        <v>273</v>
      </c>
      <c r="Y28" s="2" t="s">
        <v>116</v>
      </c>
      <c r="Z28" s="2">
        <v>19467</v>
      </c>
      <c r="AA28" s="2" t="s">
        <v>282</v>
      </c>
      <c r="AB28" s="2">
        <v>75914</v>
      </c>
      <c r="AC28" s="2">
        <v>1360</v>
      </c>
      <c r="AD28" s="2">
        <v>49.16</v>
      </c>
      <c r="AE28" s="2">
        <v>0.15</v>
      </c>
      <c r="AF28" s="2" t="str" cm="1">
        <f t="array" ref="AF28">_xlfn.IFS(AE28=0, "No Discount ", AE28&lt;=0.08,"Low Discount", AE28&lt;=0.16,"Medium Discount", AE28&gt;0.16, "High Discount")</f>
        <v>Medium Discount</v>
      </c>
      <c r="AG28" s="2">
        <v>179229</v>
      </c>
      <c r="AH28" s="2">
        <v>327.75</v>
      </c>
      <c r="AI28" s="2">
        <v>0.33</v>
      </c>
      <c r="AJ28" s="2" t="str" cm="1">
        <f t="array" ref="AJ28">_xlfn.IFS(AI28&lt;=0, "No Profit", AI28&lt;=0.16,"Low Profit",AI28&lt;=0.32,"Medium Profit",AI28&gt;0.32,"High Profit")</f>
        <v>High Profit</v>
      </c>
      <c r="AK28" s="2">
        <v>1</v>
      </c>
      <c r="AL28" s="2">
        <v>327.75</v>
      </c>
      <c r="AM28" s="2">
        <v>278.58999999999997</v>
      </c>
      <c r="AN28" s="2">
        <v>90.54</v>
      </c>
      <c r="AO28" s="2" t="s">
        <v>118</v>
      </c>
      <c r="AP28" s="2" t="s">
        <v>275</v>
      </c>
      <c r="AQ28" s="2" t="s">
        <v>97</v>
      </c>
      <c r="AR28" s="2" t="s">
        <v>81</v>
      </c>
      <c r="AS28" s="2">
        <v>1360</v>
      </c>
      <c r="AT28" s="2">
        <v>73</v>
      </c>
      <c r="AU28" s="2" t="s">
        <v>82</v>
      </c>
      <c r="AV28" s="2">
        <v>327.75</v>
      </c>
      <c r="AW28" s="2">
        <v>0</v>
      </c>
      <c r="AX28" s="2" t="s">
        <v>283</v>
      </c>
      <c r="AY28" s="2" t="s">
        <v>162</v>
      </c>
      <c r="AZ28" s="4">
        <v>43113</v>
      </c>
      <c r="BA28" s="5">
        <v>0.15416666666666667</v>
      </c>
      <c r="BB28" s="2">
        <v>2018</v>
      </c>
      <c r="BC28" s="2" t="s">
        <v>84</v>
      </c>
      <c r="BD28" s="2">
        <v>13</v>
      </c>
      <c r="BE28" s="4">
        <v>43118</v>
      </c>
      <c r="BF28" s="5">
        <v>0.15416666666666667</v>
      </c>
      <c r="BG28" s="2" t="str" cm="1">
        <f t="array" ref="BG28">_xlfn.IFS(BF28&lt;TIMEVALUE("06:00"),"Night", BF28&gt;=TIMEVALUE("21:00"),"Night",BF28&gt;=TIMEVALUE("17:00"),"Evening",BF28&gt;=TIMEVALUE("12:00"),"Afternoon", BF28&gt;=TIMEVALUE("06:00"),"Morning")</f>
        <v>Night</v>
      </c>
      <c r="BH28" s="2">
        <v>2018</v>
      </c>
      <c r="BI28" s="2" t="s">
        <v>84</v>
      </c>
      <c r="BJ28" s="2">
        <v>18</v>
      </c>
    </row>
    <row r="29" spans="1:62" x14ac:dyDescent="0.3">
      <c r="A29" s="2" t="s">
        <v>121</v>
      </c>
      <c r="B29" s="2">
        <v>4</v>
      </c>
      <c r="C29" s="2">
        <v>4</v>
      </c>
      <c r="D29" s="2">
        <v>82.59</v>
      </c>
      <c r="E29" s="2">
        <v>275.31</v>
      </c>
      <c r="F29" s="2" t="s">
        <v>100</v>
      </c>
      <c r="G29" s="2" t="s">
        <v>64</v>
      </c>
      <c r="H29" s="2">
        <v>73</v>
      </c>
      <c r="I29" s="2" t="s">
        <v>65</v>
      </c>
      <c r="J29" s="2" t="s">
        <v>66</v>
      </c>
      <c r="K29" s="2" t="s">
        <v>67</v>
      </c>
      <c r="L29" s="2" t="s">
        <v>284</v>
      </c>
      <c r="M29" s="2">
        <v>19466</v>
      </c>
      <c r="N29" s="2" t="s">
        <v>285</v>
      </c>
      <c r="O29" s="2" t="s">
        <v>124</v>
      </c>
      <c r="P29" s="2" t="s">
        <v>71</v>
      </c>
      <c r="Q29" s="2" t="s">
        <v>286</v>
      </c>
      <c r="R29" s="2">
        <v>725</v>
      </c>
      <c r="S29" s="2">
        <v>2</v>
      </c>
      <c r="T29" s="2" t="s">
        <v>73</v>
      </c>
      <c r="U29" s="2">
        <v>18.270223600000001</v>
      </c>
      <c r="V29" s="2">
        <v>-66.037063599999996</v>
      </c>
      <c r="W29" s="2" t="s">
        <v>74</v>
      </c>
      <c r="X29" s="2" t="s">
        <v>287</v>
      </c>
      <c r="Y29" s="2" t="s">
        <v>143</v>
      </c>
      <c r="Z29" s="2">
        <v>19466</v>
      </c>
      <c r="AA29" s="2" t="s">
        <v>288</v>
      </c>
      <c r="AB29" s="2">
        <v>75913</v>
      </c>
      <c r="AC29" s="2">
        <v>1360</v>
      </c>
      <c r="AD29" s="2">
        <v>52.44</v>
      </c>
      <c r="AE29" s="2">
        <v>0.16</v>
      </c>
      <c r="AF29" s="2" t="str" cm="1">
        <f t="array" ref="AF29">_xlfn.IFS(AE29=0, "No Discount ", AE29&lt;=0.08,"Low Discount", AE29&lt;=0.16,"Medium Discount", AE29&gt;0.16, "High Discount")</f>
        <v>Medium Discount</v>
      </c>
      <c r="AG29" s="2">
        <v>179228</v>
      </c>
      <c r="AH29" s="2">
        <v>327.75</v>
      </c>
      <c r="AI29" s="2">
        <v>0.3</v>
      </c>
      <c r="AJ29" s="2" t="str" cm="1">
        <f t="array" ref="AJ29">_xlfn.IFS(AI29&lt;=0, "No Profit", AI29&lt;=0.16,"Low Profit",AI29&lt;=0.32,"Medium Profit",AI29&gt;0.32,"High Profit")</f>
        <v>Medium Profit</v>
      </c>
      <c r="AK29" s="2">
        <v>1</v>
      </c>
      <c r="AL29" s="2">
        <v>327.75</v>
      </c>
      <c r="AM29" s="2">
        <v>275.31</v>
      </c>
      <c r="AN29" s="2">
        <v>82.59</v>
      </c>
      <c r="AO29" s="2" t="s">
        <v>145</v>
      </c>
      <c r="AP29" s="2" t="s">
        <v>289</v>
      </c>
      <c r="AQ29" s="2" t="s">
        <v>127</v>
      </c>
      <c r="AR29" s="2" t="s">
        <v>81</v>
      </c>
      <c r="AS29" s="2">
        <v>1360</v>
      </c>
      <c r="AT29" s="2">
        <v>73</v>
      </c>
      <c r="AU29" s="2" t="s">
        <v>82</v>
      </c>
      <c r="AV29" s="2">
        <v>327.75</v>
      </c>
      <c r="AW29" s="2">
        <v>0</v>
      </c>
      <c r="AX29" s="2" t="s">
        <v>290</v>
      </c>
      <c r="AY29" s="2" t="s">
        <v>83</v>
      </c>
      <c r="AZ29" s="4">
        <v>43113</v>
      </c>
      <c r="BA29" s="5">
        <v>0.13958333333333334</v>
      </c>
      <c r="BB29" s="2">
        <v>2018</v>
      </c>
      <c r="BC29" s="2" t="s">
        <v>84</v>
      </c>
      <c r="BD29" s="2">
        <v>13</v>
      </c>
      <c r="BE29" s="4">
        <v>43117</v>
      </c>
      <c r="BF29" s="5">
        <v>0.13958333333333334</v>
      </c>
      <c r="BG29" s="2" t="str" cm="1">
        <f t="array" ref="BG29">_xlfn.IFS(BF29&lt;TIMEVALUE("06:00"),"Night", BF29&gt;=TIMEVALUE("21:00"),"Night",BF29&gt;=TIMEVALUE("17:00"),"Evening",BF29&gt;=TIMEVALUE("12:00"),"Afternoon", BF29&gt;=TIMEVALUE("06:00"),"Morning")</f>
        <v>Night</v>
      </c>
      <c r="BH29" s="2">
        <v>2018</v>
      </c>
      <c r="BI29" s="2" t="s">
        <v>84</v>
      </c>
      <c r="BJ29" s="2">
        <v>17</v>
      </c>
    </row>
    <row r="30" spans="1:62" x14ac:dyDescent="0.3">
      <c r="A30" s="2" t="s">
        <v>62</v>
      </c>
      <c r="B30" s="2">
        <v>3</v>
      </c>
      <c r="C30" s="2">
        <v>4</v>
      </c>
      <c r="D30" s="2">
        <v>-17.14</v>
      </c>
      <c r="E30" s="2">
        <v>272.02999999999997</v>
      </c>
      <c r="F30" s="2" t="s">
        <v>63</v>
      </c>
      <c r="G30" s="2" t="s">
        <v>64</v>
      </c>
      <c r="H30" s="2">
        <v>73</v>
      </c>
      <c r="I30" s="2" t="s">
        <v>65</v>
      </c>
      <c r="J30" s="2" t="s">
        <v>291</v>
      </c>
      <c r="K30" s="2" t="s">
        <v>102</v>
      </c>
      <c r="L30" s="2" t="s">
        <v>292</v>
      </c>
      <c r="M30" s="2">
        <v>19465</v>
      </c>
      <c r="N30" s="2" t="s">
        <v>293</v>
      </c>
      <c r="O30" s="2" t="s">
        <v>124</v>
      </c>
      <c r="P30" s="2" t="s">
        <v>294</v>
      </c>
      <c r="Q30" s="2" t="s">
        <v>295</v>
      </c>
      <c r="R30" s="2">
        <v>48066</v>
      </c>
      <c r="S30" s="2">
        <v>2</v>
      </c>
      <c r="T30" s="2" t="s">
        <v>73</v>
      </c>
      <c r="U30" s="2">
        <v>41.868862200000002</v>
      </c>
      <c r="V30" s="2">
        <v>-84.573654199999993</v>
      </c>
      <c r="W30" s="2" t="s">
        <v>74</v>
      </c>
      <c r="X30" s="2" t="s">
        <v>287</v>
      </c>
      <c r="Y30" s="2" t="s">
        <v>143</v>
      </c>
      <c r="Z30" s="2">
        <v>19465</v>
      </c>
      <c r="AA30" s="2" t="s">
        <v>296</v>
      </c>
      <c r="AB30" s="2">
        <v>75912</v>
      </c>
      <c r="AC30" s="2">
        <v>1360</v>
      </c>
      <c r="AD30" s="2">
        <v>55.72</v>
      </c>
      <c r="AE30" s="2">
        <v>0.17</v>
      </c>
      <c r="AF30" s="2" t="str" cm="1">
        <f t="array" ref="AF30">_xlfn.IFS(AE30=0, "No Discount ", AE30&lt;=0.08,"Low Discount", AE30&lt;=0.16,"Medium Discount", AE30&gt;0.16, "High Discount")</f>
        <v>High Discount</v>
      </c>
      <c r="AG30" s="2">
        <v>179227</v>
      </c>
      <c r="AH30" s="2">
        <v>327.75</v>
      </c>
      <c r="AI30" s="2">
        <v>-0.06</v>
      </c>
      <c r="AJ30" s="2" t="str" cm="1">
        <f t="array" ref="AJ30">_xlfn.IFS(AI30&lt;=0, "No Profit", AI30&lt;=0.16,"Low Profit",AI30&lt;=0.32,"Medium Profit",AI30&gt;0.32,"High Profit")</f>
        <v>No Profit</v>
      </c>
      <c r="AK30" s="2">
        <v>1</v>
      </c>
      <c r="AL30" s="2">
        <v>327.75</v>
      </c>
      <c r="AM30" s="2">
        <v>272.02999999999997</v>
      </c>
      <c r="AN30" s="2">
        <v>-17.14</v>
      </c>
      <c r="AO30" s="2" t="s">
        <v>145</v>
      </c>
      <c r="AP30" s="2" t="s">
        <v>289</v>
      </c>
      <c r="AQ30" s="2" t="s">
        <v>80</v>
      </c>
      <c r="AR30" s="2" t="s">
        <v>81</v>
      </c>
      <c r="AS30" s="2">
        <v>1360</v>
      </c>
      <c r="AT30" s="2">
        <v>73</v>
      </c>
      <c r="AU30" s="2" t="s">
        <v>82</v>
      </c>
      <c r="AV30" s="2">
        <v>327.75</v>
      </c>
      <c r="AW30" s="2">
        <v>0</v>
      </c>
      <c r="AX30" s="2" t="s">
        <v>297</v>
      </c>
      <c r="AY30" s="2" t="s">
        <v>83</v>
      </c>
      <c r="AZ30" s="4">
        <v>43113</v>
      </c>
      <c r="BA30" s="5">
        <v>0.125</v>
      </c>
      <c r="BB30" s="2">
        <v>2018</v>
      </c>
      <c r="BC30" s="2" t="s">
        <v>84</v>
      </c>
      <c r="BD30" s="2">
        <v>13</v>
      </c>
      <c r="BE30" s="4">
        <v>43116</v>
      </c>
      <c r="BF30" s="5">
        <v>0.125</v>
      </c>
      <c r="BG30" s="2" t="str" cm="1">
        <f t="array" ref="BG30">_xlfn.IFS(BF30&lt;TIMEVALUE("06:00"),"Night", BF30&gt;=TIMEVALUE("21:00"),"Night",BF30&gt;=TIMEVALUE("17:00"),"Evening",BF30&gt;=TIMEVALUE("12:00"),"Afternoon", BF30&gt;=TIMEVALUE("06:00"),"Morning")</f>
        <v>Night</v>
      </c>
      <c r="BH30" s="2">
        <v>2018</v>
      </c>
      <c r="BI30" s="2" t="s">
        <v>84</v>
      </c>
      <c r="BJ30" s="2">
        <v>16</v>
      </c>
    </row>
    <row r="31" spans="1:62" x14ac:dyDescent="0.3">
      <c r="A31" s="2" t="s">
        <v>86</v>
      </c>
      <c r="B31" s="2">
        <v>2</v>
      </c>
      <c r="C31" s="2">
        <v>4</v>
      </c>
      <c r="D31" s="2">
        <v>23.65</v>
      </c>
      <c r="E31" s="2">
        <v>268.76</v>
      </c>
      <c r="F31" s="2" t="s">
        <v>63</v>
      </c>
      <c r="G31" s="2" t="s">
        <v>64</v>
      </c>
      <c r="H31" s="2">
        <v>73</v>
      </c>
      <c r="I31" s="2" t="s">
        <v>65</v>
      </c>
      <c r="J31" s="2" t="s">
        <v>298</v>
      </c>
      <c r="K31" s="2" t="s">
        <v>102</v>
      </c>
      <c r="L31" s="2" t="s">
        <v>299</v>
      </c>
      <c r="M31" s="2">
        <v>19464</v>
      </c>
      <c r="N31" s="2" t="s">
        <v>300</v>
      </c>
      <c r="O31" s="2" t="s">
        <v>70</v>
      </c>
      <c r="P31" s="2" t="s">
        <v>105</v>
      </c>
      <c r="Q31" s="2" t="s">
        <v>301</v>
      </c>
      <c r="R31" s="2">
        <v>90706</v>
      </c>
      <c r="S31" s="2">
        <v>2</v>
      </c>
      <c r="T31" s="2" t="s">
        <v>73</v>
      </c>
      <c r="U31" s="2">
        <v>33.909423799999999</v>
      </c>
      <c r="V31" s="2">
        <v>-118.1253586</v>
      </c>
      <c r="W31" s="2" t="s">
        <v>74</v>
      </c>
      <c r="X31" s="2" t="s">
        <v>287</v>
      </c>
      <c r="Y31" s="2" t="s">
        <v>143</v>
      </c>
      <c r="Z31" s="2">
        <v>19464</v>
      </c>
      <c r="AA31" s="2" t="s">
        <v>302</v>
      </c>
      <c r="AB31" s="2">
        <v>75911</v>
      </c>
      <c r="AC31" s="2">
        <v>1360</v>
      </c>
      <c r="AD31" s="2">
        <v>59</v>
      </c>
      <c r="AE31" s="2">
        <v>0.18</v>
      </c>
      <c r="AF31" s="2" t="str" cm="1">
        <f t="array" ref="AF31">_xlfn.IFS(AE31=0, "No Discount ", AE31&lt;=0.08,"Low Discount", AE31&lt;=0.16,"Medium Discount", AE31&gt;0.16, "High Discount")</f>
        <v>High Discount</v>
      </c>
      <c r="AG31" s="2">
        <v>179226</v>
      </c>
      <c r="AH31" s="2">
        <v>327.75</v>
      </c>
      <c r="AI31" s="2">
        <v>0.09</v>
      </c>
      <c r="AJ31" s="2" t="str" cm="1">
        <f t="array" ref="AJ31">_xlfn.IFS(AI31&lt;=0, "No Profit", AI31&lt;=0.16,"Low Profit",AI31&lt;=0.32,"Medium Profit",AI31&gt;0.32,"High Profit")</f>
        <v>Low Profit</v>
      </c>
      <c r="AK31" s="2">
        <v>1</v>
      </c>
      <c r="AL31" s="2">
        <v>327.75</v>
      </c>
      <c r="AM31" s="2">
        <v>268.76</v>
      </c>
      <c r="AN31" s="2">
        <v>23.65</v>
      </c>
      <c r="AO31" s="2" t="s">
        <v>145</v>
      </c>
      <c r="AP31" s="2" t="s">
        <v>289</v>
      </c>
      <c r="AQ31" s="2" t="s">
        <v>155</v>
      </c>
      <c r="AR31" s="2" t="s">
        <v>81</v>
      </c>
      <c r="AS31" s="2">
        <v>1360</v>
      </c>
      <c r="AT31" s="2">
        <v>73</v>
      </c>
      <c r="AU31" s="2" t="s">
        <v>82</v>
      </c>
      <c r="AV31" s="2">
        <v>327.75</v>
      </c>
      <c r="AW31" s="2">
        <v>0</v>
      </c>
      <c r="AX31" s="2" t="s">
        <v>303</v>
      </c>
      <c r="AY31" s="2" t="s">
        <v>83</v>
      </c>
      <c r="AZ31" s="4">
        <v>43113</v>
      </c>
      <c r="BA31" s="5">
        <v>0.11041666666666666</v>
      </c>
      <c r="BB31" s="2">
        <v>2018</v>
      </c>
      <c r="BC31" s="2" t="s">
        <v>84</v>
      </c>
      <c r="BD31" s="2">
        <v>13</v>
      </c>
      <c r="BE31" s="4">
        <v>43115</v>
      </c>
      <c r="BF31" s="5">
        <v>0.11041666666666666</v>
      </c>
      <c r="BG31" s="2" t="str" cm="1">
        <f t="array" ref="BG31">_xlfn.IFS(BF31&lt;TIMEVALUE("06:00"),"Night", BF31&gt;=TIMEVALUE("21:00"),"Night",BF31&gt;=TIMEVALUE("17:00"),"Evening",BF31&gt;=TIMEVALUE("12:00"),"Afternoon", BF31&gt;=TIMEVALUE("06:00"),"Morning")</f>
        <v>Night</v>
      </c>
      <c r="BH31" s="2">
        <v>2018</v>
      </c>
      <c r="BI31" s="2" t="s">
        <v>84</v>
      </c>
      <c r="BJ31" s="2">
        <v>15</v>
      </c>
    </row>
    <row r="32" spans="1:62" x14ac:dyDescent="0.3">
      <c r="A32" s="2" t="s">
        <v>62</v>
      </c>
      <c r="B32" s="2">
        <v>6</v>
      </c>
      <c r="C32" s="2">
        <v>4</v>
      </c>
      <c r="D32" s="2">
        <v>73.42</v>
      </c>
      <c r="E32" s="2">
        <v>262.2</v>
      </c>
      <c r="F32" s="2" t="s">
        <v>87</v>
      </c>
      <c r="G32" s="2" t="s">
        <v>88</v>
      </c>
      <c r="H32" s="2">
        <v>73</v>
      </c>
      <c r="I32" s="2" t="s">
        <v>65</v>
      </c>
      <c r="J32" s="2" t="s">
        <v>66</v>
      </c>
      <c r="K32" s="2" t="s">
        <v>67</v>
      </c>
      <c r="L32" s="2" t="s">
        <v>304</v>
      </c>
      <c r="M32" s="2">
        <v>19463</v>
      </c>
      <c r="N32" s="2" t="s">
        <v>305</v>
      </c>
      <c r="O32" s="2" t="s">
        <v>70</v>
      </c>
      <c r="P32" s="2" t="s">
        <v>71</v>
      </c>
      <c r="Q32" s="2" t="s">
        <v>306</v>
      </c>
      <c r="R32" s="2">
        <v>725</v>
      </c>
      <c r="S32" s="2">
        <v>2</v>
      </c>
      <c r="T32" s="2" t="s">
        <v>73</v>
      </c>
      <c r="U32" s="2">
        <v>18.275260899999999</v>
      </c>
      <c r="V32" s="2">
        <v>-66.037063599999996</v>
      </c>
      <c r="W32" s="2" t="s">
        <v>74</v>
      </c>
      <c r="X32" s="2" t="s">
        <v>287</v>
      </c>
      <c r="Y32" s="2" t="s">
        <v>143</v>
      </c>
      <c r="Z32" s="2">
        <v>19463</v>
      </c>
      <c r="AA32" s="2" t="s">
        <v>307</v>
      </c>
      <c r="AB32" s="2">
        <v>75910</v>
      </c>
      <c r="AC32" s="2">
        <v>1360</v>
      </c>
      <c r="AD32" s="2">
        <v>65.55</v>
      </c>
      <c r="AE32" s="2">
        <v>0.2</v>
      </c>
      <c r="AF32" s="2" t="str" cm="1">
        <f t="array" ref="AF32">_xlfn.IFS(AE32=0, "No Discount ", AE32&lt;=0.08,"Low Discount", AE32&lt;=0.16,"Medium Discount", AE32&gt;0.16, "High Discount")</f>
        <v>High Discount</v>
      </c>
      <c r="AG32" s="2">
        <v>179225</v>
      </c>
      <c r="AH32" s="2">
        <v>327.75</v>
      </c>
      <c r="AI32" s="2">
        <v>0.28000000000000003</v>
      </c>
      <c r="AJ32" s="2" t="str" cm="1">
        <f t="array" ref="AJ32">_xlfn.IFS(AI32&lt;=0, "No Profit", AI32&lt;=0.16,"Low Profit",AI32&lt;=0.32,"Medium Profit",AI32&gt;0.32,"High Profit")</f>
        <v>Medium Profit</v>
      </c>
      <c r="AK32" s="2">
        <v>1</v>
      </c>
      <c r="AL32" s="2">
        <v>327.75</v>
      </c>
      <c r="AM32" s="2">
        <v>262.2</v>
      </c>
      <c r="AN32" s="2">
        <v>73.42</v>
      </c>
      <c r="AO32" s="2" t="s">
        <v>145</v>
      </c>
      <c r="AP32" s="2" t="s">
        <v>289</v>
      </c>
      <c r="AQ32" s="2" t="s">
        <v>308</v>
      </c>
      <c r="AR32" s="2" t="s">
        <v>81</v>
      </c>
      <c r="AS32" s="2">
        <v>1360</v>
      </c>
      <c r="AT32" s="2">
        <v>73</v>
      </c>
      <c r="AU32" s="2" t="s">
        <v>82</v>
      </c>
      <c r="AV32" s="2">
        <v>327.75</v>
      </c>
      <c r="AW32" s="2">
        <v>0</v>
      </c>
      <c r="AX32" s="2" t="s">
        <v>309</v>
      </c>
      <c r="AY32" s="2" t="s">
        <v>83</v>
      </c>
      <c r="AZ32" s="4">
        <v>43113</v>
      </c>
      <c r="BA32" s="5">
        <v>9.583333333333334E-2</v>
      </c>
      <c r="BB32" s="2">
        <v>2018</v>
      </c>
      <c r="BC32" s="2" t="s">
        <v>84</v>
      </c>
      <c r="BD32" s="2">
        <v>13</v>
      </c>
      <c r="BE32" s="4">
        <v>43119</v>
      </c>
      <c r="BF32" s="5">
        <v>9.583333333333334E-2</v>
      </c>
      <c r="BG32" s="2" t="str" cm="1">
        <f t="array" ref="BG32">_xlfn.IFS(BF32&lt;TIMEVALUE("06:00"),"Night", BF32&gt;=TIMEVALUE("21:00"),"Night",BF32&gt;=TIMEVALUE("17:00"),"Evening",BF32&gt;=TIMEVALUE("12:00"),"Afternoon", BF32&gt;=TIMEVALUE("06:00"),"Morning")</f>
        <v>Night</v>
      </c>
      <c r="BH32" s="2">
        <v>2018</v>
      </c>
      <c r="BI32" s="2" t="s">
        <v>84</v>
      </c>
      <c r="BJ32" s="2">
        <v>19</v>
      </c>
    </row>
    <row r="33" spans="1:62" x14ac:dyDescent="0.3">
      <c r="A33" s="2" t="s">
        <v>62</v>
      </c>
      <c r="B33" s="2">
        <v>5</v>
      </c>
      <c r="C33" s="2">
        <v>4</v>
      </c>
      <c r="D33" s="2">
        <v>113.07</v>
      </c>
      <c r="E33" s="2">
        <v>245.81</v>
      </c>
      <c r="F33" s="2" t="s">
        <v>87</v>
      </c>
      <c r="G33" s="2" t="s">
        <v>88</v>
      </c>
      <c r="H33" s="2">
        <v>73</v>
      </c>
      <c r="I33" s="2" t="s">
        <v>65</v>
      </c>
      <c r="J33" s="2" t="s">
        <v>310</v>
      </c>
      <c r="K33" s="2" t="s">
        <v>102</v>
      </c>
      <c r="L33" s="2" t="s">
        <v>311</v>
      </c>
      <c r="M33" s="2">
        <v>19462</v>
      </c>
      <c r="N33" s="2" t="s">
        <v>312</v>
      </c>
      <c r="O33" s="2" t="s">
        <v>70</v>
      </c>
      <c r="P33" s="2" t="s">
        <v>234</v>
      </c>
      <c r="Q33" s="2" t="s">
        <v>313</v>
      </c>
      <c r="R33" s="2">
        <v>60187</v>
      </c>
      <c r="S33" s="2">
        <v>2</v>
      </c>
      <c r="T33" s="2" t="s">
        <v>73</v>
      </c>
      <c r="U33" s="2">
        <v>41.865440399999997</v>
      </c>
      <c r="V33" s="2">
        <v>-88.109901399999998</v>
      </c>
      <c r="W33" s="2" t="s">
        <v>74</v>
      </c>
      <c r="X33" s="2" t="s">
        <v>314</v>
      </c>
      <c r="Y33" s="2" t="s">
        <v>93</v>
      </c>
      <c r="Z33" s="2">
        <v>19462</v>
      </c>
      <c r="AA33" s="2" t="s">
        <v>315</v>
      </c>
      <c r="AB33" s="2">
        <v>75909</v>
      </c>
      <c r="AC33" s="2">
        <v>1360</v>
      </c>
      <c r="AD33" s="2">
        <v>81.94</v>
      </c>
      <c r="AE33" s="2">
        <v>0.25</v>
      </c>
      <c r="AF33" s="2" t="str" cm="1">
        <f t="array" ref="AF33">_xlfn.IFS(AE33=0, "No Discount ", AE33&lt;=0.08,"Low Discount", AE33&lt;=0.16,"Medium Discount", AE33&gt;0.16, "High Discount")</f>
        <v>High Discount</v>
      </c>
      <c r="AG33" s="2">
        <v>179224</v>
      </c>
      <c r="AH33" s="2">
        <v>327.75</v>
      </c>
      <c r="AI33" s="2">
        <v>0.46</v>
      </c>
      <c r="AJ33" s="2" t="str" cm="1">
        <f t="array" ref="AJ33">_xlfn.IFS(AI33&lt;=0, "No Profit", AI33&lt;=0.16,"Low Profit",AI33&lt;=0.32,"Medium Profit",AI33&gt;0.32,"High Profit")</f>
        <v>High Profit</v>
      </c>
      <c r="AK33" s="2">
        <v>1</v>
      </c>
      <c r="AL33" s="2">
        <v>327.75</v>
      </c>
      <c r="AM33" s="2">
        <v>245.81</v>
      </c>
      <c r="AN33" s="2">
        <v>113.07</v>
      </c>
      <c r="AO33" s="2" t="s">
        <v>95</v>
      </c>
      <c r="AP33" s="2" t="s">
        <v>314</v>
      </c>
      <c r="AQ33" s="2" t="s">
        <v>80</v>
      </c>
      <c r="AR33" s="2" t="s">
        <v>81</v>
      </c>
      <c r="AS33" s="2">
        <v>1360</v>
      </c>
      <c r="AT33" s="2">
        <v>73</v>
      </c>
      <c r="AU33" s="2" t="s">
        <v>82</v>
      </c>
      <c r="AV33" s="2">
        <v>327.75</v>
      </c>
      <c r="AW33" s="2">
        <v>0</v>
      </c>
      <c r="AX33" s="2" t="s">
        <v>316</v>
      </c>
      <c r="AY33" s="2" t="s">
        <v>83</v>
      </c>
      <c r="AZ33" s="4">
        <v>43113</v>
      </c>
      <c r="BA33" s="5">
        <v>8.1250000000000003E-2</v>
      </c>
      <c r="BB33" s="2">
        <v>2018</v>
      </c>
      <c r="BC33" s="2" t="s">
        <v>84</v>
      </c>
      <c r="BD33" s="2">
        <v>13</v>
      </c>
      <c r="BE33" s="4">
        <v>43118</v>
      </c>
      <c r="BF33" s="5">
        <v>8.1250000000000003E-2</v>
      </c>
      <c r="BG33" s="2" t="str" cm="1">
        <f t="array" ref="BG33">_xlfn.IFS(BF33&lt;TIMEVALUE("06:00"),"Night", BF33&gt;=TIMEVALUE("21:00"),"Night",BF33&gt;=TIMEVALUE("17:00"),"Evening",BF33&gt;=TIMEVALUE("12:00"),"Afternoon", BF33&gt;=TIMEVALUE("06:00"),"Morning")</f>
        <v>Night</v>
      </c>
      <c r="BH33" s="2">
        <v>2018</v>
      </c>
      <c r="BI33" s="2" t="s">
        <v>84</v>
      </c>
      <c r="BJ33" s="2">
        <v>18</v>
      </c>
    </row>
    <row r="34" spans="1:62" x14ac:dyDescent="0.3">
      <c r="A34" s="2" t="s">
        <v>121</v>
      </c>
      <c r="B34" s="2">
        <v>4</v>
      </c>
      <c r="C34" s="2">
        <v>4</v>
      </c>
      <c r="D34" s="2">
        <v>24.58</v>
      </c>
      <c r="E34" s="2">
        <v>327.75</v>
      </c>
      <c r="F34" s="2" t="s">
        <v>100</v>
      </c>
      <c r="G34" s="2" t="s">
        <v>64</v>
      </c>
      <c r="H34" s="2">
        <v>73</v>
      </c>
      <c r="I34" s="2" t="s">
        <v>65</v>
      </c>
      <c r="J34" s="2" t="s">
        <v>66</v>
      </c>
      <c r="K34" s="2" t="s">
        <v>67</v>
      </c>
      <c r="L34" s="2" t="s">
        <v>317</v>
      </c>
      <c r="M34" s="2">
        <v>19461</v>
      </c>
      <c r="N34" s="2" t="s">
        <v>318</v>
      </c>
      <c r="O34" s="2" t="s">
        <v>70</v>
      </c>
      <c r="P34" s="2" t="s">
        <v>71</v>
      </c>
      <c r="Q34" s="2" t="s">
        <v>319</v>
      </c>
      <c r="R34" s="2">
        <v>725</v>
      </c>
      <c r="S34" s="2">
        <v>2</v>
      </c>
      <c r="T34" s="2" t="s">
        <v>73</v>
      </c>
      <c r="U34" s="2">
        <v>18.287136100000001</v>
      </c>
      <c r="V34" s="2">
        <v>-66.037056000000007</v>
      </c>
      <c r="W34" s="2" t="s">
        <v>74</v>
      </c>
      <c r="X34" s="2" t="s">
        <v>314</v>
      </c>
      <c r="Y34" s="2" t="s">
        <v>93</v>
      </c>
      <c r="Z34" s="2">
        <v>19461</v>
      </c>
      <c r="AA34" s="2" t="s">
        <v>320</v>
      </c>
      <c r="AB34" s="2">
        <v>75908</v>
      </c>
      <c r="AC34" s="2">
        <v>1360</v>
      </c>
      <c r="AD34" s="2">
        <v>0</v>
      </c>
      <c r="AE34" s="2">
        <v>0</v>
      </c>
      <c r="AF34" s="2" t="str" cm="1">
        <f t="array" ref="AF34">_xlfn.IFS(AE34=0, "No Discount ", AE34&lt;=0.08,"Low Discount", AE34&lt;=0.16,"Medium Discount", AE34&gt;0.16, "High Discount")</f>
        <v xml:space="preserve">No Discount </v>
      </c>
      <c r="AG34" s="2">
        <v>179223</v>
      </c>
      <c r="AH34" s="2">
        <v>327.75</v>
      </c>
      <c r="AI34" s="2">
        <v>0.08</v>
      </c>
      <c r="AJ34" s="2" t="str" cm="1">
        <f t="array" ref="AJ34">_xlfn.IFS(AI34&lt;=0, "No Profit", AI34&lt;=0.16,"Low Profit",AI34&lt;=0.32,"Medium Profit",AI34&gt;0.32,"High Profit")</f>
        <v>Low Profit</v>
      </c>
      <c r="AK34" s="2">
        <v>1</v>
      </c>
      <c r="AL34" s="2">
        <v>327.75</v>
      </c>
      <c r="AM34" s="2">
        <v>327.75</v>
      </c>
      <c r="AN34" s="2">
        <v>24.58</v>
      </c>
      <c r="AO34" s="2" t="s">
        <v>95</v>
      </c>
      <c r="AP34" s="2" t="s">
        <v>314</v>
      </c>
      <c r="AQ34" s="2" t="s">
        <v>127</v>
      </c>
      <c r="AR34" s="2" t="s">
        <v>81</v>
      </c>
      <c r="AS34" s="2">
        <v>1360</v>
      </c>
      <c r="AT34" s="2">
        <v>73</v>
      </c>
      <c r="AU34" s="2" t="s">
        <v>82</v>
      </c>
      <c r="AV34" s="2">
        <v>327.75</v>
      </c>
      <c r="AW34" s="2">
        <v>0</v>
      </c>
      <c r="AX34" s="2" t="s">
        <v>321</v>
      </c>
      <c r="AY34" s="2" t="s">
        <v>83</v>
      </c>
      <c r="AZ34" s="4">
        <v>43113</v>
      </c>
      <c r="BA34" s="5">
        <v>6.6666666666666666E-2</v>
      </c>
      <c r="BB34" s="2">
        <v>2018</v>
      </c>
      <c r="BC34" s="2" t="s">
        <v>84</v>
      </c>
      <c r="BD34" s="2">
        <v>13</v>
      </c>
      <c r="BE34" s="4">
        <v>43117</v>
      </c>
      <c r="BF34" s="5">
        <v>6.6666666666666666E-2</v>
      </c>
      <c r="BG34" s="2" t="str" cm="1">
        <f t="array" ref="BG34">_xlfn.IFS(BF34&lt;TIMEVALUE("06:00"),"Night", BF34&gt;=TIMEVALUE("21:00"),"Night",BF34&gt;=TIMEVALUE("17:00"),"Evening",BF34&gt;=TIMEVALUE("12:00"),"Afternoon", BF34&gt;=TIMEVALUE("06:00"),"Morning")</f>
        <v>Night</v>
      </c>
      <c r="BH34" s="2">
        <v>2018</v>
      </c>
      <c r="BI34" s="2" t="s">
        <v>84</v>
      </c>
      <c r="BJ34" s="2">
        <v>17</v>
      </c>
    </row>
    <row r="35" spans="1:62" x14ac:dyDescent="0.3">
      <c r="A35" s="2" t="s">
        <v>62</v>
      </c>
      <c r="B35" s="2">
        <v>2</v>
      </c>
      <c r="C35" s="2">
        <v>1</v>
      </c>
      <c r="D35" s="2">
        <v>-97.34</v>
      </c>
      <c r="E35" s="2">
        <v>324.47000000000003</v>
      </c>
      <c r="F35" s="2" t="s">
        <v>87</v>
      </c>
      <c r="G35" s="2" t="s">
        <v>88</v>
      </c>
      <c r="H35" s="2">
        <v>73</v>
      </c>
      <c r="I35" s="2" t="s">
        <v>65</v>
      </c>
      <c r="J35" s="2" t="s">
        <v>322</v>
      </c>
      <c r="K35" s="2" t="s">
        <v>102</v>
      </c>
      <c r="L35" s="2" t="s">
        <v>323</v>
      </c>
      <c r="M35" s="2">
        <v>19460</v>
      </c>
      <c r="N35" s="2" t="s">
        <v>324</v>
      </c>
      <c r="O35" s="2" t="s">
        <v>70</v>
      </c>
      <c r="P35" s="2" t="s">
        <v>294</v>
      </c>
      <c r="Q35" s="2" t="s">
        <v>325</v>
      </c>
      <c r="R35" s="2">
        <v>48238</v>
      </c>
      <c r="S35" s="2">
        <v>2</v>
      </c>
      <c r="T35" s="2" t="s">
        <v>73</v>
      </c>
      <c r="U35" s="2">
        <v>42.391101800000001</v>
      </c>
      <c r="V35" s="2">
        <v>-83.131218000000004</v>
      </c>
      <c r="W35" s="2" t="s">
        <v>74</v>
      </c>
      <c r="X35" s="2" t="s">
        <v>326</v>
      </c>
      <c r="Y35" s="2" t="s">
        <v>143</v>
      </c>
      <c r="Z35" s="2">
        <v>19460</v>
      </c>
      <c r="AA35" s="2" t="s">
        <v>327</v>
      </c>
      <c r="AB35" s="2">
        <v>75907</v>
      </c>
      <c r="AC35" s="2">
        <v>1360</v>
      </c>
      <c r="AD35" s="2">
        <v>3.28</v>
      </c>
      <c r="AE35" s="2">
        <v>0.01</v>
      </c>
      <c r="AF35" s="2" t="str" cm="1">
        <f t="array" ref="AF35">_xlfn.IFS(AE35=0, "No Discount ", AE35&lt;=0.08,"Low Discount", AE35&lt;=0.16,"Medium Discount", AE35&gt;0.16, "High Discount")</f>
        <v>Low Discount</v>
      </c>
      <c r="AG35" s="2">
        <v>179222</v>
      </c>
      <c r="AH35" s="2">
        <v>327.75</v>
      </c>
      <c r="AI35" s="2">
        <v>-0.3</v>
      </c>
      <c r="AJ35" s="2" t="str" cm="1">
        <f t="array" ref="AJ35">_xlfn.IFS(AI35&lt;=0, "No Profit", AI35&lt;=0.16,"Low Profit",AI35&lt;=0.32,"Medium Profit",AI35&gt;0.32,"High Profit")</f>
        <v>No Profit</v>
      </c>
      <c r="AK35" s="2">
        <v>1</v>
      </c>
      <c r="AL35" s="2">
        <v>327.75</v>
      </c>
      <c r="AM35" s="2">
        <v>324.47000000000003</v>
      </c>
      <c r="AN35" s="2">
        <v>-97.34</v>
      </c>
      <c r="AO35" s="2" t="s">
        <v>145</v>
      </c>
      <c r="AP35" s="2" t="s">
        <v>328</v>
      </c>
      <c r="AQ35" s="2" t="s">
        <v>80</v>
      </c>
      <c r="AR35" s="2" t="s">
        <v>81</v>
      </c>
      <c r="AS35" s="2">
        <v>1360</v>
      </c>
      <c r="AT35" s="2">
        <v>73</v>
      </c>
      <c r="AU35" s="2" t="s">
        <v>82</v>
      </c>
      <c r="AV35" s="2">
        <v>327.75</v>
      </c>
      <c r="AW35" s="2">
        <v>0</v>
      </c>
      <c r="AX35" s="2" t="s">
        <v>329</v>
      </c>
      <c r="AY35" s="2" t="s">
        <v>148</v>
      </c>
      <c r="AZ35" s="4">
        <v>43113</v>
      </c>
      <c r="BA35" s="5">
        <v>5.2083333333333336E-2</v>
      </c>
      <c r="BB35" s="2">
        <v>2018</v>
      </c>
      <c r="BC35" s="2" t="s">
        <v>84</v>
      </c>
      <c r="BD35" s="2">
        <v>13</v>
      </c>
      <c r="BE35" s="4">
        <v>43115</v>
      </c>
      <c r="BF35" s="5">
        <v>5.2083333333333336E-2</v>
      </c>
      <c r="BG35" s="2" t="str" cm="1">
        <f t="array" ref="BG35">_xlfn.IFS(BF35&lt;TIMEVALUE("06:00"),"Night", BF35&gt;=TIMEVALUE("21:00"),"Night",BF35&gt;=TIMEVALUE("17:00"),"Evening",BF35&gt;=TIMEVALUE("12:00"),"Afternoon", BF35&gt;=TIMEVALUE("06:00"),"Morning")</f>
        <v>Night</v>
      </c>
      <c r="BH35" s="2">
        <v>2018</v>
      </c>
      <c r="BI35" s="2" t="s">
        <v>84</v>
      </c>
      <c r="BJ35" s="2">
        <v>15</v>
      </c>
    </row>
    <row r="36" spans="1:62" x14ac:dyDescent="0.3">
      <c r="A36" s="2" t="s">
        <v>121</v>
      </c>
      <c r="B36" s="2">
        <v>2</v>
      </c>
      <c r="C36" s="2">
        <v>1</v>
      </c>
      <c r="D36" s="2">
        <v>-425.58</v>
      </c>
      <c r="E36" s="2">
        <v>321.2</v>
      </c>
      <c r="F36" s="2" t="s">
        <v>87</v>
      </c>
      <c r="G36" s="2" t="s">
        <v>88</v>
      </c>
      <c r="H36" s="2">
        <v>73</v>
      </c>
      <c r="I36" s="2" t="s">
        <v>65</v>
      </c>
      <c r="J36" s="2" t="s">
        <v>330</v>
      </c>
      <c r="K36" s="2" t="s">
        <v>102</v>
      </c>
      <c r="L36" s="2" t="s">
        <v>331</v>
      </c>
      <c r="M36" s="2">
        <v>19459</v>
      </c>
      <c r="N36" s="2" t="s">
        <v>332</v>
      </c>
      <c r="O36" s="2" t="s">
        <v>70</v>
      </c>
      <c r="P36" s="2" t="s">
        <v>333</v>
      </c>
      <c r="Q36" s="2" t="s">
        <v>334</v>
      </c>
      <c r="R36" s="2">
        <v>75220</v>
      </c>
      <c r="S36" s="2">
        <v>2</v>
      </c>
      <c r="T36" s="2" t="s">
        <v>73</v>
      </c>
      <c r="U36" s="2">
        <v>32.865394600000002</v>
      </c>
      <c r="V36" s="2">
        <v>-96.868583700000002</v>
      </c>
      <c r="W36" s="2" t="s">
        <v>74</v>
      </c>
      <c r="X36" s="2" t="s">
        <v>326</v>
      </c>
      <c r="Y36" s="2" t="s">
        <v>143</v>
      </c>
      <c r="Z36" s="2">
        <v>19459</v>
      </c>
      <c r="AA36" s="2" t="s">
        <v>335</v>
      </c>
      <c r="AB36" s="2">
        <v>75906</v>
      </c>
      <c r="AC36" s="2">
        <v>1360</v>
      </c>
      <c r="AD36" s="2">
        <v>6.56</v>
      </c>
      <c r="AE36" s="2">
        <v>0.02</v>
      </c>
      <c r="AF36" s="2" t="str" cm="1">
        <f t="array" ref="AF36">_xlfn.IFS(AE36=0, "No Discount ", AE36&lt;=0.08,"Low Discount", AE36&lt;=0.16,"Medium Discount", AE36&gt;0.16, "High Discount")</f>
        <v>Low Discount</v>
      </c>
      <c r="AG36" s="2">
        <v>179221</v>
      </c>
      <c r="AH36" s="2">
        <v>327.75</v>
      </c>
      <c r="AI36" s="2">
        <v>-1.33</v>
      </c>
      <c r="AJ36" s="2" t="str" cm="1">
        <f t="array" ref="AJ36">_xlfn.IFS(AI36&lt;=0, "No Profit", AI36&lt;=0.16,"Low Profit",AI36&lt;=0.32,"Medium Profit",AI36&gt;0.32,"High Profit")</f>
        <v>No Profit</v>
      </c>
      <c r="AK36" s="2">
        <v>1</v>
      </c>
      <c r="AL36" s="2">
        <v>327.75</v>
      </c>
      <c r="AM36" s="2">
        <v>321.2</v>
      </c>
      <c r="AN36" s="2">
        <v>-425.58</v>
      </c>
      <c r="AO36" s="2" t="s">
        <v>145</v>
      </c>
      <c r="AP36" s="2" t="s">
        <v>328</v>
      </c>
      <c r="AQ36" s="2" t="s">
        <v>127</v>
      </c>
      <c r="AR36" s="2" t="s">
        <v>81</v>
      </c>
      <c r="AS36" s="2">
        <v>1360</v>
      </c>
      <c r="AT36" s="2">
        <v>73</v>
      </c>
      <c r="AU36" s="2" t="s">
        <v>82</v>
      </c>
      <c r="AV36" s="2">
        <v>327.75</v>
      </c>
      <c r="AW36" s="2">
        <v>0</v>
      </c>
      <c r="AX36" s="2" t="s">
        <v>336</v>
      </c>
      <c r="AY36" s="2" t="s">
        <v>148</v>
      </c>
      <c r="AZ36" s="4">
        <v>43113</v>
      </c>
      <c r="BA36" s="5">
        <v>3.7499999999999999E-2</v>
      </c>
      <c r="BB36" s="2">
        <v>2018</v>
      </c>
      <c r="BC36" s="2" t="s">
        <v>84</v>
      </c>
      <c r="BD36" s="2">
        <v>13</v>
      </c>
      <c r="BE36" s="4">
        <v>43115</v>
      </c>
      <c r="BF36" s="5">
        <v>3.7499999999999999E-2</v>
      </c>
      <c r="BG36" s="2" t="str" cm="1">
        <f t="array" ref="BG36">_xlfn.IFS(BF36&lt;TIMEVALUE("06:00"),"Night", BF36&gt;=TIMEVALUE("21:00"),"Night",BF36&gt;=TIMEVALUE("17:00"),"Evening",BF36&gt;=TIMEVALUE("12:00"),"Afternoon", BF36&gt;=TIMEVALUE("06:00"),"Morning")</f>
        <v>Night</v>
      </c>
      <c r="BH36" s="2">
        <v>2018</v>
      </c>
      <c r="BI36" s="2" t="s">
        <v>84</v>
      </c>
      <c r="BJ36" s="2">
        <v>15</v>
      </c>
    </row>
    <row r="37" spans="1:62" x14ac:dyDescent="0.3">
      <c r="A37" s="2" t="s">
        <v>121</v>
      </c>
      <c r="B37" s="2">
        <v>2</v>
      </c>
      <c r="C37" s="2">
        <v>1</v>
      </c>
      <c r="D37" s="2">
        <v>152.6</v>
      </c>
      <c r="E37" s="2">
        <v>317.92</v>
      </c>
      <c r="F37" s="2" t="s">
        <v>87</v>
      </c>
      <c r="G37" s="2" t="s">
        <v>88</v>
      </c>
      <c r="H37" s="2">
        <v>73</v>
      </c>
      <c r="I37" s="2" t="s">
        <v>65</v>
      </c>
      <c r="J37" s="2" t="s">
        <v>66</v>
      </c>
      <c r="K37" s="2" t="s">
        <v>67</v>
      </c>
      <c r="L37" s="2" t="s">
        <v>337</v>
      </c>
      <c r="M37" s="2">
        <v>19458</v>
      </c>
      <c r="N37" s="2" t="s">
        <v>338</v>
      </c>
      <c r="O37" s="2" t="s">
        <v>124</v>
      </c>
      <c r="P37" s="2" t="s">
        <v>71</v>
      </c>
      <c r="Q37" s="2" t="s">
        <v>339</v>
      </c>
      <c r="R37" s="2">
        <v>725</v>
      </c>
      <c r="S37" s="2">
        <v>2</v>
      </c>
      <c r="T37" s="2" t="s">
        <v>73</v>
      </c>
      <c r="U37" s="2">
        <v>18.240741700000001</v>
      </c>
      <c r="V37" s="2">
        <v>-66.037056000000007</v>
      </c>
      <c r="W37" s="2" t="s">
        <v>74</v>
      </c>
      <c r="X37" s="2" t="s">
        <v>340</v>
      </c>
      <c r="Y37" s="2" t="s">
        <v>340</v>
      </c>
      <c r="Z37" s="2">
        <v>19458</v>
      </c>
      <c r="AA37" s="2" t="s">
        <v>341</v>
      </c>
      <c r="AB37" s="2">
        <v>75905</v>
      </c>
      <c r="AC37" s="2">
        <v>1360</v>
      </c>
      <c r="AD37" s="2">
        <v>9.83</v>
      </c>
      <c r="AE37" s="2">
        <v>0.03</v>
      </c>
      <c r="AF37" s="2" t="str" cm="1">
        <f t="array" ref="AF37">_xlfn.IFS(AE37=0, "No Discount ", AE37&lt;=0.08,"Low Discount", AE37&lt;=0.16,"Medium Discount", AE37&gt;0.16, "High Discount")</f>
        <v>Low Discount</v>
      </c>
      <c r="AG37" s="2">
        <v>179220</v>
      </c>
      <c r="AH37" s="2">
        <v>327.75</v>
      </c>
      <c r="AI37" s="2">
        <v>0.48</v>
      </c>
      <c r="AJ37" s="2" t="str" cm="1">
        <f t="array" ref="AJ37">_xlfn.IFS(AI37&lt;=0, "No Profit", AI37&lt;=0.16,"Low Profit",AI37&lt;=0.32,"Medium Profit",AI37&gt;0.32,"High Profit")</f>
        <v>High Profit</v>
      </c>
      <c r="AK37" s="2">
        <v>1</v>
      </c>
      <c r="AL37" s="2">
        <v>327.75</v>
      </c>
      <c r="AM37" s="2">
        <v>317.92</v>
      </c>
      <c r="AN37" s="2">
        <v>152.6</v>
      </c>
      <c r="AO37" s="2" t="s">
        <v>78</v>
      </c>
      <c r="AP37" s="2" t="s">
        <v>340</v>
      </c>
      <c r="AQ37" s="2" t="s">
        <v>127</v>
      </c>
      <c r="AR37" s="2" t="s">
        <v>81</v>
      </c>
      <c r="AS37" s="2">
        <v>1360</v>
      </c>
      <c r="AT37" s="2">
        <v>73</v>
      </c>
      <c r="AU37" s="2" t="s">
        <v>82</v>
      </c>
      <c r="AV37" s="2">
        <v>327.75</v>
      </c>
      <c r="AW37" s="2">
        <v>0</v>
      </c>
      <c r="AX37" s="2" t="s">
        <v>342</v>
      </c>
      <c r="AY37" s="2" t="s">
        <v>148</v>
      </c>
      <c r="AZ37" s="4">
        <v>43113</v>
      </c>
      <c r="BA37" s="5">
        <v>2.2916666666666665E-2</v>
      </c>
      <c r="BB37" s="2">
        <v>2018</v>
      </c>
      <c r="BC37" s="2" t="s">
        <v>84</v>
      </c>
      <c r="BD37" s="2">
        <v>13</v>
      </c>
      <c r="BE37" s="4">
        <v>43115</v>
      </c>
      <c r="BF37" s="5">
        <v>2.2916666666666665E-2</v>
      </c>
      <c r="BG37" s="2" t="str" cm="1">
        <f t="array" ref="BG37">_xlfn.IFS(BF37&lt;TIMEVALUE("06:00"),"Night", BF37&gt;=TIMEVALUE("21:00"),"Night",BF37&gt;=TIMEVALUE("17:00"),"Evening",BF37&gt;=TIMEVALUE("12:00"),"Afternoon", BF37&gt;=TIMEVALUE("06:00"),"Morning")</f>
        <v>Night</v>
      </c>
      <c r="BH37" s="2">
        <v>2018</v>
      </c>
      <c r="BI37" s="2" t="s">
        <v>84</v>
      </c>
      <c r="BJ37" s="2">
        <v>15</v>
      </c>
    </row>
    <row r="38" spans="1:62" x14ac:dyDescent="0.3">
      <c r="A38" s="2" t="s">
        <v>99</v>
      </c>
      <c r="B38" s="2">
        <v>2</v>
      </c>
      <c r="C38" s="2">
        <v>1</v>
      </c>
      <c r="D38" s="2">
        <v>151.03</v>
      </c>
      <c r="E38" s="2">
        <v>314.64</v>
      </c>
      <c r="F38" s="2" t="s">
        <v>87</v>
      </c>
      <c r="G38" s="2" t="s">
        <v>88</v>
      </c>
      <c r="H38" s="2">
        <v>73</v>
      </c>
      <c r="I38" s="2" t="s">
        <v>65</v>
      </c>
      <c r="J38" s="2" t="s">
        <v>343</v>
      </c>
      <c r="K38" s="2" t="s">
        <v>102</v>
      </c>
      <c r="L38" s="2" t="s">
        <v>344</v>
      </c>
      <c r="M38" s="2">
        <v>19457</v>
      </c>
      <c r="N38" s="2" t="s">
        <v>345</v>
      </c>
      <c r="O38" s="2" t="s">
        <v>124</v>
      </c>
      <c r="P38" s="2" t="s">
        <v>280</v>
      </c>
      <c r="Q38" s="2" t="s">
        <v>346</v>
      </c>
      <c r="R38" s="2">
        <v>17013</v>
      </c>
      <c r="S38" s="2">
        <v>2</v>
      </c>
      <c r="T38" s="2" t="s">
        <v>73</v>
      </c>
      <c r="U38" s="2">
        <v>40.031719199999998</v>
      </c>
      <c r="V38" s="2">
        <v>-76.877098099999998</v>
      </c>
      <c r="W38" s="2" t="s">
        <v>74</v>
      </c>
      <c r="X38" s="2" t="s">
        <v>347</v>
      </c>
      <c r="Y38" s="2" t="s">
        <v>93</v>
      </c>
      <c r="Z38" s="2">
        <v>19457</v>
      </c>
      <c r="AA38" s="2" t="s">
        <v>348</v>
      </c>
      <c r="AB38" s="2">
        <v>75904</v>
      </c>
      <c r="AC38" s="2">
        <v>1360</v>
      </c>
      <c r="AD38" s="2">
        <v>13.11</v>
      </c>
      <c r="AE38" s="2">
        <v>0.04</v>
      </c>
      <c r="AF38" s="2" t="str" cm="1">
        <f t="array" ref="AF38">_xlfn.IFS(AE38=0, "No Discount ", AE38&lt;=0.08,"Low Discount", AE38&lt;=0.16,"Medium Discount", AE38&gt;0.16, "High Discount")</f>
        <v>Low Discount</v>
      </c>
      <c r="AG38" s="2">
        <v>179219</v>
      </c>
      <c r="AH38" s="2">
        <v>327.75</v>
      </c>
      <c r="AI38" s="2">
        <v>0.48</v>
      </c>
      <c r="AJ38" s="2" t="str" cm="1">
        <f t="array" ref="AJ38">_xlfn.IFS(AI38&lt;=0, "No Profit", AI38&lt;=0.16,"Low Profit",AI38&lt;=0.32,"Medium Profit",AI38&gt;0.32,"High Profit")</f>
        <v>High Profit</v>
      </c>
      <c r="AK38" s="2">
        <v>1</v>
      </c>
      <c r="AL38" s="2">
        <v>327.75</v>
      </c>
      <c r="AM38" s="2">
        <v>314.64</v>
      </c>
      <c r="AN38" s="2">
        <v>151.03</v>
      </c>
      <c r="AO38" s="2" t="s">
        <v>95</v>
      </c>
      <c r="AP38" s="2" t="s">
        <v>349</v>
      </c>
      <c r="AQ38" s="2" t="s">
        <v>108</v>
      </c>
      <c r="AR38" s="2" t="s">
        <v>81</v>
      </c>
      <c r="AS38" s="2">
        <v>1360</v>
      </c>
      <c r="AT38" s="2">
        <v>73</v>
      </c>
      <c r="AU38" s="2" t="s">
        <v>82</v>
      </c>
      <c r="AV38" s="2">
        <v>327.75</v>
      </c>
      <c r="AW38" s="2">
        <v>0</v>
      </c>
      <c r="AX38" s="2" t="s">
        <v>350</v>
      </c>
      <c r="AY38" s="2" t="s">
        <v>148</v>
      </c>
      <c r="AZ38" s="4">
        <v>43113</v>
      </c>
      <c r="BA38" s="5">
        <v>8.3333333333333332E-3</v>
      </c>
      <c r="BB38" s="2">
        <v>2018</v>
      </c>
      <c r="BC38" s="2" t="s">
        <v>84</v>
      </c>
      <c r="BD38" s="2">
        <v>13</v>
      </c>
      <c r="BE38" s="4">
        <v>43115</v>
      </c>
      <c r="BF38" s="5">
        <v>8.3333333333333332E-3</v>
      </c>
      <c r="BG38" s="2" t="str" cm="1">
        <f t="array" ref="BG38">_xlfn.IFS(BF38&lt;TIMEVALUE("06:00"),"Night", BF38&gt;=TIMEVALUE("21:00"),"Night",BF38&gt;=TIMEVALUE("17:00"),"Evening",BF38&gt;=TIMEVALUE("12:00"),"Afternoon", BF38&gt;=TIMEVALUE("06:00"),"Morning")</f>
        <v>Night</v>
      </c>
      <c r="BH38" s="2">
        <v>2018</v>
      </c>
      <c r="BI38" s="2" t="s">
        <v>84</v>
      </c>
      <c r="BJ38" s="2">
        <v>15</v>
      </c>
    </row>
    <row r="39" spans="1:62" x14ac:dyDescent="0.3">
      <c r="A39" s="2" t="s">
        <v>62</v>
      </c>
      <c r="B39" s="2">
        <v>2</v>
      </c>
      <c r="C39" s="2">
        <v>1</v>
      </c>
      <c r="D39" s="2">
        <v>62.27</v>
      </c>
      <c r="E39" s="2">
        <v>311.36</v>
      </c>
      <c r="F39" s="2" t="s">
        <v>87</v>
      </c>
      <c r="G39" s="2" t="s">
        <v>88</v>
      </c>
      <c r="H39" s="2">
        <v>73</v>
      </c>
      <c r="I39" s="2" t="s">
        <v>65</v>
      </c>
      <c r="J39" s="2" t="s">
        <v>330</v>
      </c>
      <c r="K39" s="2" t="s">
        <v>102</v>
      </c>
      <c r="L39" s="2" t="s">
        <v>351</v>
      </c>
      <c r="M39" s="2">
        <v>19456</v>
      </c>
      <c r="N39" s="2" t="s">
        <v>352</v>
      </c>
      <c r="O39" s="2" t="s">
        <v>124</v>
      </c>
      <c r="P39" s="2" t="s">
        <v>333</v>
      </c>
      <c r="Q39" s="2" t="s">
        <v>353</v>
      </c>
      <c r="R39" s="2">
        <v>75228</v>
      </c>
      <c r="S39" s="2">
        <v>2</v>
      </c>
      <c r="T39" s="2" t="s">
        <v>73</v>
      </c>
      <c r="U39" s="2">
        <v>32.810108200000002</v>
      </c>
      <c r="V39" s="2">
        <v>-96.686492900000005</v>
      </c>
      <c r="W39" s="2" t="s">
        <v>74</v>
      </c>
      <c r="X39" s="2" t="s">
        <v>354</v>
      </c>
      <c r="Y39" s="2" t="s">
        <v>116</v>
      </c>
      <c r="Z39" s="2">
        <v>19456</v>
      </c>
      <c r="AA39" s="3">
        <v>43435.993750000001</v>
      </c>
      <c r="AB39" s="2">
        <v>75903</v>
      </c>
      <c r="AC39" s="2">
        <v>1360</v>
      </c>
      <c r="AD39" s="2">
        <v>16.39</v>
      </c>
      <c r="AE39" s="2">
        <v>0.05</v>
      </c>
      <c r="AF39" s="2" t="str" cm="1">
        <f t="array" ref="AF39">_xlfn.IFS(AE39=0, "No Discount ", AE39&lt;=0.08,"Low Discount", AE39&lt;=0.16,"Medium Discount", AE39&gt;0.16, "High Discount")</f>
        <v>Low Discount</v>
      </c>
      <c r="AG39" s="2">
        <v>179218</v>
      </c>
      <c r="AH39" s="2">
        <v>327.75</v>
      </c>
      <c r="AI39" s="2">
        <v>0.2</v>
      </c>
      <c r="AJ39" s="2" t="str" cm="1">
        <f t="array" ref="AJ39">_xlfn.IFS(AI39&lt;=0, "No Profit", AI39&lt;=0.16,"Low Profit",AI39&lt;=0.32,"Medium Profit",AI39&gt;0.32,"High Profit")</f>
        <v>Medium Profit</v>
      </c>
      <c r="AK39" s="2">
        <v>1</v>
      </c>
      <c r="AL39" s="2">
        <v>327.75</v>
      </c>
      <c r="AM39" s="2">
        <v>311.36</v>
      </c>
      <c r="AN39" s="2">
        <v>62.27</v>
      </c>
      <c r="AO39" s="2" t="s">
        <v>118</v>
      </c>
      <c r="AP39" s="2" t="s">
        <v>355</v>
      </c>
      <c r="AQ39" s="2" t="s">
        <v>80</v>
      </c>
      <c r="AR39" s="2" t="s">
        <v>81</v>
      </c>
      <c r="AS39" s="2">
        <v>1360</v>
      </c>
      <c r="AT39" s="2">
        <v>73</v>
      </c>
      <c r="AU39" s="2" t="s">
        <v>82</v>
      </c>
      <c r="AV39" s="2">
        <v>327.75</v>
      </c>
      <c r="AW39" s="2">
        <v>0</v>
      </c>
      <c r="AX39" s="2" t="s">
        <v>356</v>
      </c>
      <c r="AY39" s="2" t="s">
        <v>148</v>
      </c>
      <c r="AZ39" s="4">
        <v>43435</v>
      </c>
      <c r="BA39" s="5">
        <v>0.99375000000000002</v>
      </c>
      <c r="BB39" s="2">
        <v>2018</v>
      </c>
      <c r="BC39" s="2" t="s">
        <v>357</v>
      </c>
      <c r="BD39" s="2">
        <v>1</v>
      </c>
      <c r="BE39" s="4">
        <v>43114</v>
      </c>
      <c r="BF39" s="5">
        <v>0.99375000000000002</v>
      </c>
      <c r="BG39" s="2" t="str" cm="1">
        <f t="array" ref="BG39">_xlfn.IFS(BF39&lt;TIMEVALUE("06:00"),"Night", BF39&gt;=TIMEVALUE("21:00"),"Night",BF39&gt;=TIMEVALUE("17:00"),"Evening",BF39&gt;=TIMEVALUE("12:00"),"Afternoon", BF39&gt;=TIMEVALUE("06:00"),"Morning")</f>
        <v>Night</v>
      </c>
      <c r="BH39" s="2">
        <v>2018</v>
      </c>
      <c r="BI39" s="2" t="s">
        <v>84</v>
      </c>
      <c r="BJ39" s="2">
        <v>14</v>
      </c>
    </row>
    <row r="40" spans="1:62" x14ac:dyDescent="0.3">
      <c r="A40" s="2" t="s">
        <v>62</v>
      </c>
      <c r="B40" s="2">
        <v>1</v>
      </c>
      <c r="C40" s="2">
        <v>0</v>
      </c>
      <c r="D40" s="2">
        <v>35</v>
      </c>
      <c r="E40" s="2">
        <v>309.72000000000003</v>
      </c>
      <c r="F40" s="2" t="s">
        <v>87</v>
      </c>
      <c r="G40" s="2" t="s">
        <v>88</v>
      </c>
      <c r="H40" s="2">
        <v>73</v>
      </c>
      <c r="I40" s="2" t="s">
        <v>65</v>
      </c>
      <c r="J40" s="2" t="s">
        <v>66</v>
      </c>
      <c r="K40" s="2" t="s">
        <v>67</v>
      </c>
      <c r="L40" s="2" t="s">
        <v>358</v>
      </c>
      <c r="M40" s="2">
        <v>19455</v>
      </c>
      <c r="N40" s="2" t="s">
        <v>359</v>
      </c>
      <c r="O40" s="2" t="s">
        <v>70</v>
      </c>
      <c r="P40" s="2" t="s">
        <v>71</v>
      </c>
      <c r="Q40" s="2" t="s">
        <v>360</v>
      </c>
      <c r="R40" s="2">
        <v>725</v>
      </c>
      <c r="S40" s="2">
        <v>2</v>
      </c>
      <c r="T40" s="2" t="s">
        <v>73</v>
      </c>
      <c r="U40" s="2">
        <v>18.286048900000001</v>
      </c>
      <c r="V40" s="2">
        <v>-66.037056000000007</v>
      </c>
      <c r="W40" s="2" t="s">
        <v>74</v>
      </c>
      <c r="X40" s="2" t="s">
        <v>354</v>
      </c>
      <c r="Y40" s="2" t="s">
        <v>116</v>
      </c>
      <c r="Z40" s="2">
        <v>19455</v>
      </c>
      <c r="AA40" s="3">
        <v>43435.979166666664</v>
      </c>
      <c r="AB40" s="2">
        <v>75902</v>
      </c>
      <c r="AC40" s="2">
        <v>1360</v>
      </c>
      <c r="AD40" s="2">
        <v>18.03</v>
      </c>
      <c r="AE40" s="2">
        <v>0.06</v>
      </c>
      <c r="AF40" s="2" t="str" cm="1">
        <f t="array" ref="AF40">_xlfn.IFS(AE40=0, "No Discount ", AE40&lt;=0.08,"Low Discount", AE40&lt;=0.16,"Medium Discount", AE40&gt;0.16, "High Discount")</f>
        <v>Low Discount</v>
      </c>
      <c r="AG40" s="2">
        <v>179217</v>
      </c>
      <c r="AH40" s="2">
        <v>327.75</v>
      </c>
      <c r="AI40" s="2">
        <v>0.11</v>
      </c>
      <c r="AJ40" s="2" t="str" cm="1">
        <f t="array" ref="AJ40">_xlfn.IFS(AI40&lt;=0, "No Profit", AI40&lt;=0.16,"Low Profit",AI40&lt;=0.32,"Medium Profit",AI40&gt;0.32,"High Profit")</f>
        <v>Low Profit</v>
      </c>
      <c r="AK40" s="2">
        <v>1</v>
      </c>
      <c r="AL40" s="2">
        <v>327.75</v>
      </c>
      <c r="AM40" s="2">
        <v>309.72000000000003</v>
      </c>
      <c r="AN40" s="2">
        <v>35</v>
      </c>
      <c r="AO40" s="2" t="s">
        <v>118</v>
      </c>
      <c r="AP40" s="2" t="s">
        <v>355</v>
      </c>
      <c r="AQ40" s="2" t="s">
        <v>80</v>
      </c>
      <c r="AR40" s="2" t="s">
        <v>81</v>
      </c>
      <c r="AS40" s="2">
        <v>1360</v>
      </c>
      <c r="AT40" s="2">
        <v>73</v>
      </c>
      <c r="AU40" s="2" t="s">
        <v>82</v>
      </c>
      <c r="AV40" s="2">
        <v>327.75</v>
      </c>
      <c r="AW40" s="2">
        <v>0</v>
      </c>
      <c r="AX40" s="2" t="s">
        <v>361</v>
      </c>
      <c r="AY40" s="2" t="s">
        <v>238</v>
      </c>
      <c r="AZ40" s="4">
        <v>43435</v>
      </c>
      <c r="BA40" s="5">
        <v>0.97916666666666663</v>
      </c>
      <c r="BB40" s="2">
        <v>2018</v>
      </c>
      <c r="BC40" s="2" t="s">
        <v>357</v>
      </c>
      <c r="BD40" s="2">
        <v>1</v>
      </c>
      <c r="BE40" s="4">
        <v>43113</v>
      </c>
      <c r="BF40" s="5">
        <v>0.47916666666666669</v>
      </c>
      <c r="BG40" s="2" t="str" cm="1">
        <f t="array" ref="BG40">_xlfn.IFS(BF40&lt;TIMEVALUE("06:00"),"Night", BF40&gt;=TIMEVALUE("21:00"),"Night",BF40&gt;=TIMEVALUE("17:00"),"Evening",BF40&gt;=TIMEVALUE("12:00"),"Afternoon", BF40&gt;=TIMEVALUE("06:00"),"Morning")</f>
        <v>Morning</v>
      </c>
      <c r="BH40" s="2">
        <v>2018</v>
      </c>
      <c r="BI40" s="2" t="s">
        <v>84</v>
      </c>
      <c r="BJ40" s="2">
        <v>13</v>
      </c>
    </row>
    <row r="41" spans="1:62" x14ac:dyDescent="0.3">
      <c r="A41" s="2" t="s">
        <v>86</v>
      </c>
      <c r="B41" s="2">
        <v>1</v>
      </c>
      <c r="C41" s="2">
        <v>0</v>
      </c>
      <c r="D41" s="2">
        <v>57.3</v>
      </c>
      <c r="E41" s="2">
        <v>304.81</v>
      </c>
      <c r="F41" s="2" t="s">
        <v>129</v>
      </c>
      <c r="G41" s="2" t="s">
        <v>64</v>
      </c>
      <c r="H41" s="2">
        <v>73</v>
      </c>
      <c r="I41" s="2" t="s">
        <v>65</v>
      </c>
      <c r="J41" s="2" t="s">
        <v>362</v>
      </c>
      <c r="K41" s="2" t="s">
        <v>102</v>
      </c>
      <c r="L41" s="2" t="s">
        <v>363</v>
      </c>
      <c r="M41" s="2">
        <v>19454</v>
      </c>
      <c r="N41" s="2" t="s">
        <v>364</v>
      </c>
      <c r="O41" s="2" t="s">
        <v>70</v>
      </c>
      <c r="P41" s="2" t="s">
        <v>365</v>
      </c>
      <c r="Q41" s="2" t="s">
        <v>366</v>
      </c>
      <c r="R41" s="2">
        <v>19702</v>
      </c>
      <c r="S41" s="2">
        <v>2</v>
      </c>
      <c r="T41" s="2" t="s">
        <v>73</v>
      </c>
      <c r="U41" s="2">
        <v>39.681880999999997</v>
      </c>
      <c r="V41" s="2">
        <v>-75.644210799999996</v>
      </c>
      <c r="W41" s="2" t="s">
        <v>74</v>
      </c>
      <c r="X41" s="2" t="s">
        <v>354</v>
      </c>
      <c r="Y41" s="2" t="s">
        <v>116</v>
      </c>
      <c r="Z41" s="2">
        <v>19454</v>
      </c>
      <c r="AA41" s="3">
        <v>43435.964583333334</v>
      </c>
      <c r="AB41" s="2">
        <v>75901</v>
      </c>
      <c r="AC41" s="2">
        <v>1360</v>
      </c>
      <c r="AD41" s="2">
        <v>22.94</v>
      </c>
      <c r="AE41" s="2">
        <v>7.0000000000000007E-2</v>
      </c>
      <c r="AF41" s="2" t="str" cm="1">
        <f t="array" ref="AF41">_xlfn.IFS(AE41=0, "No Discount ", AE41&lt;=0.08,"Low Discount", AE41&lt;=0.16,"Medium Discount", AE41&gt;0.16, "High Discount")</f>
        <v>Low Discount</v>
      </c>
      <c r="AG41" s="2">
        <v>179216</v>
      </c>
      <c r="AH41" s="2">
        <v>327.75</v>
      </c>
      <c r="AI41" s="2">
        <v>0.19</v>
      </c>
      <c r="AJ41" s="2" t="str" cm="1">
        <f t="array" ref="AJ41">_xlfn.IFS(AI41&lt;=0, "No Profit", AI41&lt;=0.16,"Low Profit",AI41&lt;=0.32,"Medium Profit",AI41&gt;0.32,"High Profit")</f>
        <v>Medium Profit</v>
      </c>
      <c r="AK41" s="2">
        <v>1</v>
      </c>
      <c r="AL41" s="2">
        <v>327.75</v>
      </c>
      <c r="AM41" s="2">
        <v>304.81</v>
      </c>
      <c r="AN41" s="2">
        <v>57.3</v>
      </c>
      <c r="AO41" s="2" t="s">
        <v>118</v>
      </c>
      <c r="AP41" s="2" t="s">
        <v>355</v>
      </c>
      <c r="AQ41" s="2" t="s">
        <v>137</v>
      </c>
      <c r="AR41" s="2" t="s">
        <v>81</v>
      </c>
      <c r="AS41" s="2">
        <v>1360</v>
      </c>
      <c r="AT41" s="2">
        <v>73</v>
      </c>
      <c r="AU41" s="2" t="s">
        <v>82</v>
      </c>
      <c r="AV41" s="2">
        <v>327.75</v>
      </c>
      <c r="AW41" s="2">
        <v>0</v>
      </c>
      <c r="AX41" s="2" t="s">
        <v>367</v>
      </c>
      <c r="AY41" s="2" t="s">
        <v>238</v>
      </c>
      <c r="AZ41" s="4">
        <v>43435</v>
      </c>
      <c r="BA41" s="5">
        <v>0.96458333333333335</v>
      </c>
      <c r="BB41" s="2">
        <v>2018</v>
      </c>
      <c r="BC41" s="2" t="s">
        <v>357</v>
      </c>
      <c r="BD41" s="2">
        <v>1</v>
      </c>
      <c r="BE41" s="4">
        <v>43113</v>
      </c>
      <c r="BF41" s="5">
        <v>0.46458333333333335</v>
      </c>
      <c r="BG41" s="2" t="str" cm="1">
        <f t="array" ref="BG41">_xlfn.IFS(BF41&lt;TIMEVALUE("06:00"),"Night", BF41&gt;=TIMEVALUE("21:00"),"Night",BF41&gt;=TIMEVALUE("17:00"),"Evening",BF41&gt;=TIMEVALUE("12:00"),"Afternoon", BF41&gt;=TIMEVALUE("06:00"),"Morning")</f>
        <v>Morning</v>
      </c>
      <c r="BH41" s="2">
        <v>2018</v>
      </c>
      <c r="BI41" s="2" t="s">
        <v>84</v>
      </c>
      <c r="BJ41" s="2">
        <v>13</v>
      </c>
    </row>
    <row r="42" spans="1:62" x14ac:dyDescent="0.3">
      <c r="A42" s="2" t="s">
        <v>121</v>
      </c>
      <c r="B42" s="2">
        <v>1</v>
      </c>
      <c r="C42" s="2">
        <v>0</v>
      </c>
      <c r="D42" s="2">
        <v>143.16</v>
      </c>
      <c r="E42" s="2">
        <v>298.25</v>
      </c>
      <c r="F42" s="2" t="s">
        <v>87</v>
      </c>
      <c r="G42" s="2" t="s">
        <v>88</v>
      </c>
      <c r="H42" s="2">
        <v>73</v>
      </c>
      <c r="I42" s="2" t="s">
        <v>65</v>
      </c>
      <c r="J42" s="2" t="s">
        <v>368</v>
      </c>
      <c r="K42" s="2" t="s">
        <v>102</v>
      </c>
      <c r="L42" s="2" t="s">
        <v>369</v>
      </c>
      <c r="M42" s="2">
        <v>19453</v>
      </c>
      <c r="N42" s="2" t="s">
        <v>370</v>
      </c>
      <c r="O42" s="2" t="s">
        <v>70</v>
      </c>
      <c r="P42" s="2" t="s">
        <v>105</v>
      </c>
      <c r="Q42" s="2" t="s">
        <v>371</v>
      </c>
      <c r="R42" s="2">
        <v>91402</v>
      </c>
      <c r="S42" s="2">
        <v>2</v>
      </c>
      <c r="T42" s="2" t="s">
        <v>73</v>
      </c>
      <c r="U42" s="2">
        <v>34.158939400000001</v>
      </c>
      <c r="V42" s="2">
        <v>-118.1809387</v>
      </c>
      <c r="W42" s="2" t="s">
        <v>74</v>
      </c>
      <c r="X42" s="2" t="s">
        <v>340</v>
      </c>
      <c r="Y42" s="2" t="s">
        <v>340</v>
      </c>
      <c r="Z42" s="2">
        <v>19453</v>
      </c>
      <c r="AA42" s="3">
        <v>43435.95</v>
      </c>
      <c r="AB42" s="2">
        <v>75900</v>
      </c>
      <c r="AC42" s="2">
        <v>1360</v>
      </c>
      <c r="AD42" s="2">
        <v>29.5</v>
      </c>
      <c r="AE42" s="2">
        <v>0.09</v>
      </c>
      <c r="AF42" s="2" t="str" cm="1">
        <f t="array" ref="AF42">_xlfn.IFS(AE42=0, "No Discount ", AE42&lt;=0.08,"Low Discount", AE42&lt;=0.16,"Medium Discount", AE42&gt;0.16, "High Discount")</f>
        <v>Medium Discount</v>
      </c>
      <c r="AG42" s="2">
        <v>179215</v>
      </c>
      <c r="AH42" s="2">
        <v>327.75</v>
      </c>
      <c r="AI42" s="2">
        <v>0.48</v>
      </c>
      <c r="AJ42" s="2" t="str" cm="1">
        <f t="array" ref="AJ42">_xlfn.IFS(AI42&lt;=0, "No Profit", AI42&lt;=0.16,"Low Profit",AI42&lt;=0.32,"Medium Profit",AI42&gt;0.32,"High Profit")</f>
        <v>High Profit</v>
      </c>
      <c r="AK42" s="2">
        <v>1</v>
      </c>
      <c r="AL42" s="2">
        <v>327.75</v>
      </c>
      <c r="AM42" s="2">
        <v>298.25</v>
      </c>
      <c r="AN42" s="2">
        <v>143.16</v>
      </c>
      <c r="AO42" s="2" t="s">
        <v>78</v>
      </c>
      <c r="AP42" s="2" t="s">
        <v>340</v>
      </c>
      <c r="AQ42" s="2" t="s">
        <v>127</v>
      </c>
      <c r="AR42" s="2" t="s">
        <v>81</v>
      </c>
      <c r="AS42" s="2">
        <v>1360</v>
      </c>
      <c r="AT42" s="2">
        <v>73</v>
      </c>
      <c r="AU42" s="2" t="s">
        <v>82</v>
      </c>
      <c r="AV42" s="2">
        <v>327.75</v>
      </c>
      <c r="AW42" s="2">
        <v>0</v>
      </c>
      <c r="AX42" s="2" t="s">
        <v>372</v>
      </c>
      <c r="AY42" s="2" t="s">
        <v>238</v>
      </c>
      <c r="AZ42" s="4">
        <v>43435</v>
      </c>
      <c r="BA42" s="5">
        <v>0.95</v>
      </c>
      <c r="BB42" s="2">
        <v>2018</v>
      </c>
      <c r="BC42" s="2" t="s">
        <v>357</v>
      </c>
      <c r="BD42" s="2">
        <v>1</v>
      </c>
      <c r="BE42" s="4">
        <v>43113</v>
      </c>
      <c r="BF42" s="5">
        <v>0.45</v>
      </c>
      <c r="BG42" s="2" t="str" cm="1">
        <f t="array" ref="BG42">_xlfn.IFS(BF42&lt;TIMEVALUE("06:00"),"Night", BF42&gt;=TIMEVALUE("21:00"),"Night",BF42&gt;=TIMEVALUE("17:00"),"Evening",BF42&gt;=TIMEVALUE("12:00"),"Afternoon", BF42&gt;=TIMEVALUE("06:00"),"Morning")</f>
        <v>Morning</v>
      </c>
      <c r="BH42" s="2">
        <v>2018</v>
      </c>
      <c r="BI42" s="2" t="s">
        <v>84</v>
      </c>
      <c r="BJ42" s="2">
        <v>13</v>
      </c>
    </row>
    <row r="43" spans="1:62" x14ac:dyDescent="0.3">
      <c r="A43" s="2" t="s">
        <v>62</v>
      </c>
      <c r="B43" s="2">
        <v>1</v>
      </c>
      <c r="C43" s="2">
        <v>0</v>
      </c>
      <c r="D43" s="2">
        <v>135.69</v>
      </c>
      <c r="E43" s="2">
        <v>294.98</v>
      </c>
      <c r="F43" s="2" t="s">
        <v>87</v>
      </c>
      <c r="G43" s="2" t="s">
        <v>88</v>
      </c>
      <c r="H43" s="2">
        <v>73</v>
      </c>
      <c r="I43" s="2" t="s">
        <v>65</v>
      </c>
      <c r="J43" s="2" t="s">
        <v>66</v>
      </c>
      <c r="K43" s="2" t="s">
        <v>67</v>
      </c>
      <c r="L43" s="2" t="s">
        <v>373</v>
      </c>
      <c r="M43" s="2">
        <v>19452</v>
      </c>
      <c r="N43" s="2" t="s">
        <v>374</v>
      </c>
      <c r="O43" s="2" t="s">
        <v>113</v>
      </c>
      <c r="P43" s="2" t="s">
        <v>71</v>
      </c>
      <c r="Q43" s="2" t="s">
        <v>375</v>
      </c>
      <c r="R43" s="2">
        <v>725</v>
      </c>
      <c r="S43" s="2">
        <v>2</v>
      </c>
      <c r="T43" s="2" t="s">
        <v>73</v>
      </c>
      <c r="U43" s="2">
        <v>18.282945600000001</v>
      </c>
      <c r="V43" s="2">
        <v>-66.037063599999996</v>
      </c>
      <c r="W43" s="2" t="s">
        <v>74</v>
      </c>
      <c r="X43" s="2" t="s">
        <v>340</v>
      </c>
      <c r="Y43" s="2" t="s">
        <v>340</v>
      </c>
      <c r="Z43" s="2">
        <v>19452</v>
      </c>
      <c r="AA43" s="3">
        <v>43435.935416666667</v>
      </c>
      <c r="AB43" s="2">
        <v>75899</v>
      </c>
      <c r="AC43" s="2">
        <v>1360</v>
      </c>
      <c r="AD43" s="2">
        <v>32.78</v>
      </c>
      <c r="AE43" s="2">
        <v>0.1</v>
      </c>
      <c r="AF43" s="2" t="str" cm="1">
        <f t="array" ref="AF43">_xlfn.IFS(AE43=0, "No Discount ", AE43&lt;=0.08,"Low Discount", AE43&lt;=0.16,"Medium Discount", AE43&gt;0.16, "High Discount")</f>
        <v>Medium Discount</v>
      </c>
      <c r="AG43" s="2">
        <v>179214</v>
      </c>
      <c r="AH43" s="2">
        <v>327.75</v>
      </c>
      <c r="AI43" s="2">
        <v>0.46</v>
      </c>
      <c r="AJ43" s="2" t="str" cm="1">
        <f t="array" ref="AJ43">_xlfn.IFS(AI43&lt;=0, "No Profit", AI43&lt;=0.16,"Low Profit",AI43&lt;=0.32,"Medium Profit",AI43&gt;0.32,"High Profit")</f>
        <v>High Profit</v>
      </c>
      <c r="AK43" s="2">
        <v>1</v>
      </c>
      <c r="AL43" s="2">
        <v>327.75</v>
      </c>
      <c r="AM43" s="2">
        <v>294.98</v>
      </c>
      <c r="AN43" s="2">
        <v>135.69</v>
      </c>
      <c r="AO43" s="2" t="s">
        <v>78</v>
      </c>
      <c r="AP43" s="2" t="s">
        <v>340</v>
      </c>
      <c r="AQ43" s="2" t="s">
        <v>80</v>
      </c>
      <c r="AR43" s="2" t="s">
        <v>81</v>
      </c>
      <c r="AS43" s="2">
        <v>1360</v>
      </c>
      <c r="AT43" s="2">
        <v>73</v>
      </c>
      <c r="AU43" s="2" t="s">
        <v>82</v>
      </c>
      <c r="AV43" s="2">
        <v>327.75</v>
      </c>
      <c r="AW43" s="2">
        <v>0</v>
      </c>
      <c r="AX43" s="2" t="s">
        <v>376</v>
      </c>
      <c r="AY43" s="2" t="s">
        <v>238</v>
      </c>
      <c r="AZ43" s="4">
        <v>43435</v>
      </c>
      <c r="BA43" s="5">
        <v>0.93541666666666667</v>
      </c>
      <c r="BB43" s="2">
        <v>2018</v>
      </c>
      <c r="BC43" s="2" t="s">
        <v>357</v>
      </c>
      <c r="BD43" s="2">
        <v>1</v>
      </c>
      <c r="BE43" s="4">
        <v>43113</v>
      </c>
      <c r="BF43" s="5">
        <v>0.43541666666666667</v>
      </c>
      <c r="BG43" s="2" t="str" cm="1">
        <f t="array" ref="BG43">_xlfn.IFS(BF43&lt;TIMEVALUE("06:00"),"Night", BF43&gt;=TIMEVALUE("21:00"),"Night",BF43&gt;=TIMEVALUE("17:00"),"Evening",BF43&gt;=TIMEVALUE("12:00"),"Afternoon", BF43&gt;=TIMEVALUE("06:00"),"Morning")</f>
        <v>Morning</v>
      </c>
      <c r="BH43" s="2">
        <v>2018</v>
      </c>
      <c r="BI43" s="2" t="s">
        <v>84</v>
      </c>
      <c r="BJ43" s="2">
        <v>13</v>
      </c>
    </row>
    <row r="44" spans="1:62" x14ac:dyDescent="0.3">
      <c r="A44" s="2" t="s">
        <v>99</v>
      </c>
      <c r="B44" s="2">
        <v>4</v>
      </c>
      <c r="C44" s="2">
        <v>4</v>
      </c>
      <c r="D44" s="2">
        <v>132.66999999999999</v>
      </c>
      <c r="E44" s="2">
        <v>288.42</v>
      </c>
      <c r="F44" s="2" t="s">
        <v>100</v>
      </c>
      <c r="G44" s="2" t="s">
        <v>64</v>
      </c>
      <c r="H44" s="2">
        <v>73</v>
      </c>
      <c r="I44" s="2" t="s">
        <v>65</v>
      </c>
      <c r="J44" s="2" t="s">
        <v>377</v>
      </c>
      <c r="K44" s="2" t="s">
        <v>102</v>
      </c>
      <c r="L44" s="2" t="s">
        <v>378</v>
      </c>
      <c r="M44" s="2">
        <v>19451</v>
      </c>
      <c r="N44" s="2" t="s">
        <v>379</v>
      </c>
      <c r="O44" s="2" t="s">
        <v>113</v>
      </c>
      <c r="P44" s="2" t="s">
        <v>380</v>
      </c>
      <c r="Q44" s="2" t="s">
        <v>381</v>
      </c>
      <c r="R44" s="2">
        <v>30318</v>
      </c>
      <c r="S44" s="2">
        <v>2</v>
      </c>
      <c r="T44" s="2" t="s">
        <v>73</v>
      </c>
      <c r="U44" s="2">
        <v>33.816326099999998</v>
      </c>
      <c r="V44" s="2">
        <v>-84.445503200000005</v>
      </c>
      <c r="W44" s="2" t="s">
        <v>74</v>
      </c>
      <c r="X44" s="2" t="s">
        <v>382</v>
      </c>
      <c r="Y44" s="2" t="s">
        <v>76</v>
      </c>
      <c r="Z44" s="2">
        <v>19451</v>
      </c>
      <c r="AA44" s="3">
        <v>43435.920138888891</v>
      </c>
      <c r="AB44" s="2">
        <v>75898</v>
      </c>
      <c r="AC44" s="2">
        <v>1360</v>
      </c>
      <c r="AD44" s="2">
        <v>39.33</v>
      </c>
      <c r="AE44" s="2">
        <v>0.12</v>
      </c>
      <c r="AF44" s="2" t="str" cm="1">
        <f t="array" ref="AF44">_xlfn.IFS(AE44=0, "No Discount ", AE44&lt;=0.08,"Low Discount", AE44&lt;=0.16,"Medium Discount", AE44&gt;0.16, "High Discount")</f>
        <v>Medium Discount</v>
      </c>
      <c r="AG44" s="2">
        <v>179213</v>
      </c>
      <c r="AH44" s="2">
        <v>327.75</v>
      </c>
      <c r="AI44" s="2">
        <v>0.46</v>
      </c>
      <c r="AJ44" s="2" t="str" cm="1">
        <f t="array" ref="AJ44">_xlfn.IFS(AI44&lt;=0, "No Profit", AI44&lt;=0.16,"Low Profit",AI44&lt;=0.32,"Medium Profit",AI44&gt;0.32,"High Profit")</f>
        <v>High Profit</v>
      </c>
      <c r="AK44" s="2">
        <v>1</v>
      </c>
      <c r="AL44" s="2">
        <v>327.75</v>
      </c>
      <c r="AM44" s="2">
        <v>288.42</v>
      </c>
      <c r="AN44" s="2">
        <v>132.66999999999999</v>
      </c>
      <c r="AO44" s="2" t="s">
        <v>78</v>
      </c>
      <c r="AP44" s="2" t="s">
        <v>383</v>
      </c>
      <c r="AQ44" s="2" t="s">
        <v>108</v>
      </c>
      <c r="AR44" s="2" t="s">
        <v>81</v>
      </c>
      <c r="AS44" s="2">
        <v>1360</v>
      </c>
      <c r="AT44" s="2">
        <v>73</v>
      </c>
      <c r="AU44" s="2" t="s">
        <v>82</v>
      </c>
      <c r="AV44" s="2">
        <v>327.75</v>
      </c>
      <c r="AW44" s="2">
        <v>0</v>
      </c>
      <c r="AX44" s="2" t="s">
        <v>384</v>
      </c>
      <c r="AY44" s="2" t="s">
        <v>83</v>
      </c>
      <c r="AZ44" s="4">
        <v>43435</v>
      </c>
      <c r="BA44" s="5">
        <v>0.92013888888888884</v>
      </c>
      <c r="BB44" s="2">
        <v>2018</v>
      </c>
      <c r="BC44" s="2" t="s">
        <v>357</v>
      </c>
      <c r="BD44" s="2">
        <v>1</v>
      </c>
      <c r="BE44" s="4">
        <v>43116</v>
      </c>
      <c r="BF44" s="5">
        <v>0.92013888888888884</v>
      </c>
      <c r="BG44" s="2" t="str" cm="1">
        <f t="array" ref="BG44">_xlfn.IFS(BF44&lt;TIMEVALUE("06:00"),"Night", BF44&gt;=TIMEVALUE("21:00"),"Night",BF44&gt;=TIMEVALUE("17:00"),"Evening",BF44&gt;=TIMEVALUE("12:00"),"Afternoon", BF44&gt;=TIMEVALUE("06:00"),"Morning")</f>
        <v>Night</v>
      </c>
      <c r="BH44" s="2">
        <v>2018</v>
      </c>
      <c r="BI44" s="2" t="s">
        <v>84</v>
      </c>
      <c r="BJ44" s="2">
        <v>16</v>
      </c>
    </row>
    <row r="45" spans="1:62" x14ac:dyDescent="0.3">
      <c r="A45" s="2" t="s">
        <v>121</v>
      </c>
      <c r="B45" s="2">
        <v>3</v>
      </c>
      <c r="C45" s="2">
        <v>4</v>
      </c>
      <c r="D45" s="2">
        <v>119.76</v>
      </c>
      <c r="E45" s="2">
        <v>285.14</v>
      </c>
      <c r="F45" s="2" t="s">
        <v>63</v>
      </c>
      <c r="G45" s="2" t="s">
        <v>64</v>
      </c>
      <c r="H45" s="2">
        <v>73</v>
      </c>
      <c r="I45" s="2" t="s">
        <v>65</v>
      </c>
      <c r="J45" s="2" t="s">
        <v>66</v>
      </c>
      <c r="K45" s="2" t="s">
        <v>67</v>
      </c>
      <c r="L45" s="2" t="s">
        <v>385</v>
      </c>
      <c r="M45" s="2">
        <v>19450</v>
      </c>
      <c r="N45" s="2" t="s">
        <v>386</v>
      </c>
      <c r="O45" s="2" t="s">
        <v>113</v>
      </c>
      <c r="P45" s="2" t="s">
        <v>71</v>
      </c>
      <c r="Q45" s="2" t="s">
        <v>387</v>
      </c>
      <c r="R45" s="2">
        <v>725</v>
      </c>
      <c r="S45" s="2">
        <v>2</v>
      </c>
      <c r="T45" s="2" t="s">
        <v>73</v>
      </c>
      <c r="U45" s="2">
        <v>18.241039300000001</v>
      </c>
      <c r="V45" s="2">
        <v>-66.037063599999996</v>
      </c>
      <c r="W45" s="2" t="s">
        <v>74</v>
      </c>
      <c r="X45" s="2" t="s">
        <v>382</v>
      </c>
      <c r="Y45" s="2" t="s">
        <v>76</v>
      </c>
      <c r="Z45" s="2">
        <v>19450</v>
      </c>
      <c r="AA45" s="3">
        <v>43435.905555555553</v>
      </c>
      <c r="AB45" s="2">
        <v>75897</v>
      </c>
      <c r="AC45" s="2">
        <v>1360</v>
      </c>
      <c r="AD45" s="2">
        <v>42.61</v>
      </c>
      <c r="AE45" s="2">
        <v>0.13</v>
      </c>
      <c r="AF45" s="2" t="str" cm="1">
        <f t="array" ref="AF45">_xlfn.IFS(AE45=0, "No Discount ", AE45&lt;=0.08,"Low Discount", AE45&lt;=0.16,"Medium Discount", AE45&gt;0.16, "High Discount")</f>
        <v>Medium Discount</v>
      </c>
      <c r="AG45" s="2">
        <v>179212</v>
      </c>
      <c r="AH45" s="2">
        <v>327.75</v>
      </c>
      <c r="AI45" s="2">
        <v>0.42</v>
      </c>
      <c r="AJ45" s="2" t="str" cm="1">
        <f t="array" ref="AJ45">_xlfn.IFS(AI45&lt;=0, "No Profit", AI45&lt;=0.16,"Low Profit",AI45&lt;=0.32,"Medium Profit",AI45&gt;0.32,"High Profit")</f>
        <v>High Profit</v>
      </c>
      <c r="AK45" s="2">
        <v>1</v>
      </c>
      <c r="AL45" s="2">
        <v>327.75</v>
      </c>
      <c r="AM45" s="2">
        <v>285.14</v>
      </c>
      <c r="AN45" s="2">
        <v>119.76</v>
      </c>
      <c r="AO45" s="2" t="s">
        <v>78</v>
      </c>
      <c r="AP45" s="2" t="s">
        <v>383</v>
      </c>
      <c r="AQ45" s="2" t="s">
        <v>127</v>
      </c>
      <c r="AR45" s="2" t="s">
        <v>81</v>
      </c>
      <c r="AS45" s="2">
        <v>1360</v>
      </c>
      <c r="AT45" s="2">
        <v>73</v>
      </c>
      <c r="AU45" s="2" t="s">
        <v>82</v>
      </c>
      <c r="AV45" s="2">
        <v>327.75</v>
      </c>
      <c r="AW45" s="2">
        <v>0</v>
      </c>
      <c r="AX45" s="2" t="s">
        <v>388</v>
      </c>
      <c r="AY45" s="2" t="s">
        <v>83</v>
      </c>
      <c r="AZ45" s="4">
        <v>43435</v>
      </c>
      <c r="BA45" s="5">
        <v>0.90555555555555556</v>
      </c>
      <c r="BB45" s="2">
        <v>2018</v>
      </c>
      <c r="BC45" s="2" t="s">
        <v>357</v>
      </c>
      <c r="BD45" s="2">
        <v>1</v>
      </c>
      <c r="BE45" s="4">
        <v>43115</v>
      </c>
      <c r="BF45" s="5">
        <v>0.90555555555555556</v>
      </c>
      <c r="BG45" s="2" t="str" cm="1">
        <f t="array" ref="BG45">_xlfn.IFS(BF45&lt;TIMEVALUE("06:00"),"Night", BF45&gt;=TIMEVALUE("21:00"),"Night",BF45&gt;=TIMEVALUE("17:00"),"Evening",BF45&gt;=TIMEVALUE("12:00"),"Afternoon", BF45&gt;=TIMEVALUE("06:00"),"Morning")</f>
        <v>Night</v>
      </c>
      <c r="BH45" s="2">
        <v>2018</v>
      </c>
      <c r="BI45" s="2" t="s">
        <v>84</v>
      </c>
      <c r="BJ45" s="2">
        <v>15</v>
      </c>
    </row>
    <row r="46" spans="1:62" x14ac:dyDescent="0.3">
      <c r="A46" s="2" t="s">
        <v>62</v>
      </c>
      <c r="B46" s="2">
        <v>2</v>
      </c>
      <c r="C46" s="2">
        <v>4</v>
      </c>
      <c r="D46" s="2">
        <v>31.48</v>
      </c>
      <c r="E46" s="2">
        <v>278.58999999999997</v>
      </c>
      <c r="F46" s="2" t="s">
        <v>63</v>
      </c>
      <c r="G46" s="2" t="s">
        <v>64</v>
      </c>
      <c r="H46" s="2">
        <v>73</v>
      </c>
      <c r="I46" s="2" t="s">
        <v>65</v>
      </c>
      <c r="J46" s="2" t="s">
        <v>389</v>
      </c>
      <c r="K46" s="2" t="s">
        <v>102</v>
      </c>
      <c r="L46" s="2" t="s">
        <v>390</v>
      </c>
      <c r="M46" s="2">
        <v>19449</v>
      </c>
      <c r="N46" s="2" t="s">
        <v>391</v>
      </c>
      <c r="O46" s="2" t="s">
        <v>70</v>
      </c>
      <c r="P46" s="2" t="s">
        <v>105</v>
      </c>
      <c r="Q46" s="2" t="s">
        <v>392</v>
      </c>
      <c r="R46" s="2">
        <v>94539</v>
      </c>
      <c r="S46" s="2">
        <v>2</v>
      </c>
      <c r="T46" s="2" t="s">
        <v>73</v>
      </c>
      <c r="U46" s="2">
        <v>37.490276299999998</v>
      </c>
      <c r="V46" s="2">
        <v>-121.9271088</v>
      </c>
      <c r="W46" s="2" t="s">
        <v>74</v>
      </c>
      <c r="X46" s="2" t="s">
        <v>393</v>
      </c>
      <c r="Y46" s="2" t="s">
        <v>116</v>
      </c>
      <c r="Z46" s="2">
        <v>19449</v>
      </c>
      <c r="AA46" s="3">
        <v>43435.890972222223</v>
      </c>
      <c r="AB46" s="2">
        <v>75896</v>
      </c>
      <c r="AC46" s="2">
        <v>1360</v>
      </c>
      <c r="AD46" s="2">
        <v>49.16</v>
      </c>
      <c r="AE46" s="2">
        <v>0.15</v>
      </c>
      <c r="AF46" s="2" t="str" cm="1">
        <f t="array" ref="AF46">_xlfn.IFS(AE46=0, "No Discount ", AE46&lt;=0.08,"Low Discount", AE46&lt;=0.16,"Medium Discount", AE46&gt;0.16, "High Discount")</f>
        <v>Medium Discount</v>
      </c>
      <c r="AG46" s="2">
        <v>179211</v>
      </c>
      <c r="AH46" s="2">
        <v>327.75</v>
      </c>
      <c r="AI46" s="2">
        <v>0.11</v>
      </c>
      <c r="AJ46" s="2" t="str" cm="1">
        <f t="array" ref="AJ46">_xlfn.IFS(AI46&lt;=0, "No Profit", AI46&lt;=0.16,"Low Profit",AI46&lt;=0.32,"Medium Profit",AI46&gt;0.32,"High Profit")</f>
        <v>Low Profit</v>
      </c>
      <c r="AK46" s="2">
        <v>1</v>
      </c>
      <c r="AL46" s="2">
        <v>327.75</v>
      </c>
      <c r="AM46" s="2">
        <v>278.58999999999997</v>
      </c>
      <c r="AN46" s="2">
        <v>31.48</v>
      </c>
      <c r="AO46" s="2" t="s">
        <v>118</v>
      </c>
      <c r="AP46" s="2" t="s">
        <v>394</v>
      </c>
      <c r="AQ46" s="2" t="s">
        <v>80</v>
      </c>
      <c r="AR46" s="2" t="s">
        <v>81</v>
      </c>
      <c r="AS46" s="2">
        <v>1360</v>
      </c>
      <c r="AT46" s="2">
        <v>73</v>
      </c>
      <c r="AU46" s="2" t="s">
        <v>82</v>
      </c>
      <c r="AV46" s="2">
        <v>327.75</v>
      </c>
      <c r="AW46" s="2">
        <v>0</v>
      </c>
      <c r="AX46" s="2" t="s">
        <v>395</v>
      </c>
      <c r="AY46" s="2" t="s">
        <v>83</v>
      </c>
      <c r="AZ46" s="4">
        <v>43435</v>
      </c>
      <c r="BA46" s="5">
        <v>0.89097222222222228</v>
      </c>
      <c r="BB46" s="2">
        <v>2018</v>
      </c>
      <c r="BC46" s="2" t="s">
        <v>357</v>
      </c>
      <c r="BD46" s="2">
        <v>1</v>
      </c>
      <c r="BE46" s="4">
        <v>43114</v>
      </c>
      <c r="BF46" s="5">
        <v>0.89097222222222228</v>
      </c>
      <c r="BG46" s="2" t="str" cm="1">
        <f t="array" ref="BG46">_xlfn.IFS(BF46&lt;TIMEVALUE("06:00"),"Night", BF46&gt;=TIMEVALUE("21:00"),"Night",BF46&gt;=TIMEVALUE("17:00"),"Evening",BF46&gt;=TIMEVALUE("12:00"),"Afternoon", BF46&gt;=TIMEVALUE("06:00"),"Morning")</f>
        <v>Night</v>
      </c>
      <c r="BH46" s="2">
        <v>2018</v>
      </c>
      <c r="BI46" s="2" t="s">
        <v>84</v>
      </c>
      <c r="BJ46" s="2">
        <v>14</v>
      </c>
    </row>
    <row r="47" spans="1:62" x14ac:dyDescent="0.3">
      <c r="A47" s="2" t="s">
        <v>86</v>
      </c>
      <c r="B47" s="2">
        <v>6</v>
      </c>
      <c r="C47" s="2">
        <v>4</v>
      </c>
      <c r="D47" s="2">
        <v>86.17</v>
      </c>
      <c r="E47" s="2">
        <v>275.31</v>
      </c>
      <c r="F47" s="2" t="s">
        <v>87</v>
      </c>
      <c r="G47" s="2" t="s">
        <v>88</v>
      </c>
      <c r="H47" s="2">
        <v>73</v>
      </c>
      <c r="I47" s="2" t="s">
        <v>65</v>
      </c>
      <c r="J47" s="2" t="s">
        <v>66</v>
      </c>
      <c r="K47" s="2" t="s">
        <v>67</v>
      </c>
      <c r="L47" s="2" t="s">
        <v>396</v>
      </c>
      <c r="M47" s="2">
        <v>19448</v>
      </c>
      <c r="N47" s="2" t="s">
        <v>397</v>
      </c>
      <c r="O47" s="2" t="s">
        <v>124</v>
      </c>
      <c r="P47" s="2" t="s">
        <v>71</v>
      </c>
      <c r="Q47" s="2" t="s">
        <v>398</v>
      </c>
      <c r="R47" s="2">
        <v>725</v>
      </c>
      <c r="S47" s="2">
        <v>2</v>
      </c>
      <c r="T47" s="2" t="s">
        <v>73</v>
      </c>
      <c r="U47" s="2">
        <v>18.264696099999998</v>
      </c>
      <c r="V47" s="2">
        <v>-66.037056000000007</v>
      </c>
      <c r="W47" s="2" t="s">
        <v>74</v>
      </c>
      <c r="X47" s="2" t="s">
        <v>399</v>
      </c>
      <c r="Y47" s="2" t="s">
        <v>93</v>
      </c>
      <c r="Z47" s="2">
        <v>19448</v>
      </c>
      <c r="AA47" s="3">
        <v>43435.876388888886</v>
      </c>
      <c r="AB47" s="2">
        <v>75895</v>
      </c>
      <c r="AC47" s="2">
        <v>1360</v>
      </c>
      <c r="AD47" s="2">
        <v>52.44</v>
      </c>
      <c r="AE47" s="2">
        <v>0.16</v>
      </c>
      <c r="AF47" s="2" t="str" cm="1">
        <f t="array" ref="AF47">_xlfn.IFS(AE47=0, "No Discount ", AE47&lt;=0.08,"Low Discount", AE47&lt;=0.16,"Medium Discount", AE47&gt;0.16, "High Discount")</f>
        <v>Medium Discount</v>
      </c>
      <c r="AG47" s="2">
        <v>179210</v>
      </c>
      <c r="AH47" s="2">
        <v>327.75</v>
      </c>
      <c r="AI47" s="2">
        <v>0.31</v>
      </c>
      <c r="AJ47" s="2" t="str" cm="1">
        <f t="array" ref="AJ47">_xlfn.IFS(AI47&lt;=0, "No Profit", AI47&lt;=0.16,"Low Profit",AI47&lt;=0.32,"Medium Profit",AI47&gt;0.32,"High Profit")</f>
        <v>Medium Profit</v>
      </c>
      <c r="AK47" s="2">
        <v>1</v>
      </c>
      <c r="AL47" s="2">
        <v>327.75</v>
      </c>
      <c r="AM47" s="2">
        <v>275.31</v>
      </c>
      <c r="AN47" s="2">
        <v>86.17</v>
      </c>
      <c r="AO47" s="2" t="s">
        <v>95</v>
      </c>
      <c r="AP47" s="2" t="s">
        <v>349</v>
      </c>
      <c r="AQ47" s="2" t="s">
        <v>97</v>
      </c>
      <c r="AR47" s="2" t="s">
        <v>81</v>
      </c>
      <c r="AS47" s="2">
        <v>1360</v>
      </c>
      <c r="AT47" s="2">
        <v>73</v>
      </c>
      <c r="AU47" s="2" t="s">
        <v>82</v>
      </c>
      <c r="AV47" s="2">
        <v>327.75</v>
      </c>
      <c r="AW47" s="2">
        <v>0</v>
      </c>
      <c r="AX47" s="2" t="s">
        <v>400</v>
      </c>
      <c r="AY47" s="2" t="s">
        <v>83</v>
      </c>
      <c r="AZ47" s="4">
        <v>43435</v>
      </c>
      <c r="BA47" s="5">
        <v>0.87638888888888888</v>
      </c>
      <c r="BB47" s="2">
        <v>2018</v>
      </c>
      <c r="BC47" s="2" t="s">
        <v>357</v>
      </c>
      <c r="BD47" s="2">
        <v>1</v>
      </c>
      <c r="BE47" s="4">
        <v>43118</v>
      </c>
      <c r="BF47" s="5">
        <v>0.87638888888888888</v>
      </c>
      <c r="BG47" s="2" t="str" cm="1">
        <f t="array" ref="BG47">_xlfn.IFS(BF47&lt;TIMEVALUE("06:00"),"Night", BF47&gt;=TIMEVALUE("21:00"),"Night",BF47&gt;=TIMEVALUE("17:00"),"Evening",BF47&gt;=TIMEVALUE("12:00"),"Afternoon", BF47&gt;=TIMEVALUE("06:00"),"Morning")</f>
        <v>Night</v>
      </c>
      <c r="BH47" s="2">
        <v>2018</v>
      </c>
      <c r="BI47" s="2" t="s">
        <v>84</v>
      </c>
      <c r="BJ47" s="2">
        <v>18</v>
      </c>
    </row>
    <row r="48" spans="1:62" x14ac:dyDescent="0.3">
      <c r="A48" s="2" t="s">
        <v>86</v>
      </c>
      <c r="B48" s="2">
        <v>5</v>
      </c>
      <c r="C48" s="2">
        <v>2</v>
      </c>
      <c r="D48" s="2">
        <v>130.58000000000001</v>
      </c>
      <c r="E48" s="2">
        <v>272.02999999999997</v>
      </c>
      <c r="F48" s="2" t="s">
        <v>87</v>
      </c>
      <c r="G48" s="2" t="s">
        <v>88</v>
      </c>
      <c r="H48" s="2">
        <v>73</v>
      </c>
      <c r="I48" s="2" t="s">
        <v>65</v>
      </c>
      <c r="J48" s="2" t="s">
        <v>401</v>
      </c>
      <c r="K48" s="2" t="s">
        <v>102</v>
      </c>
      <c r="L48" s="2" t="s">
        <v>402</v>
      </c>
      <c r="M48" s="2">
        <v>19447</v>
      </c>
      <c r="N48" s="2" t="s">
        <v>403</v>
      </c>
      <c r="O48" s="2" t="s">
        <v>124</v>
      </c>
      <c r="P48" s="2" t="s">
        <v>133</v>
      </c>
      <c r="Q48" s="2" t="s">
        <v>404</v>
      </c>
      <c r="R48" s="2">
        <v>14609</v>
      </c>
      <c r="S48" s="2">
        <v>2</v>
      </c>
      <c r="T48" s="2" t="s">
        <v>73</v>
      </c>
      <c r="U48" s="2">
        <v>43.188240100000002</v>
      </c>
      <c r="V48" s="2">
        <v>-77.567062399999998</v>
      </c>
      <c r="W48" s="2" t="s">
        <v>74</v>
      </c>
      <c r="X48" s="2" t="s">
        <v>399</v>
      </c>
      <c r="Y48" s="2" t="s">
        <v>93</v>
      </c>
      <c r="Z48" s="2">
        <v>19447</v>
      </c>
      <c r="AA48" s="3">
        <v>43435.861805555556</v>
      </c>
      <c r="AB48" s="2">
        <v>75894</v>
      </c>
      <c r="AC48" s="2">
        <v>1360</v>
      </c>
      <c r="AD48" s="2">
        <v>55.72</v>
      </c>
      <c r="AE48" s="2">
        <v>0.17</v>
      </c>
      <c r="AF48" s="2" t="str" cm="1">
        <f t="array" ref="AF48">_xlfn.IFS(AE48=0, "No Discount ", AE48&lt;=0.08,"Low Discount", AE48&lt;=0.16,"Medium Discount", AE48&gt;0.16, "High Discount")</f>
        <v>High Discount</v>
      </c>
      <c r="AG48" s="2">
        <v>179209</v>
      </c>
      <c r="AH48" s="2">
        <v>327.75</v>
      </c>
      <c r="AI48" s="2">
        <v>0.48</v>
      </c>
      <c r="AJ48" s="2" t="str" cm="1">
        <f t="array" ref="AJ48">_xlfn.IFS(AI48&lt;=0, "No Profit", AI48&lt;=0.16,"Low Profit",AI48&lt;=0.32,"Medium Profit",AI48&gt;0.32,"High Profit")</f>
        <v>High Profit</v>
      </c>
      <c r="AK48" s="2">
        <v>1</v>
      </c>
      <c r="AL48" s="2">
        <v>327.75</v>
      </c>
      <c r="AM48" s="2">
        <v>272.02999999999997</v>
      </c>
      <c r="AN48" s="2">
        <v>130.58000000000001</v>
      </c>
      <c r="AO48" s="2" t="s">
        <v>95</v>
      </c>
      <c r="AP48" s="2" t="s">
        <v>349</v>
      </c>
      <c r="AQ48" s="2" t="s">
        <v>97</v>
      </c>
      <c r="AR48" s="2" t="s">
        <v>81</v>
      </c>
      <c r="AS48" s="2">
        <v>1360</v>
      </c>
      <c r="AT48" s="2">
        <v>73</v>
      </c>
      <c r="AU48" s="2" t="s">
        <v>82</v>
      </c>
      <c r="AV48" s="2">
        <v>327.75</v>
      </c>
      <c r="AW48" s="2">
        <v>0</v>
      </c>
      <c r="AX48" s="2" t="s">
        <v>405</v>
      </c>
      <c r="AY48" s="2" t="s">
        <v>162</v>
      </c>
      <c r="AZ48" s="4">
        <v>43435</v>
      </c>
      <c r="BA48" s="5">
        <v>0.8618055555555556</v>
      </c>
      <c r="BB48" s="2">
        <v>2018</v>
      </c>
      <c r="BC48" s="2" t="s">
        <v>357</v>
      </c>
      <c r="BD48" s="2">
        <v>1</v>
      </c>
      <c r="BE48" s="4">
        <v>43117</v>
      </c>
      <c r="BF48" s="5">
        <v>0.8618055555555556</v>
      </c>
      <c r="BG48" s="2" t="str" cm="1">
        <f t="array" ref="BG48">_xlfn.IFS(BF48&lt;TIMEVALUE("06:00"),"Night", BF48&gt;=TIMEVALUE("21:00"),"Night",BF48&gt;=TIMEVALUE("17:00"),"Evening",BF48&gt;=TIMEVALUE("12:00"),"Afternoon", BF48&gt;=TIMEVALUE("06:00"),"Morning")</f>
        <v>Evening</v>
      </c>
      <c r="BH48" s="2">
        <v>2018</v>
      </c>
      <c r="BI48" s="2" t="s">
        <v>84</v>
      </c>
      <c r="BJ48" s="2">
        <v>17</v>
      </c>
    </row>
    <row r="49" spans="1:62" x14ac:dyDescent="0.3">
      <c r="A49" s="2" t="s">
        <v>86</v>
      </c>
      <c r="B49" s="2">
        <v>4</v>
      </c>
      <c r="C49" s="2">
        <v>4</v>
      </c>
      <c r="D49" s="2">
        <v>0</v>
      </c>
      <c r="E49" s="2">
        <v>268.76</v>
      </c>
      <c r="F49" s="2" t="s">
        <v>100</v>
      </c>
      <c r="G49" s="2" t="s">
        <v>64</v>
      </c>
      <c r="H49" s="2">
        <v>73</v>
      </c>
      <c r="I49" s="2" t="s">
        <v>65</v>
      </c>
      <c r="J49" s="2" t="s">
        <v>330</v>
      </c>
      <c r="K49" s="2" t="s">
        <v>102</v>
      </c>
      <c r="L49" s="2" t="s">
        <v>406</v>
      </c>
      <c r="M49" s="2">
        <v>19446</v>
      </c>
      <c r="N49" s="2" t="s">
        <v>407</v>
      </c>
      <c r="O49" s="2" t="s">
        <v>124</v>
      </c>
      <c r="P49" s="2" t="s">
        <v>333</v>
      </c>
      <c r="Q49" s="2" t="s">
        <v>408</v>
      </c>
      <c r="R49" s="2">
        <v>75211</v>
      </c>
      <c r="S49" s="2">
        <v>2</v>
      </c>
      <c r="T49" s="2" t="s">
        <v>73</v>
      </c>
      <c r="U49" s="2">
        <v>32.753684999999997</v>
      </c>
      <c r="V49" s="2">
        <v>-96.865539600000005</v>
      </c>
      <c r="W49" s="2" t="s">
        <v>74</v>
      </c>
      <c r="X49" s="2" t="s">
        <v>409</v>
      </c>
      <c r="Y49" s="2" t="s">
        <v>143</v>
      </c>
      <c r="Z49" s="2">
        <v>19446</v>
      </c>
      <c r="AA49" s="3">
        <v>43435.847222222219</v>
      </c>
      <c r="AB49" s="2">
        <v>75893</v>
      </c>
      <c r="AC49" s="2">
        <v>1360</v>
      </c>
      <c r="AD49" s="2">
        <v>59</v>
      </c>
      <c r="AE49" s="2">
        <v>0.18</v>
      </c>
      <c r="AF49" s="2" t="str" cm="1">
        <f t="array" ref="AF49">_xlfn.IFS(AE49=0, "No Discount ", AE49&lt;=0.08,"Low Discount", AE49&lt;=0.16,"Medium Discount", AE49&gt;0.16, "High Discount")</f>
        <v>High Discount</v>
      </c>
      <c r="AG49" s="2">
        <v>179208</v>
      </c>
      <c r="AH49" s="2">
        <v>327.75</v>
      </c>
      <c r="AI49" s="2">
        <v>0</v>
      </c>
      <c r="AJ49" s="2" t="str" cm="1">
        <f t="array" ref="AJ49">_xlfn.IFS(AI49&lt;=0, "No Profit", AI49&lt;=0.16,"Low Profit",AI49&lt;=0.32,"Medium Profit",AI49&gt;0.32,"High Profit")</f>
        <v>No Profit</v>
      </c>
      <c r="AK49" s="2">
        <v>1</v>
      </c>
      <c r="AL49" s="2">
        <v>327.75</v>
      </c>
      <c r="AM49" s="2">
        <v>268.76</v>
      </c>
      <c r="AN49" s="2">
        <v>0</v>
      </c>
      <c r="AO49" s="2" t="s">
        <v>145</v>
      </c>
      <c r="AP49" s="2" t="s">
        <v>410</v>
      </c>
      <c r="AQ49" s="2" t="s">
        <v>155</v>
      </c>
      <c r="AR49" s="2" t="s">
        <v>81</v>
      </c>
      <c r="AS49" s="2">
        <v>1360</v>
      </c>
      <c r="AT49" s="2">
        <v>73</v>
      </c>
      <c r="AU49" s="2" t="s">
        <v>82</v>
      </c>
      <c r="AV49" s="2">
        <v>327.75</v>
      </c>
      <c r="AW49" s="2">
        <v>0</v>
      </c>
      <c r="AX49" s="2" t="s">
        <v>411</v>
      </c>
      <c r="AY49" s="2" t="s">
        <v>83</v>
      </c>
      <c r="AZ49" s="4">
        <v>43435</v>
      </c>
      <c r="BA49" s="5">
        <v>0.84722222222222221</v>
      </c>
      <c r="BB49" s="2">
        <v>2018</v>
      </c>
      <c r="BC49" s="2" t="s">
        <v>357</v>
      </c>
      <c r="BD49" s="2">
        <v>1</v>
      </c>
      <c r="BE49" s="4">
        <v>43116</v>
      </c>
      <c r="BF49" s="5">
        <v>0.84722222222222221</v>
      </c>
      <c r="BG49" s="2" t="str" cm="1">
        <f t="array" ref="BG49">_xlfn.IFS(BF49&lt;TIMEVALUE("06:00"),"Night", BF49&gt;=TIMEVALUE("21:00"),"Night",BF49&gt;=TIMEVALUE("17:00"),"Evening",BF49&gt;=TIMEVALUE("12:00"),"Afternoon", BF49&gt;=TIMEVALUE("06:00"),"Morning")</f>
        <v>Evening</v>
      </c>
      <c r="BH49" s="2">
        <v>2018</v>
      </c>
      <c r="BI49" s="2" t="s">
        <v>84</v>
      </c>
      <c r="BJ49" s="2">
        <v>16</v>
      </c>
    </row>
    <row r="50" spans="1:62" x14ac:dyDescent="0.3">
      <c r="A50" s="2" t="s">
        <v>121</v>
      </c>
      <c r="B50" s="2">
        <v>5</v>
      </c>
      <c r="C50" s="2">
        <v>2</v>
      </c>
      <c r="D50" s="2">
        <v>-30.75</v>
      </c>
      <c r="E50" s="2">
        <v>115.18</v>
      </c>
      <c r="F50" s="2" t="s">
        <v>87</v>
      </c>
      <c r="G50" s="2" t="s">
        <v>88</v>
      </c>
      <c r="H50" s="2">
        <v>17</v>
      </c>
      <c r="I50" s="2" t="s">
        <v>412</v>
      </c>
      <c r="J50" s="2" t="s">
        <v>413</v>
      </c>
      <c r="K50" s="2" t="s">
        <v>67</v>
      </c>
      <c r="L50" s="2" t="s">
        <v>414</v>
      </c>
      <c r="M50" s="2">
        <v>9083</v>
      </c>
      <c r="N50" s="2" t="s">
        <v>415</v>
      </c>
      <c r="O50" s="2" t="s">
        <v>113</v>
      </c>
      <c r="P50" s="2" t="s">
        <v>71</v>
      </c>
      <c r="Q50" s="2" t="s">
        <v>416</v>
      </c>
      <c r="R50" s="2">
        <v>957</v>
      </c>
      <c r="S50" s="2">
        <v>4</v>
      </c>
      <c r="T50" s="2" t="s">
        <v>417</v>
      </c>
      <c r="U50" s="2">
        <v>18.3801193</v>
      </c>
      <c r="V50" s="2">
        <v>-66.183128400000001</v>
      </c>
      <c r="W50" s="2" t="s">
        <v>74</v>
      </c>
      <c r="X50" s="2" t="s">
        <v>418</v>
      </c>
      <c r="Y50" s="2" t="s">
        <v>93</v>
      </c>
      <c r="Z50" s="2">
        <v>9083</v>
      </c>
      <c r="AA50" s="2" t="s">
        <v>419</v>
      </c>
      <c r="AB50" s="2">
        <v>28744</v>
      </c>
      <c r="AC50" s="2">
        <v>365</v>
      </c>
      <c r="AD50" s="2">
        <v>4.8</v>
      </c>
      <c r="AE50" s="2">
        <v>0.04</v>
      </c>
      <c r="AF50" s="2" t="str" cm="1">
        <f t="array" ref="AF50">_xlfn.IFS(AE50=0, "No Discount ", AE50&lt;=0.08,"Low Discount", AE50&lt;=0.16,"Medium Discount", AE50&gt;0.16, "High Discount")</f>
        <v>Low Discount</v>
      </c>
      <c r="AG50" s="2">
        <v>71956</v>
      </c>
      <c r="AH50" s="2">
        <v>59.99</v>
      </c>
      <c r="AI50" s="2">
        <v>-0.27</v>
      </c>
      <c r="AJ50" s="2" t="str" cm="1">
        <f t="array" ref="AJ50">_xlfn.IFS(AI50&lt;=0, "No Profit", AI50&lt;=0.16,"Low Profit",AI50&lt;=0.32,"Medium Profit",AI50&gt;0.32,"High Profit")</f>
        <v>No Profit</v>
      </c>
      <c r="AK50" s="2">
        <v>2</v>
      </c>
      <c r="AL50" s="2">
        <v>119.98</v>
      </c>
      <c r="AM50" s="2">
        <v>115.18</v>
      </c>
      <c r="AN50" s="2">
        <v>-30.75</v>
      </c>
      <c r="AO50" s="2" t="s">
        <v>95</v>
      </c>
      <c r="AP50" s="2" t="s">
        <v>420</v>
      </c>
      <c r="AQ50" s="2" t="s">
        <v>127</v>
      </c>
      <c r="AR50" s="2" t="s">
        <v>81</v>
      </c>
      <c r="AS50" s="2">
        <v>365</v>
      </c>
      <c r="AT50" s="2">
        <v>17</v>
      </c>
      <c r="AU50" s="2" t="s">
        <v>421</v>
      </c>
      <c r="AV50" s="2">
        <v>59.99</v>
      </c>
      <c r="AW50" s="2">
        <v>0</v>
      </c>
      <c r="AX50" s="2" t="s">
        <v>422</v>
      </c>
      <c r="AY50" s="2" t="s">
        <v>162</v>
      </c>
      <c r="AZ50" s="4">
        <v>42424</v>
      </c>
      <c r="BA50" s="5">
        <v>0.58125000000000004</v>
      </c>
      <c r="BB50" s="2">
        <v>2016</v>
      </c>
      <c r="BC50" s="2" t="s">
        <v>423</v>
      </c>
      <c r="BD50" s="2">
        <v>24</v>
      </c>
      <c r="BE50" s="4">
        <v>42429</v>
      </c>
      <c r="BF50" s="5">
        <v>0.58125000000000004</v>
      </c>
      <c r="BG50" s="2" t="str" cm="1">
        <f t="array" ref="BG50">_xlfn.IFS(BF50&lt;TIMEVALUE("06:00"),"Night", BF50&gt;=TIMEVALUE("21:00"),"Night",BF50&gt;=TIMEVALUE("17:00"),"Evening",BF50&gt;=TIMEVALUE("12:00"),"Afternoon", BF50&gt;=TIMEVALUE("06:00"),"Morning")</f>
        <v>Afternoon</v>
      </c>
      <c r="BH50" s="2">
        <v>2016</v>
      </c>
      <c r="BI50" s="2" t="s">
        <v>423</v>
      </c>
      <c r="BJ50" s="2">
        <v>29</v>
      </c>
    </row>
    <row r="51" spans="1:62" x14ac:dyDescent="0.3">
      <c r="A51" s="2" t="s">
        <v>121</v>
      </c>
      <c r="B51" s="2">
        <v>2</v>
      </c>
      <c r="C51" s="2">
        <v>2</v>
      </c>
      <c r="D51" s="2">
        <v>-122.73</v>
      </c>
      <c r="E51" s="2">
        <v>79.180000000000007</v>
      </c>
      <c r="F51" s="2" t="s">
        <v>100</v>
      </c>
      <c r="G51" s="2" t="s">
        <v>64</v>
      </c>
      <c r="H51" s="2">
        <v>29</v>
      </c>
      <c r="I51" s="2" t="s">
        <v>424</v>
      </c>
      <c r="J51" s="2" t="s">
        <v>66</v>
      </c>
      <c r="K51" s="2" t="s">
        <v>67</v>
      </c>
      <c r="L51" s="2" t="s">
        <v>414</v>
      </c>
      <c r="M51" s="2">
        <v>4741</v>
      </c>
      <c r="N51" s="2" t="s">
        <v>425</v>
      </c>
      <c r="O51" s="2" t="s">
        <v>113</v>
      </c>
      <c r="P51" s="2" t="s">
        <v>71</v>
      </c>
      <c r="Q51" s="2" t="s">
        <v>426</v>
      </c>
      <c r="R51" s="2">
        <v>725</v>
      </c>
      <c r="S51" s="2">
        <v>5</v>
      </c>
      <c r="T51" s="2" t="s">
        <v>427</v>
      </c>
      <c r="U51" s="2">
        <v>18.2355728</v>
      </c>
      <c r="V51" s="2">
        <v>-66.3706131</v>
      </c>
      <c r="W51" s="2" t="s">
        <v>74</v>
      </c>
      <c r="X51" s="2" t="s">
        <v>428</v>
      </c>
      <c r="Y51" s="2" t="s">
        <v>429</v>
      </c>
      <c r="Z51" s="2">
        <v>4741</v>
      </c>
      <c r="AA51" s="2" t="s">
        <v>430</v>
      </c>
      <c r="AB51" s="2">
        <v>45461</v>
      </c>
      <c r="AC51" s="2">
        <v>627</v>
      </c>
      <c r="AD51" s="2">
        <v>0.8</v>
      </c>
      <c r="AE51" s="2">
        <v>0.01</v>
      </c>
      <c r="AF51" s="2" t="str" cm="1">
        <f t="array" ref="AF51">_xlfn.IFS(AE51=0, "No Discount ", AE51&lt;=0.08,"Low Discount", AE51&lt;=0.16,"Medium Discount", AE51&gt;0.16, "High Discount")</f>
        <v>Low Discount</v>
      </c>
      <c r="AG51" s="2">
        <v>113598</v>
      </c>
      <c r="AH51" s="2">
        <v>39.99</v>
      </c>
      <c r="AI51" s="2">
        <v>-1.55</v>
      </c>
      <c r="AJ51" s="2" t="str" cm="1">
        <f t="array" ref="AJ51">_xlfn.IFS(AI51&lt;=0, "No Profit", AI51&lt;=0.16,"Low Profit",AI51&lt;=0.32,"Medium Profit",AI51&gt;0.32,"High Profit")</f>
        <v>No Profit</v>
      </c>
      <c r="AK51" s="2">
        <v>2</v>
      </c>
      <c r="AL51" s="2">
        <v>79.98</v>
      </c>
      <c r="AM51" s="2">
        <v>79.180000000000007</v>
      </c>
      <c r="AN51" s="2">
        <v>-122.73</v>
      </c>
      <c r="AO51" s="2" t="s">
        <v>431</v>
      </c>
      <c r="AP51" s="2" t="s">
        <v>428</v>
      </c>
      <c r="AQ51" s="2" t="s">
        <v>127</v>
      </c>
      <c r="AR51" s="2" t="s">
        <v>81</v>
      </c>
      <c r="AS51" s="2">
        <v>627</v>
      </c>
      <c r="AT51" s="2">
        <v>29</v>
      </c>
      <c r="AU51" s="2" t="s">
        <v>432</v>
      </c>
      <c r="AV51" s="2">
        <v>39.99</v>
      </c>
      <c r="AW51" s="2">
        <v>0</v>
      </c>
      <c r="AX51" s="2" t="s">
        <v>433</v>
      </c>
      <c r="AY51" s="2" t="s">
        <v>162</v>
      </c>
      <c r="AZ51" s="4">
        <v>42668</v>
      </c>
      <c r="BA51" s="5">
        <v>0.61041666666666672</v>
      </c>
      <c r="BB51" s="2">
        <v>2016</v>
      </c>
      <c r="BC51" s="2" t="s">
        <v>434</v>
      </c>
      <c r="BD51" s="2">
        <v>25</v>
      </c>
      <c r="BE51" s="4">
        <v>42670</v>
      </c>
      <c r="BF51" s="5">
        <v>0.61041666666666672</v>
      </c>
      <c r="BG51" s="2" t="str" cm="1">
        <f t="array" ref="BG51">_xlfn.IFS(BF51&lt;TIMEVALUE("06:00"),"Night", BF51&gt;=TIMEVALUE("21:00"),"Night",BF51&gt;=TIMEVALUE("17:00"),"Evening",BF51&gt;=TIMEVALUE("12:00"),"Afternoon", BF51&gt;=TIMEVALUE("06:00"),"Morning")</f>
        <v>Afternoon</v>
      </c>
      <c r="BH51" s="2">
        <v>2016</v>
      </c>
      <c r="BI51" s="2" t="s">
        <v>434</v>
      </c>
      <c r="BJ51" s="2">
        <v>27</v>
      </c>
    </row>
    <row r="52" spans="1:62" x14ac:dyDescent="0.3">
      <c r="A52" s="2" t="s">
        <v>121</v>
      </c>
      <c r="B52" s="2">
        <v>6</v>
      </c>
      <c r="C52" s="2">
        <v>2</v>
      </c>
      <c r="D52" s="2">
        <v>33.6</v>
      </c>
      <c r="E52" s="2">
        <v>96</v>
      </c>
      <c r="F52" s="2" t="s">
        <v>87</v>
      </c>
      <c r="G52" s="2" t="s">
        <v>88</v>
      </c>
      <c r="H52" s="2">
        <v>24</v>
      </c>
      <c r="I52" s="2" t="s">
        <v>435</v>
      </c>
      <c r="J52" s="2" t="s">
        <v>66</v>
      </c>
      <c r="K52" s="2" t="s">
        <v>67</v>
      </c>
      <c r="L52" s="2" t="s">
        <v>436</v>
      </c>
      <c r="M52" s="2">
        <v>639</v>
      </c>
      <c r="N52" s="2" t="s">
        <v>437</v>
      </c>
      <c r="O52" s="2" t="s">
        <v>113</v>
      </c>
      <c r="P52" s="2" t="s">
        <v>71</v>
      </c>
      <c r="Q52" s="2" t="s">
        <v>438</v>
      </c>
      <c r="R52" s="2">
        <v>725</v>
      </c>
      <c r="S52" s="2">
        <v>5</v>
      </c>
      <c r="T52" s="2" t="s">
        <v>427</v>
      </c>
      <c r="U52" s="2">
        <v>18.0253677</v>
      </c>
      <c r="V52" s="2">
        <v>-66.6130371</v>
      </c>
      <c r="W52" s="2" t="s">
        <v>74</v>
      </c>
      <c r="X52" s="2" t="s">
        <v>439</v>
      </c>
      <c r="Y52" s="2" t="s">
        <v>116</v>
      </c>
      <c r="Z52" s="2">
        <v>639</v>
      </c>
      <c r="AA52" s="2" t="s">
        <v>440</v>
      </c>
      <c r="AB52" s="2">
        <v>31115</v>
      </c>
      <c r="AC52" s="2">
        <v>502</v>
      </c>
      <c r="AD52" s="2">
        <v>4</v>
      </c>
      <c r="AE52" s="2">
        <v>0.04</v>
      </c>
      <c r="AF52" s="2" t="str" cm="1">
        <f t="array" ref="AF52">_xlfn.IFS(AE52=0, "No Discount ", AE52&lt;=0.08,"Low Discount", AE52&lt;=0.16,"Medium Discount", AE52&gt;0.16, "High Discount")</f>
        <v>Low Discount</v>
      </c>
      <c r="AG52" s="2">
        <v>77757</v>
      </c>
      <c r="AH52" s="2">
        <v>50</v>
      </c>
      <c r="AI52" s="2">
        <v>0.35</v>
      </c>
      <c r="AJ52" s="2" t="str" cm="1">
        <f t="array" ref="AJ52">_xlfn.IFS(AI52&lt;=0, "No Profit", AI52&lt;=0.16,"Low Profit",AI52&lt;=0.32,"Medium Profit",AI52&gt;0.32,"High Profit")</f>
        <v>High Profit</v>
      </c>
      <c r="AK52" s="2">
        <v>2</v>
      </c>
      <c r="AL52" s="2">
        <v>100</v>
      </c>
      <c r="AM52" s="2">
        <v>96</v>
      </c>
      <c r="AN52" s="2">
        <v>33.6</v>
      </c>
      <c r="AO52" s="2" t="s">
        <v>118</v>
      </c>
      <c r="AP52" s="2" t="s">
        <v>441</v>
      </c>
      <c r="AQ52" s="2" t="s">
        <v>127</v>
      </c>
      <c r="AR52" s="2" t="s">
        <v>81</v>
      </c>
      <c r="AS52" s="2">
        <v>502</v>
      </c>
      <c r="AT52" s="2">
        <v>24</v>
      </c>
      <c r="AU52" s="2" t="s">
        <v>442</v>
      </c>
      <c r="AV52" s="2">
        <v>50</v>
      </c>
      <c r="AW52" s="2">
        <v>0</v>
      </c>
      <c r="AX52" s="3">
        <v>42494.192361111112</v>
      </c>
      <c r="AY52" s="2" t="s">
        <v>162</v>
      </c>
      <c r="AZ52" s="4">
        <v>42459</v>
      </c>
      <c r="BA52" s="5">
        <v>0.19236111111111112</v>
      </c>
      <c r="BB52" s="2">
        <v>2016</v>
      </c>
      <c r="BC52" s="2" t="s">
        <v>85</v>
      </c>
      <c r="BD52" s="2">
        <v>30</v>
      </c>
      <c r="BE52" s="4">
        <v>42494</v>
      </c>
      <c r="BF52" s="5">
        <v>0.19236111111111112</v>
      </c>
      <c r="BG52" s="2" t="str" cm="1">
        <f t="array" ref="BG52">_xlfn.IFS(BF52&lt;TIMEVALUE("06:00"),"Night", BF52&gt;=TIMEVALUE("21:00"),"Night",BF52&gt;=TIMEVALUE("17:00"),"Evening",BF52&gt;=TIMEVALUE("12:00"),"Afternoon", BF52&gt;=TIMEVALUE("06:00"),"Morning")</f>
        <v>Night</v>
      </c>
      <c r="BH52" s="2">
        <v>2016</v>
      </c>
      <c r="BI52" s="2" t="s">
        <v>443</v>
      </c>
      <c r="BJ52" s="2">
        <v>4</v>
      </c>
    </row>
    <row r="53" spans="1:62" x14ac:dyDescent="0.3">
      <c r="A53" s="2" t="s">
        <v>121</v>
      </c>
      <c r="B53" s="2">
        <v>2</v>
      </c>
      <c r="C53" s="2">
        <v>2</v>
      </c>
      <c r="D53" s="2">
        <v>24.69</v>
      </c>
      <c r="E53" s="2">
        <v>75.98</v>
      </c>
      <c r="F53" s="2" t="s">
        <v>100</v>
      </c>
      <c r="G53" s="2" t="s">
        <v>64</v>
      </c>
      <c r="H53" s="2">
        <v>29</v>
      </c>
      <c r="I53" s="2" t="s">
        <v>424</v>
      </c>
      <c r="J53" s="2" t="s">
        <v>66</v>
      </c>
      <c r="K53" s="2" t="s">
        <v>67</v>
      </c>
      <c r="L53" s="2" t="s">
        <v>444</v>
      </c>
      <c r="M53" s="2">
        <v>9702</v>
      </c>
      <c r="N53" s="2" t="s">
        <v>445</v>
      </c>
      <c r="O53" s="2" t="s">
        <v>113</v>
      </c>
      <c r="P53" s="2" t="s">
        <v>71</v>
      </c>
      <c r="Q53" s="2" t="s">
        <v>446</v>
      </c>
      <c r="R53" s="2">
        <v>725</v>
      </c>
      <c r="S53" s="2">
        <v>5</v>
      </c>
      <c r="T53" s="2" t="s">
        <v>427</v>
      </c>
      <c r="U53" s="2">
        <v>18.273838000000001</v>
      </c>
      <c r="V53" s="2">
        <v>-66.370636000000005</v>
      </c>
      <c r="W53" s="2" t="s">
        <v>74</v>
      </c>
      <c r="X53" s="2" t="s">
        <v>447</v>
      </c>
      <c r="Y53" s="2" t="s">
        <v>429</v>
      </c>
      <c r="Z53" s="2">
        <v>9702</v>
      </c>
      <c r="AA53" s="2" t="s">
        <v>448</v>
      </c>
      <c r="AB53" s="2">
        <v>45766</v>
      </c>
      <c r="AC53" s="2">
        <v>627</v>
      </c>
      <c r="AD53" s="2">
        <v>4</v>
      </c>
      <c r="AE53" s="2">
        <v>0.05</v>
      </c>
      <c r="AF53" s="2" t="str" cm="1">
        <f t="array" ref="AF53">_xlfn.IFS(AE53=0, "No Discount ", AE53&lt;=0.08,"Low Discount", AE53&lt;=0.16,"Medium Discount", AE53&gt;0.16, "High Discount")</f>
        <v>Low Discount</v>
      </c>
      <c r="AG53" s="2">
        <v>114401</v>
      </c>
      <c r="AH53" s="2">
        <v>39.99</v>
      </c>
      <c r="AI53" s="2">
        <v>0.33</v>
      </c>
      <c r="AJ53" s="2" t="str" cm="1">
        <f t="array" ref="AJ53">_xlfn.IFS(AI53&lt;=0, "No Profit", AI53&lt;=0.16,"Low Profit",AI53&lt;=0.32,"Medium Profit",AI53&gt;0.32,"High Profit")</f>
        <v>High Profit</v>
      </c>
      <c r="AK53" s="2">
        <v>2</v>
      </c>
      <c r="AL53" s="2">
        <v>79.98</v>
      </c>
      <c r="AM53" s="2">
        <v>75.98</v>
      </c>
      <c r="AN53" s="2">
        <v>24.69</v>
      </c>
      <c r="AO53" s="2" t="s">
        <v>431</v>
      </c>
      <c r="AP53" s="2" t="s">
        <v>449</v>
      </c>
      <c r="AQ53" s="2" t="s">
        <v>127</v>
      </c>
      <c r="AR53" s="2" t="s">
        <v>81</v>
      </c>
      <c r="AS53" s="2">
        <v>627</v>
      </c>
      <c r="AT53" s="2">
        <v>29</v>
      </c>
      <c r="AU53" s="2" t="s">
        <v>432</v>
      </c>
      <c r="AV53" s="2">
        <v>39.99</v>
      </c>
      <c r="AW53" s="2">
        <v>0</v>
      </c>
      <c r="AX53" s="3">
        <v>42380.063194444447</v>
      </c>
      <c r="AY53" s="2" t="s">
        <v>162</v>
      </c>
      <c r="AZ53" s="4">
        <v>42673</v>
      </c>
      <c r="BA53" s="5">
        <v>6.3194444444444442E-2</v>
      </c>
      <c r="BB53" s="2">
        <v>2016</v>
      </c>
      <c r="BC53" s="2" t="s">
        <v>434</v>
      </c>
      <c r="BD53" s="2">
        <v>30</v>
      </c>
      <c r="BE53" s="4">
        <v>42380</v>
      </c>
      <c r="BF53" s="5">
        <v>6.3194444444444442E-2</v>
      </c>
      <c r="BG53" s="2" t="str" cm="1">
        <f t="array" ref="BG53">_xlfn.IFS(BF53&lt;TIMEVALUE("06:00"),"Night", BF53&gt;=TIMEVALUE("21:00"),"Night",BF53&gt;=TIMEVALUE("17:00"),"Evening",BF53&gt;=TIMEVALUE("12:00"),"Afternoon", BF53&gt;=TIMEVALUE("06:00"),"Morning")</f>
        <v>Night</v>
      </c>
      <c r="BH53" s="2">
        <v>2016</v>
      </c>
      <c r="BI53" s="2" t="s">
        <v>84</v>
      </c>
      <c r="BJ53" s="2">
        <v>11</v>
      </c>
    </row>
    <row r="54" spans="1:62" x14ac:dyDescent="0.3">
      <c r="A54" s="2" t="s">
        <v>121</v>
      </c>
      <c r="B54" s="2">
        <v>3</v>
      </c>
      <c r="C54" s="2">
        <v>2</v>
      </c>
      <c r="D54" s="2">
        <v>9.1</v>
      </c>
      <c r="E54" s="2">
        <v>91</v>
      </c>
      <c r="F54" s="2" t="s">
        <v>87</v>
      </c>
      <c r="G54" s="2" t="s">
        <v>88</v>
      </c>
      <c r="H54" s="2">
        <v>24</v>
      </c>
      <c r="I54" s="2" t="s">
        <v>435</v>
      </c>
      <c r="J54" s="2" t="s">
        <v>66</v>
      </c>
      <c r="K54" s="2" t="s">
        <v>67</v>
      </c>
      <c r="L54" s="2" t="s">
        <v>414</v>
      </c>
      <c r="M54" s="2">
        <v>9114</v>
      </c>
      <c r="N54" s="2" t="s">
        <v>425</v>
      </c>
      <c r="O54" s="2" t="s">
        <v>113</v>
      </c>
      <c r="P54" s="2" t="s">
        <v>71</v>
      </c>
      <c r="Q54" s="2" t="s">
        <v>450</v>
      </c>
      <c r="R54" s="2">
        <v>725</v>
      </c>
      <c r="S54" s="2">
        <v>5</v>
      </c>
      <c r="T54" s="2" t="s">
        <v>427</v>
      </c>
      <c r="U54" s="2">
        <v>18.284805299999999</v>
      </c>
      <c r="V54" s="2">
        <v>-66.370590199999995</v>
      </c>
      <c r="W54" s="2" t="s">
        <v>74</v>
      </c>
      <c r="X54" s="2" t="s">
        <v>451</v>
      </c>
      <c r="Y54" s="2" t="s">
        <v>452</v>
      </c>
      <c r="Z54" s="2">
        <v>9114</v>
      </c>
      <c r="AA54" s="2" t="s">
        <v>453</v>
      </c>
      <c r="AB54" s="2">
        <v>47752</v>
      </c>
      <c r="AC54" s="2">
        <v>502</v>
      </c>
      <c r="AD54" s="2">
        <v>9</v>
      </c>
      <c r="AE54" s="2">
        <v>0.09</v>
      </c>
      <c r="AF54" s="2" t="str" cm="1">
        <f t="array" ref="AF54">_xlfn.IFS(AE54=0, "No Discount ", AE54&lt;=0.08,"Low Discount", AE54&lt;=0.16,"Medium Discount", AE54&gt;0.16, "High Discount")</f>
        <v>Medium Discount</v>
      </c>
      <c r="AG54" s="2">
        <v>119405</v>
      </c>
      <c r="AH54" s="2">
        <v>50</v>
      </c>
      <c r="AI54" s="2">
        <v>0.1</v>
      </c>
      <c r="AJ54" s="2" t="str" cm="1">
        <f t="array" ref="AJ54">_xlfn.IFS(AI54&lt;=0, "No Profit", AI54&lt;=0.16,"Low Profit",AI54&lt;=0.32,"Medium Profit",AI54&gt;0.32,"High Profit")</f>
        <v>Low Profit</v>
      </c>
      <c r="AK54" s="2">
        <v>2</v>
      </c>
      <c r="AL54" s="2">
        <v>100</v>
      </c>
      <c r="AM54" s="2">
        <v>91</v>
      </c>
      <c r="AN54" s="2">
        <v>9.1</v>
      </c>
      <c r="AO54" s="2" t="s">
        <v>145</v>
      </c>
      <c r="AP54" s="2" t="s">
        <v>454</v>
      </c>
      <c r="AQ54" s="2" t="s">
        <v>127</v>
      </c>
      <c r="AR54" s="2" t="s">
        <v>81</v>
      </c>
      <c r="AS54" s="2">
        <v>502</v>
      </c>
      <c r="AT54" s="2">
        <v>24</v>
      </c>
      <c r="AU54" s="2" t="s">
        <v>442</v>
      </c>
      <c r="AV54" s="2">
        <v>50</v>
      </c>
      <c r="AW54" s="2">
        <v>0</v>
      </c>
      <c r="AX54" s="3">
        <v>42381.054166666669</v>
      </c>
      <c r="AY54" s="2" t="s">
        <v>162</v>
      </c>
      <c r="AZ54" s="4">
        <v>42702</v>
      </c>
      <c r="BA54" s="5">
        <v>5.4166666666666669E-2</v>
      </c>
      <c r="BB54" s="2">
        <v>2016</v>
      </c>
      <c r="BC54" s="2" t="s">
        <v>455</v>
      </c>
      <c r="BD54" s="2">
        <v>28</v>
      </c>
      <c r="BE54" s="4">
        <v>42381</v>
      </c>
      <c r="BF54" s="5">
        <v>5.4166666666666669E-2</v>
      </c>
      <c r="BG54" s="2" t="str" cm="1">
        <f t="array" ref="BG54">_xlfn.IFS(BF54&lt;TIMEVALUE("06:00"),"Night", BF54&gt;=TIMEVALUE("21:00"),"Night",BF54&gt;=TIMEVALUE("17:00"),"Evening",BF54&gt;=TIMEVALUE("12:00"),"Afternoon", BF54&gt;=TIMEVALUE("06:00"),"Morning")</f>
        <v>Night</v>
      </c>
      <c r="BH54" s="2">
        <v>2016</v>
      </c>
      <c r="BI54" s="2" t="s">
        <v>84</v>
      </c>
      <c r="BJ54" s="2">
        <v>12</v>
      </c>
    </row>
    <row r="55" spans="1:62" x14ac:dyDescent="0.3">
      <c r="A55" s="2" t="s">
        <v>121</v>
      </c>
      <c r="B55" s="2">
        <v>5</v>
      </c>
      <c r="C55" s="2">
        <v>2</v>
      </c>
      <c r="D55" s="2">
        <v>-21.75</v>
      </c>
      <c r="E55" s="2">
        <v>87</v>
      </c>
      <c r="F55" s="2" t="s">
        <v>87</v>
      </c>
      <c r="G55" s="2" t="s">
        <v>88</v>
      </c>
      <c r="H55" s="2">
        <v>24</v>
      </c>
      <c r="I55" s="2" t="s">
        <v>435</v>
      </c>
      <c r="J55" s="2" t="s">
        <v>66</v>
      </c>
      <c r="K55" s="2" t="s">
        <v>67</v>
      </c>
      <c r="L55" s="2" t="s">
        <v>456</v>
      </c>
      <c r="M55" s="2">
        <v>1362</v>
      </c>
      <c r="N55" s="2" t="s">
        <v>425</v>
      </c>
      <c r="O55" s="2" t="s">
        <v>113</v>
      </c>
      <c r="P55" s="2" t="s">
        <v>71</v>
      </c>
      <c r="Q55" s="2" t="s">
        <v>457</v>
      </c>
      <c r="R55" s="2">
        <v>725</v>
      </c>
      <c r="S55" s="2">
        <v>5</v>
      </c>
      <c r="T55" s="2" t="s">
        <v>427</v>
      </c>
      <c r="U55" s="2">
        <v>18.294967700000001</v>
      </c>
      <c r="V55" s="2">
        <v>-66.370506300000002</v>
      </c>
      <c r="W55" s="2" t="s">
        <v>74</v>
      </c>
      <c r="X55" s="2" t="s">
        <v>449</v>
      </c>
      <c r="Y55" s="2" t="s">
        <v>429</v>
      </c>
      <c r="Z55" s="2">
        <v>1362</v>
      </c>
      <c r="AA55" s="2" t="s">
        <v>458</v>
      </c>
      <c r="AB55" s="2">
        <v>50054</v>
      </c>
      <c r="AC55" s="2">
        <v>502</v>
      </c>
      <c r="AD55" s="2">
        <v>13</v>
      </c>
      <c r="AE55" s="2">
        <v>0.13</v>
      </c>
      <c r="AF55" s="2" t="str" cm="1">
        <f t="array" ref="AF55">_xlfn.IFS(AE55=0, "No Discount ", AE55&lt;=0.08,"Low Discount", AE55&lt;=0.16,"Medium Discount", AE55&gt;0.16, "High Discount")</f>
        <v>Medium Discount</v>
      </c>
      <c r="AG55" s="2">
        <v>125135</v>
      </c>
      <c r="AH55" s="2">
        <v>50</v>
      </c>
      <c r="AI55" s="2">
        <v>-0.25</v>
      </c>
      <c r="AJ55" s="2" t="str" cm="1">
        <f t="array" ref="AJ55">_xlfn.IFS(AI55&lt;=0, "No Profit", AI55&lt;=0.16,"Low Profit",AI55&lt;=0.32,"Medium Profit",AI55&gt;0.32,"High Profit")</f>
        <v>No Profit</v>
      </c>
      <c r="AK55" s="2">
        <v>2</v>
      </c>
      <c r="AL55" s="2">
        <v>100</v>
      </c>
      <c r="AM55" s="2">
        <v>87</v>
      </c>
      <c r="AN55" s="2">
        <v>-21.75</v>
      </c>
      <c r="AO55" s="2" t="s">
        <v>431</v>
      </c>
      <c r="AP55" s="2" t="s">
        <v>449</v>
      </c>
      <c r="AQ55" s="2" t="s">
        <v>127</v>
      </c>
      <c r="AR55" s="2" t="s">
        <v>81</v>
      </c>
      <c r="AS55" s="2">
        <v>502</v>
      </c>
      <c r="AT55" s="2">
        <v>24</v>
      </c>
      <c r="AU55" s="2" t="s">
        <v>442</v>
      </c>
      <c r="AV55" s="2">
        <v>50</v>
      </c>
      <c r="AW55" s="2">
        <v>0</v>
      </c>
      <c r="AX55" s="3">
        <v>42856.657638888886</v>
      </c>
      <c r="AY55" s="2" t="s">
        <v>162</v>
      </c>
      <c r="AZ55" s="4">
        <v>42735</v>
      </c>
      <c r="BA55" s="5">
        <v>0.65763888888888888</v>
      </c>
      <c r="BB55" s="2">
        <v>2016</v>
      </c>
      <c r="BC55" s="2" t="s">
        <v>357</v>
      </c>
      <c r="BD55" s="2">
        <v>31</v>
      </c>
      <c r="BE55" s="4">
        <v>42856</v>
      </c>
      <c r="BF55" s="5">
        <v>0.65763888888888888</v>
      </c>
      <c r="BG55" s="2" t="str" cm="1">
        <f t="array" ref="BG55">_xlfn.IFS(BF55&lt;TIMEVALUE("06:00"),"Night", BF55&gt;=TIMEVALUE("21:00"),"Night",BF55&gt;=TIMEVALUE("17:00"),"Evening",BF55&gt;=TIMEVALUE("12:00"),"Afternoon", BF55&gt;=TIMEVALUE("06:00"),"Morning")</f>
        <v>Afternoon</v>
      </c>
      <c r="BH55" s="2">
        <v>2017</v>
      </c>
      <c r="BI55" s="2" t="s">
        <v>443</v>
      </c>
      <c r="BJ55" s="2">
        <v>1</v>
      </c>
    </row>
    <row r="56" spans="1:62" x14ac:dyDescent="0.3">
      <c r="A56" s="2" t="s">
        <v>121</v>
      </c>
      <c r="B56" s="2">
        <v>6</v>
      </c>
      <c r="C56" s="2">
        <v>2</v>
      </c>
      <c r="D56" s="2">
        <v>6.15</v>
      </c>
      <c r="E56" s="2">
        <v>82</v>
      </c>
      <c r="F56" s="2" t="s">
        <v>87</v>
      </c>
      <c r="G56" s="2" t="s">
        <v>88</v>
      </c>
      <c r="H56" s="2">
        <v>24</v>
      </c>
      <c r="I56" s="2" t="s">
        <v>435</v>
      </c>
      <c r="J56" s="2" t="s">
        <v>66</v>
      </c>
      <c r="K56" s="2" t="s">
        <v>67</v>
      </c>
      <c r="L56" s="2" t="s">
        <v>414</v>
      </c>
      <c r="M56" s="2">
        <v>8011</v>
      </c>
      <c r="N56" s="2" t="s">
        <v>459</v>
      </c>
      <c r="O56" s="2" t="s">
        <v>113</v>
      </c>
      <c r="P56" s="2" t="s">
        <v>71</v>
      </c>
      <c r="Q56" s="2" t="s">
        <v>460</v>
      </c>
      <c r="R56" s="2">
        <v>725</v>
      </c>
      <c r="S56" s="2">
        <v>5</v>
      </c>
      <c r="T56" s="2" t="s">
        <v>427</v>
      </c>
      <c r="U56" s="2">
        <v>18.255712500000001</v>
      </c>
      <c r="V56" s="2">
        <v>-66.370506300000002</v>
      </c>
      <c r="W56" s="2" t="s">
        <v>74</v>
      </c>
      <c r="X56" s="2" t="s">
        <v>461</v>
      </c>
      <c r="Y56" s="2" t="s">
        <v>93</v>
      </c>
      <c r="Z56" s="2">
        <v>8011</v>
      </c>
      <c r="AA56" s="2" t="s">
        <v>462</v>
      </c>
      <c r="AB56" s="2">
        <v>20365</v>
      </c>
      <c r="AC56" s="2">
        <v>502</v>
      </c>
      <c r="AD56" s="2">
        <v>18</v>
      </c>
      <c r="AE56" s="2">
        <v>0.18</v>
      </c>
      <c r="AF56" s="2" t="str" cm="1">
        <f t="array" ref="AF56">_xlfn.IFS(AE56=0, "No Discount ", AE56&lt;=0.08,"Low Discount", AE56&lt;=0.16,"Medium Discount", AE56&gt;0.16, "High Discount")</f>
        <v>High Discount</v>
      </c>
      <c r="AG56" s="2">
        <v>50842</v>
      </c>
      <c r="AH56" s="2">
        <v>50</v>
      </c>
      <c r="AI56" s="2">
        <v>0.08</v>
      </c>
      <c r="AJ56" s="2" t="str" cm="1">
        <f t="array" ref="AJ56">_xlfn.IFS(AI56&lt;=0, "No Profit", AI56&lt;=0.16,"Low Profit",AI56&lt;=0.32,"Medium Profit",AI56&gt;0.32,"High Profit")</f>
        <v>Low Profit</v>
      </c>
      <c r="AK56" s="2">
        <v>2</v>
      </c>
      <c r="AL56" s="2">
        <v>100</v>
      </c>
      <c r="AM56" s="2">
        <v>82</v>
      </c>
      <c r="AN56" s="2">
        <v>6.15</v>
      </c>
      <c r="AO56" s="2" t="s">
        <v>95</v>
      </c>
      <c r="AP56" s="2" t="s">
        <v>96</v>
      </c>
      <c r="AQ56" s="2" t="s">
        <v>127</v>
      </c>
      <c r="AR56" s="2" t="s">
        <v>81</v>
      </c>
      <c r="AS56" s="2">
        <v>502</v>
      </c>
      <c r="AT56" s="2">
        <v>24</v>
      </c>
      <c r="AU56" s="2" t="s">
        <v>442</v>
      </c>
      <c r="AV56" s="2">
        <v>50</v>
      </c>
      <c r="AW56" s="2">
        <v>0</v>
      </c>
      <c r="AX56" s="2" t="s">
        <v>463</v>
      </c>
      <c r="AY56" s="2" t="s">
        <v>162</v>
      </c>
      <c r="AZ56" s="4">
        <v>42302</v>
      </c>
      <c r="BA56" s="5">
        <v>0.26666666666666666</v>
      </c>
      <c r="BB56" s="2">
        <v>2015</v>
      </c>
      <c r="BC56" s="2" t="s">
        <v>434</v>
      </c>
      <c r="BD56" s="2">
        <v>25</v>
      </c>
      <c r="BE56" s="4">
        <v>42308</v>
      </c>
      <c r="BF56" s="5">
        <v>0.26666666666666666</v>
      </c>
      <c r="BG56" s="2" t="str" cm="1">
        <f t="array" ref="BG56">_xlfn.IFS(BF56&lt;TIMEVALUE("06:00"),"Night", BF56&gt;=TIMEVALUE("21:00"),"Night",BF56&gt;=TIMEVALUE("17:00"),"Evening",BF56&gt;=TIMEVALUE("12:00"),"Afternoon", BF56&gt;=TIMEVALUE("06:00"),"Morning")</f>
        <v>Morning</v>
      </c>
      <c r="BH56" s="2">
        <v>2015</v>
      </c>
      <c r="BI56" s="2" t="s">
        <v>434</v>
      </c>
      <c r="BJ56" s="2">
        <v>31</v>
      </c>
    </row>
    <row r="57" spans="1:62" x14ac:dyDescent="0.3">
      <c r="A57" s="2" t="s">
        <v>121</v>
      </c>
      <c r="B57" s="2">
        <v>2</v>
      </c>
      <c r="C57" s="2">
        <v>2</v>
      </c>
      <c r="D57" s="2">
        <v>22.41</v>
      </c>
      <c r="E57" s="2">
        <v>74.680000000000007</v>
      </c>
      <c r="F57" s="2" t="s">
        <v>100</v>
      </c>
      <c r="G57" s="2" t="s">
        <v>64</v>
      </c>
      <c r="H57" s="2">
        <v>13</v>
      </c>
      <c r="I57" s="2" t="s">
        <v>464</v>
      </c>
      <c r="J57" s="2" t="s">
        <v>66</v>
      </c>
      <c r="K57" s="2" t="s">
        <v>67</v>
      </c>
      <c r="L57" s="2" t="s">
        <v>414</v>
      </c>
      <c r="M57" s="2">
        <v>3296</v>
      </c>
      <c r="N57" s="2" t="s">
        <v>425</v>
      </c>
      <c r="O57" s="2" t="s">
        <v>113</v>
      </c>
      <c r="P57" s="2" t="s">
        <v>71</v>
      </c>
      <c r="Q57" s="2" t="s">
        <v>465</v>
      </c>
      <c r="R57" s="2">
        <v>725</v>
      </c>
      <c r="S57" s="2">
        <v>3</v>
      </c>
      <c r="T57" s="2" t="s">
        <v>466</v>
      </c>
      <c r="U57" s="2">
        <v>18.234663000000001</v>
      </c>
      <c r="V57" s="2">
        <v>-66.370597799999999</v>
      </c>
      <c r="W57" s="2" t="s">
        <v>467</v>
      </c>
      <c r="X57" s="2" t="s">
        <v>468</v>
      </c>
      <c r="Y57" s="2" t="s">
        <v>469</v>
      </c>
      <c r="Z57" s="2">
        <v>3296</v>
      </c>
      <c r="AA57" s="3">
        <v>42680.633333333331</v>
      </c>
      <c r="AB57" s="2">
        <v>36146</v>
      </c>
      <c r="AC57" s="2">
        <v>278</v>
      </c>
      <c r="AD57" s="2">
        <v>15.3</v>
      </c>
      <c r="AE57" s="2">
        <v>0.17</v>
      </c>
      <c r="AF57" s="2" t="str" cm="1">
        <f t="array" ref="AF57">_xlfn.IFS(AE57=0, "No Discount ", AE57&lt;=0.08,"Low Discount", AE57&lt;=0.16,"Medium Discount", AE57&gt;0.16, "High Discount")</f>
        <v>High Discount</v>
      </c>
      <c r="AG57" s="2">
        <v>90273</v>
      </c>
      <c r="AH57" s="2">
        <v>44.99</v>
      </c>
      <c r="AI57" s="2">
        <v>0.3</v>
      </c>
      <c r="AJ57" s="2" t="str" cm="1">
        <f t="array" ref="AJ57">_xlfn.IFS(AI57&lt;=0, "No Profit", AI57&lt;=0.16,"Low Profit",AI57&lt;=0.32,"Medium Profit",AI57&gt;0.32,"High Profit")</f>
        <v>Medium Profit</v>
      </c>
      <c r="AK57" s="2">
        <v>2</v>
      </c>
      <c r="AL57" s="2">
        <v>89.98</v>
      </c>
      <c r="AM57" s="2">
        <v>74.680000000000007</v>
      </c>
      <c r="AN57" s="2">
        <v>22.41</v>
      </c>
      <c r="AO57" s="2" t="s">
        <v>470</v>
      </c>
      <c r="AP57" s="2" t="s">
        <v>471</v>
      </c>
      <c r="AQ57" s="2" t="s">
        <v>127</v>
      </c>
      <c r="AR57" s="2">
        <v>99301</v>
      </c>
      <c r="AS57" s="2">
        <v>278</v>
      </c>
      <c r="AT57" s="2">
        <v>13</v>
      </c>
      <c r="AU57" s="2" t="s">
        <v>472</v>
      </c>
      <c r="AV57" s="2">
        <v>44.99</v>
      </c>
      <c r="AW57" s="2">
        <v>0</v>
      </c>
      <c r="AX57" s="2" t="s">
        <v>473</v>
      </c>
      <c r="AY57" s="2" t="s">
        <v>162</v>
      </c>
      <c r="AZ57" s="4">
        <v>42680</v>
      </c>
      <c r="BA57" s="5">
        <v>0.6333333333333333</v>
      </c>
      <c r="BB57" s="2">
        <v>2016</v>
      </c>
      <c r="BC57" s="2" t="s">
        <v>455</v>
      </c>
      <c r="BD57" s="2">
        <v>6</v>
      </c>
      <c r="BE57" s="4">
        <v>42534</v>
      </c>
      <c r="BF57" s="5">
        <v>0.6333333333333333</v>
      </c>
      <c r="BG57" s="2" t="str" cm="1">
        <f t="array" ref="BG57">_xlfn.IFS(BF57&lt;TIMEVALUE("06:00"),"Night", BF57&gt;=TIMEVALUE("21:00"),"Night",BF57&gt;=TIMEVALUE("17:00"),"Evening",BF57&gt;=TIMEVALUE("12:00"),"Afternoon", BF57&gt;=TIMEVALUE("06:00"),"Morning")</f>
        <v>Afternoon</v>
      </c>
      <c r="BH57" s="2">
        <v>2016</v>
      </c>
      <c r="BI57" s="2" t="s">
        <v>474</v>
      </c>
      <c r="BJ57" s="2">
        <v>13</v>
      </c>
    </row>
    <row r="58" spans="1:62" x14ac:dyDescent="0.3">
      <c r="A58" s="2" t="s">
        <v>121</v>
      </c>
      <c r="B58" s="2">
        <v>5</v>
      </c>
      <c r="C58" s="2">
        <v>2</v>
      </c>
      <c r="D58" s="2">
        <v>25.24</v>
      </c>
      <c r="E58" s="2">
        <v>90.15</v>
      </c>
      <c r="F58" s="2" t="s">
        <v>87</v>
      </c>
      <c r="G58" s="2" t="s">
        <v>88</v>
      </c>
      <c r="H58" s="2">
        <v>12</v>
      </c>
      <c r="I58" s="2" t="s">
        <v>475</v>
      </c>
      <c r="J58" s="2" t="s">
        <v>66</v>
      </c>
      <c r="K58" s="2" t="s">
        <v>67</v>
      </c>
      <c r="L58" s="2" t="s">
        <v>476</v>
      </c>
      <c r="M58" s="2">
        <v>3182</v>
      </c>
      <c r="N58" s="2" t="s">
        <v>425</v>
      </c>
      <c r="O58" s="2" t="s">
        <v>113</v>
      </c>
      <c r="P58" s="2" t="s">
        <v>71</v>
      </c>
      <c r="Q58" s="2" t="s">
        <v>477</v>
      </c>
      <c r="R58" s="2">
        <v>725</v>
      </c>
      <c r="S58" s="2">
        <v>3</v>
      </c>
      <c r="T58" s="2" t="s">
        <v>466</v>
      </c>
      <c r="U58" s="2">
        <v>18.262682000000002</v>
      </c>
      <c r="V58" s="2">
        <v>-66.370498699999999</v>
      </c>
      <c r="W58" s="2" t="s">
        <v>467</v>
      </c>
      <c r="X58" s="2" t="s">
        <v>110</v>
      </c>
      <c r="Y58" s="2" t="s">
        <v>469</v>
      </c>
      <c r="Z58" s="2">
        <v>3182</v>
      </c>
      <c r="AA58" s="2" t="s">
        <v>478</v>
      </c>
      <c r="AB58" s="2">
        <v>41234</v>
      </c>
      <c r="AC58" s="2">
        <v>249</v>
      </c>
      <c r="AD58" s="2">
        <v>19.79</v>
      </c>
      <c r="AE58" s="2">
        <v>0.18</v>
      </c>
      <c r="AF58" s="2" t="str" cm="1">
        <f t="array" ref="AF58">_xlfn.IFS(AE58=0, "No Discount ", AE58&lt;=0.08,"Low Discount", AE58&lt;=0.16,"Medium Discount", AE58&gt;0.16, "High Discount")</f>
        <v>High Discount</v>
      </c>
      <c r="AG58" s="2">
        <v>102921</v>
      </c>
      <c r="AH58" s="2">
        <v>54.97</v>
      </c>
      <c r="AI58" s="2">
        <v>0.28000000000000003</v>
      </c>
      <c r="AJ58" s="2" t="str" cm="1">
        <f t="array" ref="AJ58">_xlfn.IFS(AI58&lt;=0, "No Profit", AI58&lt;=0.16,"Low Profit",AI58&lt;=0.32,"Medium Profit",AI58&gt;0.32,"High Profit")</f>
        <v>Medium Profit</v>
      </c>
      <c r="AK58" s="2">
        <v>2</v>
      </c>
      <c r="AL58" s="2">
        <v>109.94</v>
      </c>
      <c r="AM58" s="2">
        <v>90.15</v>
      </c>
      <c r="AN58" s="2">
        <v>25.24</v>
      </c>
      <c r="AO58" s="2" t="s">
        <v>470</v>
      </c>
      <c r="AP58" s="2" t="s">
        <v>479</v>
      </c>
      <c r="AQ58" s="2" t="s">
        <v>127</v>
      </c>
      <c r="AR58" s="2">
        <v>90049</v>
      </c>
      <c r="AS58" s="2">
        <v>249</v>
      </c>
      <c r="AT58" s="2">
        <v>12</v>
      </c>
      <c r="AU58" s="2" t="s">
        <v>480</v>
      </c>
      <c r="AV58" s="2">
        <v>54.97</v>
      </c>
      <c r="AW58" s="2">
        <v>0</v>
      </c>
      <c r="AX58" s="2" t="s">
        <v>481</v>
      </c>
      <c r="AY58" s="2" t="s">
        <v>162</v>
      </c>
      <c r="AZ58" s="4">
        <v>42606</v>
      </c>
      <c r="BA58" s="5">
        <v>0.90625</v>
      </c>
      <c r="BB58" s="2">
        <v>2016</v>
      </c>
      <c r="BC58" s="2" t="s">
        <v>482</v>
      </c>
      <c r="BD58" s="2">
        <v>24</v>
      </c>
      <c r="BE58" s="4">
        <v>42611</v>
      </c>
      <c r="BF58" s="5">
        <v>0.90625</v>
      </c>
      <c r="BG58" s="2" t="str" cm="1">
        <f t="array" ref="BG58">_xlfn.IFS(BF58&lt;TIMEVALUE("06:00"),"Night", BF58&gt;=TIMEVALUE("21:00"),"Night",BF58&gt;=TIMEVALUE("17:00"),"Evening",BF58&gt;=TIMEVALUE("12:00"),"Afternoon", BF58&gt;=TIMEVALUE("06:00"),"Morning")</f>
        <v>Night</v>
      </c>
      <c r="BH58" s="2">
        <v>2016</v>
      </c>
      <c r="BI58" s="2" t="s">
        <v>482</v>
      </c>
      <c r="BJ58" s="2">
        <v>29</v>
      </c>
    </row>
    <row r="59" spans="1:62" x14ac:dyDescent="0.3">
      <c r="A59" s="2" t="s">
        <v>121</v>
      </c>
      <c r="B59" s="2">
        <v>6</v>
      </c>
      <c r="C59" s="2">
        <v>2</v>
      </c>
      <c r="D59" s="2">
        <v>30.57</v>
      </c>
      <c r="E59" s="2">
        <v>117.58</v>
      </c>
      <c r="F59" s="2" t="s">
        <v>87</v>
      </c>
      <c r="G59" s="2" t="s">
        <v>88</v>
      </c>
      <c r="H59" s="2">
        <v>17</v>
      </c>
      <c r="I59" s="2" t="s">
        <v>412</v>
      </c>
      <c r="J59" s="2" t="s">
        <v>66</v>
      </c>
      <c r="K59" s="2" t="s">
        <v>67</v>
      </c>
      <c r="L59" s="2" t="s">
        <v>483</v>
      </c>
      <c r="M59" s="2">
        <v>7864</v>
      </c>
      <c r="N59" s="2" t="s">
        <v>425</v>
      </c>
      <c r="O59" s="2" t="s">
        <v>113</v>
      </c>
      <c r="P59" s="2" t="s">
        <v>71</v>
      </c>
      <c r="Q59" s="2" t="s">
        <v>313</v>
      </c>
      <c r="R59" s="2">
        <v>725</v>
      </c>
      <c r="S59" s="2">
        <v>4</v>
      </c>
      <c r="T59" s="2" t="s">
        <v>417</v>
      </c>
      <c r="U59" s="2">
        <v>18.282795</v>
      </c>
      <c r="V59" s="2">
        <v>-66.370559700000001</v>
      </c>
      <c r="W59" s="2" t="s">
        <v>467</v>
      </c>
      <c r="X59" s="2" t="s">
        <v>484</v>
      </c>
      <c r="Y59" s="2" t="s">
        <v>469</v>
      </c>
      <c r="Z59" s="2">
        <v>7864</v>
      </c>
      <c r="AA59" s="2" t="s">
        <v>485</v>
      </c>
      <c r="AB59" s="2">
        <v>32090</v>
      </c>
      <c r="AC59" s="2">
        <v>365</v>
      </c>
      <c r="AD59" s="2">
        <v>2.4</v>
      </c>
      <c r="AE59" s="2">
        <v>0.02</v>
      </c>
      <c r="AF59" s="2" t="str" cm="1">
        <f t="array" ref="AF59">_xlfn.IFS(AE59=0, "No Discount ", AE59&lt;=0.08,"Low Discount", AE59&lt;=0.16,"Medium Discount", AE59&gt;0.16, "High Discount")</f>
        <v>Low Discount</v>
      </c>
      <c r="AG59" s="2">
        <v>80250</v>
      </c>
      <c r="AH59" s="2">
        <v>59.99</v>
      </c>
      <c r="AI59" s="2">
        <v>0.26</v>
      </c>
      <c r="AJ59" s="2" t="str" cm="1">
        <f t="array" ref="AJ59">_xlfn.IFS(AI59&lt;=0, "No Profit", AI59&lt;=0.16,"Low Profit",AI59&lt;=0.32,"Medium Profit",AI59&gt;0.32,"High Profit")</f>
        <v>Medium Profit</v>
      </c>
      <c r="AK59" s="2">
        <v>2</v>
      </c>
      <c r="AL59" s="2">
        <v>119.98</v>
      </c>
      <c r="AM59" s="2">
        <v>117.58</v>
      </c>
      <c r="AN59" s="2">
        <v>30.57</v>
      </c>
      <c r="AO59" s="2" t="s">
        <v>470</v>
      </c>
      <c r="AP59" s="2" t="s">
        <v>479</v>
      </c>
      <c r="AQ59" s="2" t="s">
        <v>127</v>
      </c>
      <c r="AR59" s="2">
        <v>94110</v>
      </c>
      <c r="AS59" s="2">
        <v>365</v>
      </c>
      <c r="AT59" s="2">
        <v>17</v>
      </c>
      <c r="AU59" s="2" t="s">
        <v>421</v>
      </c>
      <c r="AV59" s="2">
        <v>59.99</v>
      </c>
      <c r="AW59" s="2">
        <v>0</v>
      </c>
      <c r="AX59" s="2" t="s">
        <v>486</v>
      </c>
      <c r="AY59" s="2" t="s">
        <v>162</v>
      </c>
      <c r="AZ59" s="4">
        <v>42473</v>
      </c>
      <c r="BA59" s="5">
        <v>0.42499999999999999</v>
      </c>
      <c r="BB59" s="2">
        <v>2016</v>
      </c>
      <c r="BC59" s="2" t="s">
        <v>487</v>
      </c>
      <c r="BD59" s="2">
        <v>13</v>
      </c>
      <c r="BE59" s="4">
        <v>42479</v>
      </c>
      <c r="BF59" s="5">
        <v>0.42499999999999999</v>
      </c>
      <c r="BG59" s="2" t="str" cm="1">
        <f t="array" ref="BG59">_xlfn.IFS(BF59&lt;TIMEVALUE("06:00"),"Night", BF59&gt;=TIMEVALUE("21:00"),"Night",BF59&gt;=TIMEVALUE("17:00"),"Evening",BF59&gt;=TIMEVALUE("12:00"),"Afternoon", BF59&gt;=TIMEVALUE("06:00"),"Morning")</f>
        <v>Morning</v>
      </c>
      <c r="BH59" s="2">
        <v>2016</v>
      </c>
      <c r="BI59" s="2" t="s">
        <v>487</v>
      </c>
      <c r="BJ59" s="2">
        <v>19</v>
      </c>
    </row>
    <row r="60" spans="1:62" x14ac:dyDescent="0.3">
      <c r="A60" s="2" t="s">
        <v>121</v>
      </c>
      <c r="B60" s="2">
        <v>4</v>
      </c>
      <c r="C60" s="2">
        <v>2</v>
      </c>
      <c r="D60" s="2">
        <v>46.07</v>
      </c>
      <c r="E60" s="2">
        <v>95.98</v>
      </c>
      <c r="F60" s="2" t="s">
        <v>87</v>
      </c>
      <c r="G60" s="2" t="s">
        <v>88</v>
      </c>
      <c r="H60" s="2">
        <v>17</v>
      </c>
      <c r="I60" s="2" t="s">
        <v>412</v>
      </c>
      <c r="J60" s="2" t="s">
        <v>66</v>
      </c>
      <c r="K60" s="2" t="s">
        <v>67</v>
      </c>
      <c r="L60" s="2" t="s">
        <v>488</v>
      </c>
      <c r="M60" s="2">
        <v>11169</v>
      </c>
      <c r="N60" s="2" t="s">
        <v>489</v>
      </c>
      <c r="O60" s="2" t="s">
        <v>113</v>
      </c>
      <c r="P60" s="2" t="s">
        <v>71</v>
      </c>
      <c r="Q60" s="2" t="s">
        <v>490</v>
      </c>
      <c r="R60" s="2">
        <v>725</v>
      </c>
      <c r="S60" s="2">
        <v>4</v>
      </c>
      <c r="T60" s="2" t="s">
        <v>417</v>
      </c>
      <c r="U60" s="2">
        <v>18.274661999999999</v>
      </c>
      <c r="V60" s="2">
        <v>-66.370582600000006</v>
      </c>
      <c r="W60" s="2" t="s">
        <v>467</v>
      </c>
      <c r="X60" s="2" t="s">
        <v>491</v>
      </c>
      <c r="Y60" s="2" t="s">
        <v>469</v>
      </c>
      <c r="Z60" s="2">
        <v>11169</v>
      </c>
      <c r="AA60" s="2" t="s">
        <v>492</v>
      </c>
      <c r="AB60" s="2">
        <v>34773</v>
      </c>
      <c r="AC60" s="2">
        <v>365</v>
      </c>
      <c r="AD60" s="2">
        <v>24</v>
      </c>
      <c r="AE60" s="2">
        <v>0.2</v>
      </c>
      <c r="AF60" s="2" t="str" cm="1">
        <f t="array" ref="AF60">_xlfn.IFS(AE60=0, "No Discount ", AE60&lt;=0.08,"Low Discount", AE60&lt;=0.16,"Medium Discount", AE60&gt;0.16, "High Discount")</f>
        <v>High Discount</v>
      </c>
      <c r="AG60" s="2">
        <v>86866</v>
      </c>
      <c r="AH60" s="2">
        <v>59.99</v>
      </c>
      <c r="AI60" s="2">
        <v>0.48</v>
      </c>
      <c r="AJ60" s="2" t="str" cm="1">
        <f t="array" ref="AJ60">_xlfn.IFS(AI60&lt;=0, "No Profit", AI60&lt;=0.16,"Low Profit",AI60&lt;=0.32,"Medium Profit",AI60&gt;0.32,"High Profit")</f>
        <v>High Profit</v>
      </c>
      <c r="AK60" s="2">
        <v>2</v>
      </c>
      <c r="AL60" s="2">
        <v>119.98</v>
      </c>
      <c r="AM60" s="2">
        <v>95.98</v>
      </c>
      <c r="AN60" s="2">
        <v>46.07</v>
      </c>
      <c r="AO60" s="2" t="s">
        <v>493</v>
      </c>
      <c r="AP60" s="2" t="s">
        <v>494</v>
      </c>
      <c r="AQ60" s="2" t="s">
        <v>127</v>
      </c>
      <c r="AR60" s="2">
        <v>66212</v>
      </c>
      <c r="AS60" s="2">
        <v>365</v>
      </c>
      <c r="AT60" s="2">
        <v>17</v>
      </c>
      <c r="AU60" s="2" t="s">
        <v>421</v>
      </c>
      <c r="AV60" s="2">
        <v>59.99</v>
      </c>
      <c r="AW60" s="2">
        <v>0</v>
      </c>
      <c r="AX60" s="2" t="s">
        <v>495</v>
      </c>
      <c r="AY60" s="2" t="s">
        <v>162</v>
      </c>
      <c r="AZ60" s="4">
        <v>42512</v>
      </c>
      <c r="BA60" s="5">
        <v>0.59027777777777779</v>
      </c>
      <c r="BB60" s="2">
        <v>2016</v>
      </c>
      <c r="BC60" s="2" t="s">
        <v>443</v>
      </c>
      <c r="BD60" s="2">
        <v>22</v>
      </c>
      <c r="BE60" s="4">
        <v>42516</v>
      </c>
      <c r="BF60" s="5">
        <v>0.59027777777777779</v>
      </c>
      <c r="BG60" s="2" t="str" cm="1">
        <f t="array" ref="BG60">_xlfn.IFS(BF60&lt;TIMEVALUE("06:00"),"Night", BF60&gt;=TIMEVALUE("21:00"),"Night",BF60&gt;=TIMEVALUE("17:00"),"Evening",BF60&gt;=TIMEVALUE("12:00"),"Afternoon", BF60&gt;=TIMEVALUE("06:00"),"Morning")</f>
        <v>Afternoon</v>
      </c>
      <c r="BH60" s="2">
        <v>2016</v>
      </c>
      <c r="BI60" s="2" t="s">
        <v>443</v>
      </c>
      <c r="BJ60" s="2">
        <v>26</v>
      </c>
    </row>
    <row r="61" spans="1:62" x14ac:dyDescent="0.3">
      <c r="A61" s="2" t="s">
        <v>121</v>
      </c>
      <c r="B61" s="2">
        <v>2</v>
      </c>
      <c r="C61" s="2">
        <v>2</v>
      </c>
      <c r="D61" s="2">
        <v>-184.78</v>
      </c>
      <c r="E61" s="2">
        <v>263.97000000000003</v>
      </c>
      <c r="F61" s="2" t="s">
        <v>100</v>
      </c>
      <c r="G61" s="2" t="s">
        <v>64</v>
      </c>
      <c r="H61" s="2">
        <v>9</v>
      </c>
      <c r="I61" s="2" t="s">
        <v>496</v>
      </c>
      <c r="J61" s="2" t="s">
        <v>66</v>
      </c>
      <c r="K61" s="2" t="s">
        <v>67</v>
      </c>
      <c r="L61" s="2" t="s">
        <v>497</v>
      </c>
      <c r="M61" s="2">
        <v>5197</v>
      </c>
      <c r="N61" s="2" t="s">
        <v>498</v>
      </c>
      <c r="O61" s="2" t="s">
        <v>113</v>
      </c>
      <c r="P61" s="2" t="s">
        <v>71</v>
      </c>
      <c r="Q61" s="2" t="s">
        <v>499</v>
      </c>
      <c r="R61" s="2">
        <v>725</v>
      </c>
      <c r="S61" s="2">
        <v>3</v>
      </c>
      <c r="T61" s="2" t="s">
        <v>466</v>
      </c>
      <c r="U61" s="2">
        <v>18.268999099999998</v>
      </c>
      <c r="V61" s="2">
        <v>-66.370498699999999</v>
      </c>
      <c r="W61" s="2" t="s">
        <v>500</v>
      </c>
      <c r="X61" s="2" t="s">
        <v>501</v>
      </c>
      <c r="Y61" s="2" t="s">
        <v>502</v>
      </c>
      <c r="Z61" s="2">
        <v>5197</v>
      </c>
      <c r="AA61" s="3">
        <v>42470.954861111109</v>
      </c>
      <c r="AB61" s="2">
        <v>44046</v>
      </c>
      <c r="AC61" s="2">
        <v>191</v>
      </c>
      <c r="AD61" s="2">
        <v>36</v>
      </c>
      <c r="AE61" s="2">
        <v>0.12</v>
      </c>
      <c r="AF61" s="2" t="str" cm="1">
        <f t="array" ref="AF61">_xlfn.IFS(AE61=0, "No Discount ", AE61&lt;=0.08,"Low Discount", AE61&lt;=0.16,"Medium Discount", AE61&gt;0.16, "High Discount")</f>
        <v>Medium Discount</v>
      </c>
      <c r="AG61" s="2">
        <v>110025</v>
      </c>
      <c r="AH61" s="2">
        <v>99.99</v>
      </c>
      <c r="AI61" s="2">
        <v>-0.7</v>
      </c>
      <c r="AJ61" s="2" t="str" cm="1">
        <f t="array" ref="AJ61">_xlfn.IFS(AI61&lt;=0, "No Profit", AI61&lt;=0.16,"Low Profit",AI61&lt;=0.32,"Medium Profit",AI61&gt;0.32,"High Profit")</f>
        <v>No Profit</v>
      </c>
      <c r="AK61" s="2">
        <v>3</v>
      </c>
      <c r="AL61" s="2">
        <v>299.97000000000003</v>
      </c>
      <c r="AM61" s="2">
        <v>263.97000000000003</v>
      </c>
      <c r="AN61" s="2">
        <v>-184.78</v>
      </c>
      <c r="AO61" s="2" t="s">
        <v>503</v>
      </c>
      <c r="AP61" s="2" t="s">
        <v>504</v>
      </c>
      <c r="AQ61" s="2" t="s">
        <v>127</v>
      </c>
      <c r="AR61" s="2" t="s">
        <v>81</v>
      </c>
      <c r="AS61" s="2">
        <v>191</v>
      </c>
      <c r="AT61" s="2">
        <v>9</v>
      </c>
      <c r="AU61" s="2" t="s">
        <v>505</v>
      </c>
      <c r="AV61" s="2">
        <v>99.99</v>
      </c>
      <c r="AW61" s="2">
        <v>0</v>
      </c>
      <c r="AX61" s="3">
        <v>42531.954861111109</v>
      </c>
      <c r="AY61" s="2" t="s">
        <v>162</v>
      </c>
      <c r="AZ61" s="4">
        <v>42470</v>
      </c>
      <c r="BA61" s="5">
        <v>0.95486111111111116</v>
      </c>
      <c r="BB61" s="2">
        <v>2016</v>
      </c>
      <c r="BC61" s="2" t="s">
        <v>487</v>
      </c>
      <c r="BD61" s="2">
        <v>10</v>
      </c>
      <c r="BE61" s="4">
        <v>42531</v>
      </c>
      <c r="BF61" s="5">
        <v>0.95486111111111116</v>
      </c>
      <c r="BG61" s="2" t="str" cm="1">
        <f t="array" ref="BG61">_xlfn.IFS(BF61&lt;TIMEVALUE("06:00"),"Night", BF61&gt;=TIMEVALUE("21:00"),"Night",BF61&gt;=TIMEVALUE("17:00"),"Evening",BF61&gt;=TIMEVALUE("12:00"),"Afternoon", BF61&gt;=TIMEVALUE("06:00"),"Morning")</f>
        <v>Night</v>
      </c>
      <c r="BH61" s="2">
        <v>2016</v>
      </c>
      <c r="BI61" s="2" t="s">
        <v>474</v>
      </c>
      <c r="BJ61" s="2">
        <v>10</v>
      </c>
    </row>
    <row r="62" spans="1:62" x14ac:dyDescent="0.3">
      <c r="A62" s="2" t="s">
        <v>121</v>
      </c>
      <c r="B62" s="2">
        <v>5</v>
      </c>
      <c r="C62" s="2">
        <v>2</v>
      </c>
      <c r="D62" s="2">
        <v>38.75</v>
      </c>
      <c r="E62" s="2">
        <v>113.97</v>
      </c>
      <c r="F62" s="2" t="s">
        <v>87</v>
      </c>
      <c r="G62" s="2" t="s">
        <v>88</v>
      </c>
      <c r="H62" s="2">
        <v>29</v>
      </c>
      <c r="I62" s="2" t="s">
        <v>424</v>
      </c>
      <c r="J62" s="2" t="s">
        <v>66</v>
      </c>
      <c r="K62" s="2" t="s">
        <v>67</v>
      </c>
      <c r="L62" s="2" t="s">
        <v>415</v>
      </c>
      <c r="M62" s="2">
        <v>1535</v>
      </c>
      <c r="N62" s="2" t="s">
        <v>506</v>
      </c>
      <c r="O62" s="2" t="s">
        <v>113</v>
      </c>
      <c r="P62" s="2" t="s">
        <v>71</v>
      </c>
      <c r="Q62" s="2" t="s">
        <v>507</v>
      </c>
      <c r="R62" s="2">
        <v>725</v>
      </c>
      <c r="S62" s="2">
        <v>5</v>
      </c>
      <c r="T62" s="2" t="s">
        <v>427</v>
      </c>
      <c r="U62" s="2">
        <v>18.230817800000001</v>
      </c>
      <c r="V62" s="2">
        <v>-66.370521600000004</v>
      </c>
      <c r="W62" s="2" t="s">
        <v>500</v>
      </c>
      <c r="X62" s="2" t="s">
        <v>508</v>
      </c>
      <c r="Y62" s="2" t="s">
        <v>509</v>
      </c>
      <c r="Z62" s="2">
        <v>1535</v>
      </c>
      <c r="AA62" s="3">
        <v>42593.522222222222</v>
      </c>
      <c r="AB62" s="2">
        <v>46414</v>
      </c>
      <c r="AC62" s="2">
        <v>627</v>
      </c>
      <c r="AD62" s="2">
        <v>6</v>
      </c>
      <c r="AE62" s="2">
        <v>0.05</v>
      </c>
      <c r="AF62" s="2" t="str" cm="1">
        <f t="array" ref="AF62">_xlfn.IFS(AE62=0, "No Discount ", AE62&lt;=0.08,"Low Discount", AE62&lt;=0.16,"Medium Discount", AE62&gt;0.16, "High Discount")</f>
        <v>Low Discount</v>
      </c>
      <c r="AG62" s="2">
        <v>116033</v>
      </c>
      <c r="AH62" s="2">
        <v>39.99</v>
      </c>
      <c r="AI62" s="2">
        <v>0.34</v>
      </c>
      <c r="AJ62" s="2" t="str" cm="1">
        <f t="array" ref="AJ62">_xlfn.IFS(AI62&lt;=0, "No Profit", AI62&lt;=0.16,"Low Profit",AI62&lt;=0.32,"Medium Profit",AI62&gt;0.32,"High Profit")</f>
        <v>High Profit</v>
      </c>
      <c r="AK62" s="2">
        <v>3</v>
      </c>
      <c r="AL62" s="2">
        <v>119.97</v>
      </c>
      <c r="AM62" s="2">
        <v>113.97</v>
      </c>
      <c r="AN62" s="2">
        <v>38.75</v>
      </c>
      <c r="AO62" s="2" t="s">
        <v>510</v>
      </c>
      <c r="AP62" s="2" t="s">
        <v>508</v>
      </c>
      <c r="AQ62" s="2" t="s">
        <v>127</v>
      </c>
      <c r="AR62" s="2" t="s">
        <v>81</v>
      </c>
      <c r="AS62" s="2">
        <v>627</v>
      </c>
      <c r="AT62" s="2">
        <v>29</v>
      </c>
      <c r="AU62" s="2" t="s">
        <v>432</v>
      </c>
      <c r="AV62" s="2">
        <v>39.99</v>
      </c>
      <c r="AW62" s="2">
        <v>0</v>
      </c>
      <c r="AX62" s="2" t="s">
        <v>511</v>
      </c>
      <c r="AY62" s="2" t="s">
        <v>162</v>
      </c>
      <c r="AZ62" s="4">
        <v>42593</v>
      </c>
      <c r="BA62" s="5">
        <v>0.52222222222222225</v>
      </c>
      <c r="BB62" s="2">
        <v>2016</v>
      </c>
      <c r="BC62" s="2" t="s">
        <v>482</v>
      </c>
      <c r="BD62" s="2">
        <v>11</v>
      </c>
      <c r="BE62" s="4">
        <v>42687</v>
      </c>
      <c r="BF62" s="5">
        <v>0.52222222222222225</v>
      </c>
      <c r="BG62" s="2" t="str" cm="1">
        <f t="array" ref="BG62">_xlfn.IFS(BF62&lt;TIMEVALUE("06:00"),"Night", BF62&gt;=TIMEVALUE("21:00"),"Night",BF62&gt;=TIMEVALUE("17:00"),"Evening",BF62&gt;=TIMEVALUE("12:00"),"Afternoon", BF62&gt;=TIMEVALUE("06:00"),"Morning")</f>
        <v>Afternoon</v>
      </c>
      <c r="BH62" s="2">
        <v>2016</v>
      </c>
      <c r="BI62" s="2" t="s">
        <v>455</v>
      </c>
      <c r="BJ62" s="2">
        <v>13</v>
      </c>
    </row>
    <row r="63" spans="1:62" x14ac:dyDescent="0.3">
      <c r="A63" s="2" t="s">
        <v>121</v>
      </c>
      <c r="B63" s="2">
        <v>5</v>
      </c>
      <c r="C63" s="2">
        <v>2</v>
      </c>
      <c r="D63" s="2">
        <v>-3.65</v>
      </c>
      <c r="E63" s="2">
        <v>63.99</v>
      </c>
      <c r="F63" s="2" t="s">
        <v>87</v>
      </c>
      <c r="G63" s="2" t="s">
        <v>88</v>
      </c>
      <c r="H63" s="2">
        <v>41</v>
      </c>
      <c r="I63" s="2" t="s">
        <v>512</v>
      </c>
      <c r="J63" s="2" t="s">
        <v>66</v>
      </c>
      <c r="K63" s="2" t="s">
        <v>67</v>
      </c>
      <c r="L63" s="2" t="s">
        <v>513</v>
      </c>
      <c r="M63" s="2">
        <v>6122</v>
      </c>
      <c r="N63" s="2" t="s">
        <v>425</v>
      </c>
      <c r="O63" s="2" t="s">
        <v>113</v>
      </c>
      <c r="P63" s="2" t="s">
        <v>71</v>
      </c>
      <c r="Q63" s="2" t="s">
        <v>514</v>
      </c>
      <c r="R63" s="2">
        <v>725</v>
      </c>
      <c r="S63" s="2">
        <v>6</v>
      </c>
      <c r="T63" s="2" t="s">
        <v>515</v>
      </c>
      <c r="U63" s="2">
        <v>18.261381199999999</v>
      </c>
      <c r="V63" s="2">
        <v>-66.370567300000005</v>
      </c>
      <c r="W63" s="2" t="s">
        <v>500</v>
      </c>
      <c r="X63" s="2" t="s">
        <v>516</v>
      </c>
      <c r="Y63" s="2" t="s">
        <v>517</v>
      </c>
      <c r="Z63" s="2">
        <v>6122</v>
      </c>
      <c r="AA63" s="3">
        <v>42685.222916666666</v>
      </c>
      <c r="AB63" s="2">
        <v>46599</v>
      </c>
      <c r="AC63" s="2">
        <v>917</v>
      </c>
      <c r="AD63" s="2">
        <v>1.98</v>
      </c>
      <c r="AE63" s="2">
        <v>0.03</v>
      </c>
      <c r="AF63" s="2" t="str" cm="1">
        <f t="array" ref="AF63">_xlfn.IFS(AE63=0, "No Discount ", AE63&lt;=0.08,"Low Discount", AE63&lt;=0.16,"Medium Discount", AE63&gt;0.16, "High Discount")</f>
        <v>Low Discount</v>
      </c>
      <c r="AG63" s="2">
        <v>116462</v>
      </c>
      <c r="AH63" s="2">
        <v>21.99</v>
      </c>
      <c r="AI63" s="2">
        <v>-0.06</v>
      </c>
      <c r="AJ63" s="2" t="str" cm="1">
        <f t="array" ref="AJ63">_xlfn.IFS(AI63&lt;=0, "No Profit", AI63&lt;=0.16,"Low Profit",AI63&lt;=0.32,"Medium Profit",AI63&gt;0.32,"High Profit")</f>
        <v>No Profit</v>
      </c>
      <c r="AK63" s="2">
        <v>3</v>
      </c>
      <c r="AL63" s="2">
        <v>65.97</v>
      </c>
      <c r="AM63" s="2">
        <v>63.99</v>
      </c>
      <c r="AN63" s="2">
        <v>-3.65</v>
      </c>
      <c r="AO63" s="2" t="s">
        <v>503</v>
      </c>
      <c r="AP63" s="2" t="s">
        <v>516</v>
      </c>
      <c r="AQ63" s="2" t="s">
        <v>127</v>
      </c>
      <c r="AR63" s="2" t="s">
        <v>81</v>
      </c>
      <c r="AS63" s="2">
        <v>917</v>
      </c>
      <c r="AT63" s="2">
        <v>41</v>
      </c>
      <c r="AU63" s="2" t="s">
        <v>518</v>
      </c>
      <c r="AV63" s="2">
        <v>21.99</v>
      </c>
      <c r="AW63" s="2">
        <v>0</v>
      </c>
      <c r="AX63" s="2" t="s">
        <v>519</v>
      </c>
      <c r="AY63" s="2" t="s">
        <v>162</v>
      </c>
      <c r="AZ63" s="4">
        <v>42685</v>
      </c>
      <c r="BA63" s="5">
        <v>0.22291666666666668</v>
      </c>
      <c r="BB63" s="2">
        <v>2016</v>
      </c>
      <c r="BC63" s="2" t="s">
        <v>455</v>
      </c>
      <c r="BD63" s="2">
        <v>11</v>
      </c>
      <c r="BE63" s="4">
        <v>42690</v>
      </c>
      <c r="BF63" s="5">
        <v>0.22291666666666668</v>
      </c>
      <c r="BG63" s="2" t="str" cm="1">
        <f t="array" ref="BG63">_xlfn.IFS(BF63&lt;TIMEVALUE("06:00"),"Night", BF63&gt;=TIMEVALUE("21:00"),"Night",BF63&gt;=TIMEVALUE("17:00"),"Evening",BF63&gt;=TIMEVALUE("12:00"),"Afternoon", BF63&gt;=TIMEVALUE("06:00"),"Morning")</f>
        <v>Night</v>
      </c>
      <c r="BH63" s="2">
        <v>2016</v>
      </c>
      <c r="BI63" s="2" t="s">
        <v>455</v>
      </c>
      <c r="BJ63" s="2">
        <v>16</v>
      </c>
    </row>
    <row r="64" spans="1:62" x14ac:dyDescent="0.3">
      <c r="A64" s="2" t="s">
        <v>121</v>
      </c>
      <c r="B64" s="2">
        <v>5</v>
      </c>
      <c r="C64" s="2">
        <v>2</v>
      </c>
      <c r="D64" s="2">
        <v>38.229999999999997</v>
      </c>
      <c r="E64" s="2">
        <v>79.66</v>
      </c>
      <c r="F64" s="2" t="s">
        <v>87</v>
      </c>
      <c r="G64" s="2" t="s">
        <v>88</v>
      </c>
      <c r="H64" s="2">
        <v>37</v>
      </c>
      <c r="I64" s="2" t="s">
        <v>464</v>
      </c>
      <c r="J64" s="2" t="s">
        <v>66</v>
      </c>
      <c r="K64" s="2" t="s">
        <v>67</v>
      </c>
      <c r="L64" s="2" t="s">
        <v>414</v>
      </c>
      <c r="M64" s="2">
        <v>9451</v>
      </c>
      <c r="N64" s="2" t="s">
        <v>425</v>
      </c>
      <c r="O64" s="2" t="s">
        <v>113</v>
      </c>
      <c r="P64" s="2" t="s">
        <v>71</v>
      </c>
      <c r="Q64" s="2" t="s">
        <v>520</v>
      </c>
      <c r="R64" s="2">
        <v>725</v>
      </c>
      <c r="S64" s="2">
        <v>6</v>
      </c>
      <c r="T64" s="2" t="s">
        <v>515</v>
      </c>
      <c r="U64" s="2">
        <v>18.236507400000001</v>
      </c>
      <c r="V64" s="2">
        <v>-66.370513900000006</v>
      </c>
      <c r="W64" s="2" t="s">
        <v>500</v>
      </c>
      <c r="X64" s="2" t="s">
        <v>521</v>
      </c>
      <c r="Y64" s="2" t="s">
        <v>522</v>
      </c>
      <c r="Z64" s="2">
        <v>9451</v>
      </c>
      <c r="AA64" s="3">
        <v>42594.009722222225</v>
      </c>
      <c r="AB64" s="2">
        <v>48434</v>
      </c>
      <c r="AC64" s="2">
        <v>828</v>
      </c>
      <c r="AD64" s="2">
        <v>16.309999999999999</v>
      </c>
      <c r="AE64" s="2">
        <v>0.17</v>
      </c>
      <c r="AF64" s="2" t="str" cm="1">
        <f t="array" ref="AF64">_xlfn.IFS(AE64=0, "No Discount ", AE64&lt;=0.08,"Low Discount", AE64&lt;=0.16,"Medium Discount", AE64&gt;0.16, "High Discount")</f>
        <v>High Discount</v>
      </c>
      <c r="AG64" s="2">
        <v>121134</v>
      </c>
      <c r="AH64" s="2">
        <v>31.99</v>
      </c>
      <c r="AI64" s="2">
        <v>0.48</v>
      </c>
      <c r="AJ64" s="2" t="str" cm="1">
        <f t="array" ref="AJ64">_xlfn.IFS(AI64&lt;=0, "No Profit", AI64&lt;=0.16,"Low Profit",AI64&lt;=0.32,"Medium Profit",AI64&gt;0.32,"High Profit")</f>
        <v>High Profit</v>
      </c>
      <c r="AK64" s="2">
        <v>3</v>
      </c>
      <c r="AL64" s="2">
        <v>95.97</v>
      </c>
      <c r="AM64" s="2">
        <v>79.66</v>
      </c>
      <c r="AN64" s="2">
        <v>38.229999999999997</v>
      </c>
      <c r="AO64" s="2" t="s">
        <v>523</v>
      </c>
      <c r="AP64" s="2" t="s">
        <v>524</v>
      </c>
      <c r="AQ64" s="2" t="s">
        <v>127</v>
      </c>
      <c r="AR64" s="2" t="s">
        <v>81</v>
      </c>
      <c r="AS64" s="2">
        <v>828</v>
      </c>
      <c r="AT64" s="2">
        <v>37</v>
      </c>
      <c r="AU64" s="2" t="s">
        <v>525</v>
      </c>
      <c r="AV64" s="2">
        <v>31.99</v>
      </c>
      <c r="AW64" s="2">
        <v>0</v>
      </c>
      <c r="AX64" s="2" t="s">
        <v>526</v>
      </c>
      <c r="AY64" s="2" t="s">
        <v>162</v>
      </c>
      <c r="AZ64" s="4">
        <v>42594</v>
      </c>
      <c r="BA64" s="5">
        <v>9.7222222222222224E-3</v>
      </c>
      <c r="BB64" s="2">
        <v>2016</v>
      </c>
      <c r="BC64" s="2" t="s">
        <v>482</v>
      </c>
      <c r="BD64" s="2">
        <v>12</v>
      </c>
      <c r="BE64" s="4">
        <v>42717</v>
      </c>
      <c r="BF64" s="5">
        <v>9.7222222222222224E-3</v>
      </c>
      <c r="BG64" s="2" t="str" cm="1">
        <f t="array" ref="BG64">_xlfn.IFS(BF64&lt;TIMEVALUE("06:00"),"Night", BF64&gt;=TIMEVALUE("21:00"),"Night",BF64&gt;=TIMEVALUE("17:00"),"Evening",BF64&gt;=TIMEVALUE("12:00"),"Afternoon", BF64&gt;=TIMEVALUE("06:00"),"Morning")</f>
        <v>Night</v>
      </c>
      <c r="BH64" s="2">
        <v>2016</v>
      </c>
      <c r="BI64" s="2" t="s">
        <v>357</v>
      </c>
      <c r="BJ64" s="2">
        <v>13</v>
      </c>
    </row>
    <row r="65" spans="1:62" x14ac:dyDescent="0.3">
      <c r="A65" s="2" t="s">
        <v>121</v>
      </c>
      <c r="B65" s="2">
        <v>3</v>
      </c>
      <c r="C65" s="2">
        <v>2</v>
      </c>
      <c r="D65" s="2">
        <v>129.35</v>
      </c>
      <c r="E65" s="2">
        <v>293.97000000000003</v>
      </c>
      <c r="F65" s="2" t="s">
        <v>87</v>
      </c>
      <c r="G65" s="2" t="s">
        <v>88</v>
      </c>
      <c r="H65" s="2">
        <v>9</v>
      </c>
      <c r="I65" s="2" t="s">
        <v>496</v>
      </c>
      <c r="J65" s="2" t="s">
        <v>66</v>
      </c>
      <c r="K65" s="2" t="s">
        <v>67</v>
      </c>
      <c r="L65" s="2" t="s">
        <v>414</v>
      </c>
      <c r="M65" s="2">
        <v>542</v>
      </c>
      <c r="N65" s="2" t="s">
        <v>425</v>
      </c>
      <c r="O65" s="2" t="s">
        <v>113</v>
      </c>
      <c r="P65" s="2" t="s">
        <v>71</v>
      </c>
      <c r="Q65" s="2" t="s">
        <v>527</v>
      </c>
      <c r="R65" s="2">
        <v>725</v>
      </c>
      <c r="S65" s="2">
        <v>3</v>
      </c>
      <c r="T65" s="2" t="s">
        <v>466</v>
      </c>
      <c r="U65" s="2">
        <v>18.3592148</v>
      </c>
      <c r="V65" s="2">
        <v>-66.077796899999996</v>
      </c>
      <c r="W65" s="2" t="s">
        <v>528</v>
      </c>
      <c r="X65" s="2" t="s">
        <v>529</v>
      </c>
      <c r="Y65" s="2" t="s">
        <v>530</v>
      </c>
      <c r="Z65" s="2">
        <v>542</v>
      </c>
      <c r="AA65" s="3">
        <v>42192.229861111111</v>
      </c>
      <c r="AB65" s="2">
        <v>12827</v>
      </c>
      <c r="AC65" s="2">
        <v>191</v>
      </c>
      <c r="AD65" s="2">
        <v>6</v>
      </c>
      <c r="AE65" s="2">
        <v>0.02</v>
      </c>
      <c r="AF65" s="2" t="str" cm="1">
        <f t="array" ref="AF65">_xlfn.IFS(AE65=0, "No Discount ", AE65&lt;=0.08,"Low Discount", AE65&lt;=0.16,"Medium Discount", AE65&gt;0.16, "High Discount")</f>
        <v>Low Discount</v>
      </c>
      <c r="AG65" s="2">
        <v>32072</v>
      </c>
      <c r="AH65" s="2">
        <v>99.99</v>
      </c>
      <c r="AI65" s="2">
        <v>0.44</v>
      </c>
      <c r="AJ65" s="2" t="str" cm="1">
        <f t="array" ref="AJ65">_xlfn.IFS(AI65&lt;=0, "No Profit", AI65&lt;=0.16,"Low Profit",AI65&lt;=0.32,"Medium Profit",AI65&gt;0.32,"High Profit")</f>
        <v>High Profit</v>
      </c>
      <c r="AK65" s="2">
        <v>3</v>
      </c>
      <c r="AL65" s="2">
        <v>299.97000000000003</v>
      </c>
      <c r="AM65" s="2">
        <v>293.97000000000003</v>
      </c>
      <c r="AN65" s="2">
        <v>129.35</v>
      </c>
      <c r="AO65" s="2" t="s">
        <v>531</v>
      </c>
      <c r="AP65" s="2" t="s">
        <v>532</v>
      </c>
      <c r="AQ65" s="2" t="s">
        <v>127</v>
      </c>
      <c r="AR65" s="2" t="s">
        <v>81</v>
      </c>
      <c r="AS65" s="2">
        <v>191</v>
      </c>
      <c r="AT65" s="2">
        <v>9</v>
      </c>
      <c r="AU65" s="2" t="s">
        <v>505</v>
      </c>
      <c r="AV65" s="2">
        <v>99.99</v>
      </c>
      <c r="AW65" s="2">
        <v>0</v>
      </c>
      <c r="AX65" s="3">
        <v>42284.229861111111</v>
      </c>
      <c r="AY65" s="2" t="s">
        <v>162</v>
      </c>
      <c r="AZ65" s="4">
        <v>42192</v>
      </c>
      <c r="BA65" s="5">
        <v>0.2298611111111111</v>
      </c>
      <c r="BB65" s="2">
        <v>2015</v>
      </c>
      <c r="BC65" s="2" t="s">
        <v>533</v>
      </c>
      <c r="BD65" s="2">
        <v>7</v>
      </c>
      <c r="BE65" s="4">
        <v>42284</v>
      </c>
      <c r="BF65" s="5">
        <v>0.2298611111111111</v>
      </c>
      <c r="BG65" s="2" t="str" cm="1">
        <f t="array" ref="BG65">_xlfn.IFS(BF65&lt;TIMEVALUE("06:00"),"Night", BF65&gt;=TIMEVALUE("21:00"),"Night",BF65&gt;=TIMEVALUE("17:00"),"Evening",BF65&gt;=TIMEVALUE("12:00"),"Afternoon", BF65&gt;=TIMEVALUE("06:00"),"Morning")</f>
        <v>Night</v>
      </c>
      <c r="BH65" s="2">
        <v>2015</v>
      </c>
      <c r="BI65" s="2" t="s">
        <v>434</v>
      </c>
      <c r="BJ65" s="2">
        <v>7</v>
      </c>
    </row>
    <row r="66" spans="1:62" x14ac:dyDescent="0.3">
      <c r="A66" s="2" t="s">
        <v>121</v>
      </c>
      <c r="B66" s="2">
        <v>2</v>
      </c>
      <c r="C66" s="2">
        <v>2</v>
      </c>
      <c r="D66" s="2">
        <v>132.29</v>
      </c>
      <c r="E66" s="2">
        <v>269.97000000000003</v>
      </c>
      <c r="F66" s="2" t="s">
        <v>100</v>
      </c>
      <c r="G66" s="2" t="s">
        <v>64</v>
      </c>
      <c r="H66" s="2">
        <v>9</v>
      </c>
      <c r="I66" s="2" t="s">
        <v>496</v>
      </c>
      <c r="J66" s="2" t="s">
        <v>66</v>
      </c>
      <c r="K66" s="2" t="s">
        <v>67</v>
      </c>
      <c r="L66" s="2" t="s">
        <v>284</v>
      </c>
      <c r="M66" s="2">
        <v>11329</v>
      </c>
      <c r="N66" s="2" t="s">
        <v>425</v>
      </c>
      <c r="O66" s="2" t="s">
        <v>113</v>
      </c>
      <c r="P66" s="2" t="s">
        <v>71</v>
      </c>
      <c r="Q66" s="2" t="s">
        <v>534</v>
      </c>
      <c r="R66" s="2">
        <v>725</v>
      </c>
      <c r="S66" s="2">
        <v>3</v>
      </c>
      <c r="T66" s="2" t="s">
        <v>466</v>
      </c>
      <c r="U66" s="2">
        <v>18.299442299999999</v>
      </c>
      <c r="V66" s="2">
        <v>-66.370521600000004</v>
      </c>
      <c r="W66" s="2" t="s">
        <v>528</v>
      </c>
      <c r="X66" s="2" t="s">
        <v>535</v>
      </c>
      <c r="Y66" s="2" t="s">
        <v>536</v>
      </c>
      <c r="Z66" s="2">
        <v>11329</v>
      </c>
      <c r="AA66" s="2" t="s">
        <v>537</v>
      </c>
      <c r="AB66" s="2">
        <v>63936</v>
      </c>
      <c r="AC66" s="2">
        <v>191</v>
      </c>
      <c r="AD66" s="2">
        <v>30</v>
      </c>
      <c r="AE66" s="2">
        <v>0.1</v>
      </c>
      <c r="AF66" s="2" t="str" cm="1">
        <f t="array" ref="AF66">_xlfn.IFS(AE66=0, "No Discount ", AE66&lt;=0.08,"Low Discount", AE66&lt;=0.16,"Medium Discount", AE66&gt;0.16, "High Discount")</f>
        <v>Medium Discount</v>
      </c>
      <c r="AG66" s="2">
        <v>159828</v>
      </c>
      <c r="AH66" s="2">
        <v>99.99</v>
      </c>
      <c r="AI66" s="2">
        <v>0.49</v>
      </c>
      <c r="AJ66" s="2" t="str" cm="1">
        <f t="array" ref="AJ66">_xlfn.IFS(AI66&lt;=0, "No Profit", AI66&lt;=0.16,"Low Profit",AI66&lt;=0.32,"Medium Profit",AI66&gt;0.32,"High Profit")</f>
        <v>High Profit</v>
      </c>
      <c r="AK66" s="2">
        <v>3</v>
      </c>
      <c r="AL66" s="2">
        <v>299.97000000000003</v>
      </c>
      <c r="AM66" s="2">
        <v>269.97000000000003</v>
      </c>
      <c r="AN66" s="2">
        <v>132.29</v>
      </c>
      <c r="AO66" s="2" t="s">
        <v>531</v>
      </c>
      <c r="AP66" s="2" t="s">
        <v>538</v>
      </c>
      <c r="AQ66" s="2" t="s">
        <v>127</v>
      </c>
      <c r="AR66" s="2" t="s">
        <v>81</v>
      </c>
      <c r="AS66" s="2">
        <v>191</v>
      </c>
      <c r="AT66" s="2">
        <v>9</v>
      </c>
      <c r="AU66" s="2" t="s">
        <v>505</v>
      </c>
      <c r="AV66" s="2">
        <v>99.99</v>
      </c>
      <c r="AW66" s="2">
        <v>0</v>
      </c>
      <c r="AX66" s="2" t="s">
        <v>539</v>
      </c>
      <c r="AY66" s="2" t="s">
        <v>162</v>
      </c>
      <c r="AZ66" s="4">
        <v>42938</v>
      </c>
      <c r="BA66" s="5">
        <v>0.30277777777777776</v>
      </c>
      <c r="BB66" s="2">
        <v>2017</v>
      </c>
      <c r="BC66" s="2" t="s">
        <v>533</v>
      </c>
      <c r="BD66" s="2">
        <v>22</v>
      </c>
      <c r="BE66" s="4">
        <v>42940</v>
      </c>
      <c r="BF66" s="5">
        <v>0.30277777777777776</v>
      </c>
      <c r="BG66" s="2" t="str" cm="1">
        <f t="array" ref="BG66">_xlfn.IFS(BF66&lt;TIMEVALUE("06:00"),"Night", BF66&gt;=TIMEVALUE("21:00"),"Night",BF66&gt;=TIMEVALUE("17:00"),"Evening",BF66&gt;=TIMEVALUE("12:00"),"Afternoon", BF66&gt;=TIMEVALUE("06:00"),"Morning")</f>
        <v>Morning</v>
      </c>
      <c r="BH66" s="2">
        <v>2017</v>
      </c>
      <c r="BI66" s="2" t="s">
        <v>533</v>
      </c>
      <c r="BJ66" s="2">
        <v>24</v>
      </c>
    </row>
    <row r="67" spans="1:62" x14ac:dyDescent="0.3">
      <c r="A67" s="2" t="s">
        <v>121</v>
      </c>
      <c r="B67" s="2">
        <v>6</v>
      </c>
      <c r="C67" s="2">
        <v>2</v>
      </c>
      <c r="D67" s="2">
        <v>76.040000000000006</v>
      </c>
      <c r="E67" s="2">
        <v>224.98</v>
      </c>
      <c r="F67" s="2" t="s">
        <v>87</v>
      </c>
      <c r="G67" s="2" t="s">
        <v>88</v>
      </c>
      <c r="H67" s="2">
        <v>9</v>
      </c>
      <c r="I67" s="2" t="s">
        <v>496</v>
      </c>
      <c r="J67" s="2" t="s">
        <v>66</v>
      </c>
      <c r="K67" s="2" t="s">
        <v>67</v>
      </c>
      <c r="L67" s="2" t="s">
        <v>414</v>
      </c>
      <c r="M67" s="2">
        <v>3570</v>
      </c>
      <c r="N67" s="2" t="s">
        <v>540</v>
      </c>
      <c r="O67" s="2" t="s">
        <v>113</v>
      </c>
      <c r="P67" s="2" t="s">
        <v>71</v>
      </c>
      <c r="Q67" s="2" t="s">
        <v>541</v>
      </c>
      <c r="R67" s="2">
        <v>725</v>
      </c>
      <c r="S67" s="2">
        <v>3</v>
      </c>
      <c r="T67" s="2" t="s">
        <v>466</v>
      </c>
      <c r="U67" s="2">
        <v>18.289968500000001</v>
      </c>
      <c r="V67" s="2">
        <v>-66.3705444</v>
      </c>
      <c r="W67" s="2" t="s">
        <v>528</v>
      </c>
      <c r="X67" s="2" t="s">
        <v>542</v>
      </c>
      <c r="Y67" s="2" t="s">
        <v>536</v>
      </c>
      <c r="Z67" s="2">
        <v>3570</v>
      </c>
      <c r="AA67" s="3">
        <v>42924.272916666669</v>
      </c>
      <c r="AB67" s="2">
        <v>65030</v>
      </c>
      <c r="AC67" s="2">
        <v>191</v>
      </c>
      <c r="AD67" s="2">
        <v>74.989999999999995</v>
      </c>
      <c r="AE67" s="2">
        <v>0.25</v>
      </c>
      <c r="AF67" s="2" t="str" cm="1">
        <f t="array" ref="AF67">_xlfn.IFS(AE67=0, "No Discount ", AE67&lt;=0.08,"Low Discount", AE67&lt;=0.16,"Medium Discount", AE67&gt;0.16, "High Discount")</f>
        <v>High Discount</v>
      </c>
      <c r="AG67" s="2">
        <v>162548</v>
      </c>
      <c r="AH67" s="2">
        <v>99.99</v>
      </c>
      <c r="AI67" s="2">
        <v>0.34</v>
      </c>
      <c r="AJ67" s="2" t="str" cm="1">
        <f t="array" ref="AJ67">_xlfn.IFS(AI67&lt;=0, "No Profit", AI67&lt;=0.16,"Low Profit",AI67&lt;=0.32,"Medium Profit",AI67&gt;0.32,"High Profit")</f>
        <v>High Profit</v>
      </c>
      <c r="AK67" s="2">
        <v>3</v>
      </c>
      <c r="AL67" s="2">
        <v>299.97000000000003</v>
      </c>
      <c r="AM67" s="2">
        <v>224.98</v>
      </c>
      <c r="AN67" s="2">
        <v>76.040000000000006</v>
      </c>
      <c r="AO67" s="2" t="s">
        <v>531</v>
      </c>
      <c r="AP67" s="2" t="s">
        <v>543</v>
      </c>
      <c r="AQ67" s="2" t="s">
        <v>127</v>
      </c>
      <c r="AR67" s="2" t="s">
        <v>81</v>
      </c>
      <c r="AS67" s="2">
        <v>191</v>
      </c>
      <c r="AT67" s="2">
        <v>9</v>
      </c>
      <c r="AU67" s="2" t="s">
        <v>505</v>
      </c>
      <c r="AV67" s="2">
        <v>99.99</v>
      </c>
      <c r="AW67" s="2">
        <v>0</v>
      </c>
      <c r="AX67" s="2" t="s">
        <v>544</v>
      </c>
      <c r="AY67" s="2" t="s">
        <v>162</v>
      </c>
      <c r="AZ67" s="4">
        <v>42924</v>
      </c>
      <c r="BA67" s="5">
        <v>0.27291666666666664</v>
      </c>
      <c r="BB67" s="2">
        <v>2017</v>
      </c>
      <c r="BC67" s="2" t="s">
        <v>533</v>
      </c>
      <c r="BD67" s="2">
        <v>8</v>
      </c>
      <c r="BE67" s="4">
        <v>42960</v>
      </c>
      <c r="BF67" s="5">
        <v>0.27291666666666664</v>
      </c>
      <c r="BG67" s="2" t="str" cm="1">
        <f t="array" ref="BG67">_xlfn.IFS(BF67&lt;TIMEVALUE("06:00"),"Night", BF67&gt;=TIMEVALUE("21:00"),"Night",BF67&gt;=TIMEVALUE("17:00"),"Evening",BF67&gt;=TIMEVALUE("12:00"),"Afternoon", BF67&gt;=TIMEVALUE("06:00"),"Morning")</f>
        <v>Morning</v>
      </c>
      <c r="BH67" s="2">
        <v>2017</v>
      </c>
      <c r="BI67" s="2" t="s">
        <v>482</v>
      </c>
      <c r="BJ67" s="2">
        <v>13</v>
      </c>
    </row>
    <row r="68" spans="1:62" x14ac:dyDescent="0.3">
      <c r="A68" s="2" t="s">
        <v>121</v>
      </c>
      <c r="B68" s="2">
        <v>4</v>
      </c>
      <c r="C68" s="2">
        <v>2</v>
      </c>
      <c r="D68" s="2">
        <v>81.13</v>
      </c>
      <c r="E68" s="2">
        <v>176.37</v>
      </c>
      <c r="F68" s="2" t="s">
        <v>87</v>
      </c>
      <c r="G68" s="2" t="s">
        <v>88</v>
      </c>
      <c r="H68" s="2">
        <v>17</v>
      </c>
      <c r="I68" s="2" t="s">
        <v>412</v>
      </c>
      <c r="J68" s="2" t="s">
        <v>66</v>
      </c>
      <c r="K68" s="2" t="s">
        <v>67</v>
      </c>
      <c r="L68" s="2" t="s">
        <v>545</v>
      </c>
      <c r="M68" s="2">
        <v>650</v>
      </c>
      <c r="N68" s="2" t="s">
        <v>546</v>
      </c>
      <c r="O68" s="2" t="s">
        <v>113</v>
      </c>
      <c r="P68" s="2" t="s">
        <v>71</v>
      </c>
      <c r="Q68" s="2" t="s">
        <v>547</v>
      </c>
      <c r="R68" s="2">
        <v>725</v>
      </c>
      <c r="S68" s="2">
        <v>4</v>
      </c>
      <c r="T68" s="2" t="s">
        <v>417</v>
      </c>
      <c r="U68" s="2">
        <v>18.227573400000001</v>
      </c>
      <c r="V68" s="2">
        <v>-66.045631400000005</v>
      </c>
      <c r="W68" s="2" t="s">
        <v>528</v>
      </c>
      <c r="X68" s="2" t="s">
        <v>548</v>
      </c>
      <c r="Y68" s="2" t="s">
        <v>549</v>
      </c>
      <c r="Z68" s="2">
        <v>650</v>
      </c>
      <c r="AA68" s="2" t="s">
        <v>550</v>
      </c>
      <c r="AB68" s="2">
        <v>18108</v>
      </c>
      <c r="AC68" s="2">
        <v>365</v>
      </c>
      <c r="AD68" s="2">
        <v>3.6</v>
      </c>
      <c r="AE68" s="2">
        <v>0.02</v>
      </c>
      <c r="AF68" s="2" t="str" cm="1">
        <f t="array" ref="AF68">_xlfn.IFS(AE68=0, "No Discount ", AE68&lt;=0.08,"Low Discount", AE68&lt;=0.16,"Medium Discount", AE68&gt;0.16, "High Discount")</f>
        <v>Low Discount</v>
      </c>
      <c r="AG68" s="2">
        <v>45253</v>
      </c>
      <c r="AH68" s="2">
        <v>59.99</v>
      </c>
      <c r="AI68" s="2">
        <v>0.46</v>
      </c>
      <c r="AJ68" s="2" t="str" cm="1">
        <f t="array" ref="AJ68">_xlfn.IFS(AI68&lt;=0, "No Profit", AI68&lt;=0.16,"Low Profit",AI68&lt;=0.32,"Medium Profit",AI68&gt;0.32,"High Profit")</f>
        <v>High Profit</v>
      </c>
      <c r="AK68" s="2">
        <v>3</v>
      </c>
      <c r="AL68" s="2">
        <v>179.97</v>
      </c>
      <c r="AM68" s="2">
        <v>176.37</v>
      </c>
      <c r="AN68" s="2">
        <v>81.13</v>
      </c>
      <c r="AO68" s="2" t="s">
        <v>531</v>
      </c>
      <c r="AP68" s="2" t="s">
        <v>548</v>
      </c>
      <c r="AQ68" s="2" t="s">
        <v>127</v>
      </c>
      <c r="AR68" s="2" t="s">
        <v>81</v>
      </c>
      <c r="AS68" s="2">
        <v>365</v>
      </c>
      <c r="AT68" s="2">
        <v>17</v>
      </c>
      <c r="AU68" s="2" t="s">
        <v>421</v>
      </c>
      <c r="AV68" s="2">
        <v>59.99</v>
      </c>
      <c r="AW68" s="2">
        <v>0</v>
      </c>
      <c r="AX68" s="2" t="s">
        <v>551</v>
      </c>
      <c r="AY68" s="2" t="s">
        <v>162</v>
      </c>
      <c r="AZ68" s="4">
        <v>42269</v>
      </c>
      <c r="BA68" s="5">
        <v>0.32013888888888886</v>
      </c>
      <c r="BB68" s="2">
        <v>2015</v>
      </c>
      <c r="BC68" s="2" t="s">
        <v>552</v>
      </c>
      <c r="BD68" s="2">
        <v>22</v>
      </c>
      <c r="BE68" s="4">
        <v>42273</v>
      </c>
      <c r="BF68" s="5">
        <v>0.32013888888888886</v>
      </c>
      <c r="BG68" s="2" t="str" cm="1">
        <f t="array" ref="BG68">_xlfn.IFS(BF68&lt;TIMEVALUE("06:00"),"Night", BF68&gt;=TIMEVALUE("21:00"),"Night",BF68&gt;=TIMEVALUE("17:00"),"Evening",BF68&gt;=TIMEVALUE("12:00"),"Afternoon", BF68&gt;=TIMEVALUE("06:00"),"Morning")</f>
        <v>Morning</v>
      </c>
      <c r="BH68" s="2">
        <v>2015</v>
      </c>
      <c r="BI68" s="2" t="s">
        <v>552</v>
      </c>
      <c r="BJ68" s="2">
        <v>26</v>
      </c>
    </row>
    <row r="69" spans="1:62" x14ac:dyDescent="0.3">
      <c r="A69" s="2" t="s">
        <v>121</v>
      </c>
      <c r="B69" s="2">
        <v>2</v>
      </c>
      <c r="C69" s="2">
        <v>2</v>
      </c>
      <c r="D69" s="2">
        <v>43.52</v>
      </c>
      <c r="E69" s="2">
        <v>167.37</v>
      </c>
      <c r="F69" s="2" t="s">
        <v>100</v>
      </c>
      <c r="G69" s="2" t="s">
        <v>64</v>
      </c>
      <c r="H69" s="2">
        <v>17</v>
      </c>
      <c r="I69" s="2" t="s">
        <v>412</v>
      </c>
      <c r="J69" s="2" t="s">
        <v>66</v>
      </c>
      <c r="K69" s="2" t="s">
        <v>67</v>
      </c>
      <c r="L69" s="2" t="s">
        <v>553</v>
      </c>
      <c r="M69" s="2">
        <v>9353</v>
      </c>
      <c r="N69" s="2" t="s">
        <v>554</v>
      </c>
      <c r="O69" s="2" t="s">
        <v>113</v>
      </c>
      <c r="P69" s="2" t="s">
        <v>71</v>
      </c>
      <c r="Q69" s="2" t="s">
        <v>555</v>
      </c>
      <c r="R69" s="2">
        <v>725</v>
      </c>
      <c r="S69" s="2">
        <v>4</v>
      </c>
      <c r="T69" s="2" t="s">
        <v>417</v>
      </c>
      <c r="U69" s="2">
        <v>18.298820500000001</v>
      </c>
      <c r="V69" s="2">
        <v>-66.370597799999999</v>
      </c>
      <c r="W69" s="2" t="s">
        <v>528</v>
      </c>
      <c r="X69" s="2" t="s">
        <v>556</v>
      </c>
      <c r="Y69" s="2" t="s">
        <v>557</v>
      </c>
      <c r="Z69" s="2">
        <v>9353</v>
      </c>
      <c r="AA69" s="3">
        <v>42773.377083333333</v>
      </c>
      <c r="AB69" s="2">
        <v>62571</v>
      </c>
      <c r="AC69" s="2">
        <v>365</v>
      </c>
      <c r="AD69" s="2">
        <v>12.6</v>
      </c>
      <c r="AE69" s="2">
        <v>7.0000000000000007E-2</v>
      </c>
      <c r="AF69" s="2" t="str" cm="1">
        <f t="array" ref="AF69">_xlfn.IFS(AE69=0, "No Discount ", AE69&lt;=0.08,"Low Discount", AE69&lt;=0.16,"Medium Discount", AE69&gt;0.16, "High Discount")</f>
        <v>Low Discount</v>
      </c>
      <c r="AG69" s="2">
        <v>156394</v>
      </c>
      <c r="AH69" s="2">
        <v>59.99</v>
      </c>
      <c r="AI69" s="2">
        <v>0.26</v>
      </c>
      <c r="AJ69" s="2" t="str" cm="1">
        <f t="array" ref="AJ69">_xlfn.IFS(AI69&lt;=0, "No Profit", AI69&lt;=0.16,"Low Profit",AI69&lt;=0.32,"Medium Profit",AI69&gt;0.32,"High Profit")</f>
        <v>Medium Profit</v>
      </c>
      <c r="AK69" s="2">
        <v>3</v>
      </c>
      <c r="AL69" s="2">
        <v>179.97</v>
      </c>
      <c r="AM69" s="2">
        <v>167.37</v>
      </c>
      <c r="AN69" s="2">
        <v>43.52</v>
      </c>
      <c r="AO69" s="2" t="s">
        <v>558</v>
      </c>
      <c r="AP69" s="2" t="s">
        <v>559</v>
      </c>
      <c r="AQ69" s="2" t="s">
        <v>127</v>
      </c>
      <c r="AR69" s="2" t="s">
        <v>81</v>
      </c>
      <c r="AS69" s="2">
        <v>365</v>
      </c>
      <c r="AT69" s="2">
        <v>17</v>
      </c>
      <c r="AU69" s="2" t="s">
        <v>421</v>
      </c>
      <c r="AV69" s="2">
        <v>59.99</v>
      </c>
      <c r="AW69" s="2">
        <v>0</v>
      </c>
      <c r="AX69" s="3">
        <v>42832.377083333333</v>
      </c>
      <c r="AY69" s="2" t="s">
        <v>162</v>
      </c>
      <c r="AZ69" s="4">
        <v>42773</v>
      </c>
      <c r="BA69" s="5">
        <v>0.37708333333333333</v>
      </c>
      <c r="BB69" s="2">
        <v>2017</v>
      </c>
      <c r="BC69" s="2" t="s">
        <v>423</v>
      </c>
      <c r="BD69" s="2">
        <v>7</v>
      </c>
      <c r="BE69" s="4">
        <v>42832</v>
      </c>
      <c r="BF69" s="5">
        <v>0.37708333333333333</v>
      </c>
      <c r="BG69" s="2" t="str" cm="1">
        <f t="array" ref="BG69">_xlfn.IFS(BF69&lt;TIMEVALUE("06:00"),"Night", BF69&gt;=TIMEVALUE("21:00"),"Night",BF69&gt;=TIMEVALUE("17:00"),"Evening",BF69&gt;=TIMEVALUE("12:00"),"Afternoon", BF69&gt;=TIMEVALUE("06:00"),"Morning")</f>
        <v>Morning</v>
      </c>
      <c r="BH69" s="2">
        <v>2017</v>
      </c>
      <c r="BI69" s="2" t="s">
        <v>487</v>
      </c>
      <c r="BJ69" s="2">
        <v>7</v>
      </c>
    </row>
    <row r="70" spans="1:62" x14ac:dyDescent="0.3">
      <c r="A70" s="2" t="s">
        <v>121</v>
      </c>
      <c r="B70" s="2">
        <v>3</v>
      </c>
      <c r="C70" s="2">
        <v>2</v>
      </c>
      <c r="D70" s="2">
        <v>68.78</v>
      </c>
      <c r="E70" s="2">
        <v>163.77000000000001</v>
      </c>
      <c r="F70" s="2" t="s">
        <v>87</v>
      </c>
      <c r="G70" s="2" t="s">
        <v>88</v>
      </c>
      <c r="H70" s="2">
        <v>17</v>
      </c>
      <c r="I70" s="2" t="s">
        <v>412</v>
      </c>
      <c r="J70" s="2" t="s">
        <v>66</v>
      </c>
      <c r="K70" s="2" t="s">
        <v>67</v>
      </c>
      <c r="L70" s="2" t="s">
        <v>414</v>
      </c>
      <c r="M70" s="2">
        <v>54</v>
      </c>
      <c r="N70" s="2" t="s">
        <v>560</v>
      </c>
      <c r="O70" s="2" t="s">
        <v>113</v>
      </c>
      <c r="P70" s="2" t="s">
        <v>71</v>
      </c>
      <c r="Q70" s="2" t="s">
        <v>561</v>
      </c>
      <c r="R70" s="2">
        <v>725</v>
      </c>
      <c r="S70" s="2">
        <v>4</v>
      </c>
      <c r="T70" s="2" t="s">
        <v>417</v>
      </c>
      <c r="U70" s="2">
        <v>18.025381100000001</v>
      </c>
      <c r="V70" s="2">
        <v>-66.615081799999999</v>
      </c>
      <c r="W70" s="2" t="s">
        <v>528</v>
      </c>
      <c r="X70" s="2" t="s">
        <v>562</v>
      </c>
      <c r="Y70" s="2" t="s">
        <v>557</v>
      </c>
      <c r="Z70" s="2">
        <v>54</v>
      </c>
      <c r="AA70" s="3">
        <v>42225.510416666664</v>
      </c>
      <c r="AB70" s="2">
        <v>17162</v>
      </c>
      <c r="AC70" s="2">
        <v>365</v>
      </c>
      <c r="AD70" s="2">
        <v>16.2</v>
      </c>
      <c r="AE70" s="2">
        <v>0.09</v>
      </c>
      <c r="AF70" s="2" t="str" cm="1">
        <f t="array" ref="AF70">_xlfn.IFS(AE70=0, "No Discount ", AE70&lt;=0.08,"Low Discount", AE70&lt;=0.16,"Medium Discount", AE70&gt;0.16, "High Discount")</f>
        <v>Medium Discount</v>
      </c>
      <c r="AG70" s="2">
        <v>42919</v>
      </c>
      <c r="AH70" s="2">
        <v>59.99</v>
      </c>
      <c r="AI70" s="2">
        <v>0.42</v>
      </c>
      <c r="AJ70" s="2" t="str" cm="1">
        <f t="array" ref="AJ70">_xlfn.IFS(AI70&lt;=0, "No Profit", AI70&lt;=0.16,"Low Profit",AI70&lt;=0.32,"Medium Profit",AI70&gt;0.32,"High Profit")</f>
        <v>High Profit</v>
      </c>
      <c r="AK70" s="2">
        <v>3</v>
      </c>
      <c r="AL70" s="2">
        <v>179.97</v>
      </c>
      <c r="AM70" s="2">
        <v>163.77000000000001</v>
      </c>
      <c r="AN70" s="2">
        <v>68.78</v>
      </c>
      <c r="AO70" s="2" t="s">
        <v>558</v>
      </c>
      <c r="AP70" s="2" t="s">
        <v>559</v>
      </c>
      <c r="AQ70" s="2" t="s">
        <v>127</v>
      </c>
      <c r="AR70" s="2" t="s">
        <v>81</v>
      </c>
      <c r="AS70" s="2">
        <v>365</v>
      </c>
      <c r="AT70" s="2">
        <v>17</v>
      </c>
      <c r="AU70" s="2" t="s">
        <v>421</v>
      </c>
      <c r="AV70" s="2">
        <v>59.99</v>
      </c>
      <c r="AW70" s="2">
        <v>0</v>
      </c>
      <c r="AX70" s="3">
        <v>42317.510416666664</v>
      </c>
      <c r="AY70" s="2" t="s">
        <v>162</v>
      </c>
      <c r="AZ70" s="4">
        <v>42225</v>
      </c>
      <c r="BA70" s="5">
        <v>0.51041666666666663</v>
      </c>
      <c r="BB70" s="2">
        <v>2015</v>
      </c>
      <c r="BC70" s="2" t="s">
        <v>482</v>
      </c>
      <c r="BD70" s="2">
        <v>9</v>
      </c>
      <c r="BE70" s="4">
        <v>42317</v>
      </c>
      <c r="BF70" s="5">
        <v>0.51041666666666663</v>
      </c>
      <c r="BG70" s="2" t="str" cm="1">
        <f t="array" ref="BG70">_xlfn.IFS(BF70&lt;TIMEVALUE("06:00"),"Night", BF70&gt;=TIMEVALUE("21:00"),"Night",BF70&gt;=TIMEVALUE("17:00"),"Evening",BF70&gt;=TIMEVALUE("12:00"),"Afternoon", BF70&gt;=TIMEVALUE("06:00"),"Morning")</f>
        <v>Afternoon</v>
      </c>
      <c r="BH70" s="2">
        <v>2015</v>
      </c>
      <c r="BI70" s="2" t="s">
        <v>455</v>
      </c>
      <c r="BJ70" s="2">
        <v>9</v>
      </c>
    </row>
    <row r="71" spans="1:62" x14ac:dyDescent="0.3">
      <c r="A71" s="2" t="s">
        <v>121</v>
      </c>
      <c r="B71" s="2">
        <v>3</v>
      </c>
      <c r="C71" s="2">
        <v>2</v>
      </c>
      <c r="D71" s="2">
        <v>40.49</v>
      </c>
      <c r="E71" s="2">
        <v>161.97</v>
      </c>
      <c r="F71" s="2" t="s">
        <v>87</v>
      </c>
      <c r="G71" s="2" t="s">
        <v>88</v>
      </c>
      <c r="H71" s="2">
        <v>17</v>
      </c>
      <c r="I71" s="2" t="s">
        <v>412</v>
      </c>
      <c r="J71" s="2" t="s">
        <v>66</v>
      </c>
      <c r="K71" s="2" t="s">
        <v>67</v>
      </c>
      <c r="L71" s="2" t="s">
        <v>563</v>
      </c>
      <c r="M71" s="2">
        <v>12151</v>
      </c>
      <c r="N71" s="2" t="s">
        <v>564</v>
      </c>
      <c r="O71" s="2" t="s">
        <v>113</v>
      </c>
      <c r="P71" s="2" t="s">
        <v>71</v>
      </c>
      <c r="Q71" s="2" t="s">
        <v>565</v>
      </c>
      <c r="R71" s="2">
        <v>725</v>
      </c>
      <c r="S71" s="2">
        <v>4</v>
      </c>
      <c r="T71" s="2" t="s">
        <v>417</v>
      </c>
      <c r="U71" s="2">
        <v>18.2504864</v>
      </c>
      <c r="V71" s="2">
        <v>-66.370628400000001</v>
      </c>
      <c r="W71" s="2" t="s">
        <v>528</v>
      </c>
      <c r="X71" s="2" t="s">
        <v>566</v>
      </c>
      <c r="Y71" s="2" t="s">
        <v>536</v>
      </c>
      <c r="Z71" s="2">
        <v>12151</v>
      </c>
      <c r="AA71" s="2" t="s">
        <v>567</v>
      </c>
      <c r="AB71" s="2">
        <v>65922</v>
      </c>
      <c r="AC71" s="2">
        <v>365</v>
      </c>
      <c r="AD71" s="2">
        <v>18</v>
      </c>
      <c r="AE71" s="2">
        <v>0.1</v>
      </c>
      <c r="AF71" s="2" t="str" cm="1">
        <f t="array" ref="AF71">_xlfn.IFS(AE71=0, "No Discount ", AE71&lt;=0.08,"Low Discount", AE71&lt;=0.16,"Medium Discount", AE71&gt;0.16, "High Discount")</f>
        <v>Medium Discount</v>
      </c>
      <c r="AG71" s="2">
        <v>164735</v>
      </c>
      <c r="AH71" s="2">
        <v>59.99</v>
      </c>
      <c r="AI71" s="2">
        <v>0.25</v>
      </c>
      <c r="AJ71" s="2" t="str" cm="1">
        <f t="array" ref="AJ71">_xlfn.IFS(AI71&lt;=0, "No Profit", AI71&lt;=0.16,"Low Profit",AI71&lt;=0.32,"Medium Profit",AI71&gt;0.32,"High Profit")</f>
        <v>Medium Profit</v>
      </c>
      <c r="AK71" s="2">
        <v>3</v>
      </c>
      <c r="AL71" s="2">
        <v>179.97</v>
      </c>
      <c r="AM71" s="2">
        <v>161.97</v>
      </c>
      <c r="AN71" s="2">
        <v>40.49</v>
      </c>
      <c r="AO71" s="2" t="s">
        <v>531</v>
      </c>
      <c r="AP71" s="2" t="s">
        <v>568</v>
      </c>
      <c r="AQ71" s="2" t="s">
        <v>127</v>
      </c>
      <c r="AR71" s="2" t="s">
        <v>81</v>
      </c>
      <c r="AS71" s="2">
        <v>365</v>
      </c>
      <c r="AT71" s="2">
        <v>17</v>
      </c>
      <c r="AU71" s="2" t="s">
        <v>421</v>
      </c>
      <c r="AV71" s="2">
        <v>59.99</v>
      </c>
      <c r="AW71" s="2">
        <v>0</v>
      </c>
      <c r="AX71" s="2" t="s">
        <v>569</v>
      </c>
      <c r="AY71" s="2" t="s">
        <v>162</v>
      </c>
      <c r="AZ71" s="4">
        <v>42967</v>
      </c>
      <c r="BA71" s="5">
        <v>0.29375000000000001</v>
      </c>
      <c r="BB71" s="2">
        <v>2017</v>
      </c>
      <c r="BC71" s="2" t="s">
        <v>482</v>
      </c>
      <c r="BD71" s="2">
        <v>20</v>
      </c>
      <c r="BE71" s="4">
        <v>42970</v>
      </c>
      <c r="BF71" s="5">
        <v>0.29375000000000001</v>
      </c>
      <c r="BG71" s="2" t="str" cm="1">
        <f t="array" ref="BG71">_xlfn.IFS(BF71&lt;TIMEVALUE("06:00"),"Night", BF71&gt;=TIMEVALUE("21:00"),"Night",BF71&gt;=TIMEVALUE("17:00"),"Evening",BF71&gt;=TIMEVALUE("12:00"),"Afternoon", BF71&gt;=TIMEVALUE("06:00"),"Morning")</f>
        <v>Morning</v>
      </c>
      <c r="BH71" s="2">
        <v>2017</v>
      </c>
      <c r="BI71" s="2" t="s">
        <v>482</v>
      </c>
      <c r="BJ71" s="2">
        <v>23</v>
      </c>
    </row>
    <row r="72" spans="1:62" x14ac:dyDescent="0.3">
      <c r="A72" s="2" t="s">
        <v>121</v>
      </c>
      <c r="B72" s="2">
        <v>2</v>
      </c>
      <c r="C72" s="2">
        <v>2</v>
      </c>
      <c r="D72" s="2">
        <v>20.93</v>
      </c>
      <c r="E72" s="2">
        <v>139.5</v>
      </c>
      <c r="F72" s="2" t="s">
        <v>100</v>
      </c>
      <c r="G72" s="2" t="s">
        <v>64</v>
      </c>
      <c r="H72" s="2">
        <v>24</v>
      </c>
      <c r="I72" s="2" t="s">
        <v>435</v>
      </c>
      <c r="J72" s="2" t="s">
        <v>66</v>
      </c>
      <c r="K72" s="2" t="s">
        <v>67</v>
      </c>
      <c r="L72" s="2" t="s">
        <v>284</v>
      </c>
      <c r="M72" s="2">
        <v>11329</v>
      </c>
      <c r="N72" s="2" t="s">
        <v>425</v>
      </c>
      <c r="O72" s="2" t="s">
        <v>113</v>
      </c>
      <c r="P72" s="2" t="s">
        <v>71</v>
      </c>
      <c r="Q72" s="2" t="s">
        <v>534</v>
      </c>
      <c r="R72" s="2">
        <v>725</v>
      </c>
      <c r="S72" s="2">
        <v>5</v>
      </c>
      <c r="T72" s="2" t="s">
        <v>427</v>
      </c>
      <c r="U72" s="2">
        <v>18.299442299999999</v>
      </c>
      <c r="V72" s="2">
        <v>-66.370521600000004</v>
      </c>
      <c r="W72" s="2" t="s">
        <v>528</v>
      </c>
      <c r="X72" s="2" t="s">
        <v>535</v>
      </c>
      <c r="Y72" s="2" t="s">
        <v>536</v>
      </c>
      <c r="Z72" s="2">
        <v>11329</v>
      </c>
      <c r="AA72" s="2" t="s">
        <v>537</v>
      </c>
      <c r="AB72" s="2">
        <v>63936</v>
      </c>
      <c r="AC72" s="2">
        <v>502</v>
      </c>
      <c r="AD72" s="2">
        <v>10.5</v>
      </c>
      <c r="AE72" s="2">
        <v>7.0000000000000007E-2</v>
      </c>
      <c r="AF72" s="2" t="str" cm="1">
        <f t="array" ref="AF72">_xlfn.IFS(AE72=0, "No Discount ", AE72&lt;=0.08,"Low Discount", AE72&lt;=0.16,"Medium Discount", AE72&gt;0.16, "High Discount")</f>
        <v>Low Discount</v>
      </c>
      <c r="AG72" s="2">
        <v>159829</v>
      </c>
      <c r="AH72" s="2">
        <v>50</v>
      </c>
      <c r="AI72" s="2">
        <v>0.15</v>
      </c>
      <c r="AJ72" s="2" t="str" cm="1">
        <f t="array" ref="AJ72">_xlfn.IFS(AI72&lt;=0, "No Profit", AI72&lt;=0.16,"Low Profit",AI72&lt;=0.32,"Medium Profit",AI72&gt;0.32,"High Profit")</f>
        <v>Low Profit</v>
      </c>
      <c r="AK72" s="2">
        <v>3</v>
      </c>
      <c r="AL72" s="2">
        <v>150</v>
      </c>
      <c r="AM72" s="2">
        <v>139.5</v>
      </c>
      <c r="AN72" s="2">
        <v>20.93</v>
      </c>
      <c r="AO72" s="2" t="s">
        <v>531</v>
      </c>
      <c r="AP72" s="2" t="s">
        <v>538</v>
      </c>
      <c r="AQ72" s="2" t="s">
        <v>127</v>
      </c>
      <c r="AR72" s="2" t="s">
        <v>81</v>
      </c>
      <c r="AS72" s="2">
        <v>502</v>
      </c>
      <c r="AT72" s="2">
        <v>24</v>
      </c>
      <c r="AU72" s="2" t="s">
        <v>442</v>
      </c>
      <c r="AV72" s="2">
        <v>50</v>
      </c>
      <c r="AW72" s="2">
        <v>0</v>
      </c>
      <c r="AX72" s="2" t="s">
        <v>539</v>
      </c>
      <c r="AY72" s="2" t="s">
        <v>162</v>
      </c>
      <c r="AZ72" s="4">
        <v>42938</v>
      </c>
      <c r="BA72" s="5">
        <v>0.30277777777777776</v>
      </c>
      <c r="BB72" s="2">
        <v>2017</v>
      </c>
      <c r="BC72" s="2" t="s">
        <v>533</v>
      </c>
      <c r="BD72" s="2">
        <v>22</v>
      </c>
      <c r="BE72" s="4">
        <v>42940</v>
      </c>
      <c r="BF72" s="5">
        <v>0.30277777777777776</v>
      </c>
      <c r="BG72" s="2" t="str" cm="1">
        <f t="array" ref="BG72">_xlfn.IFS(BF72&lt;TIMEVALUE("06:00"),"Night", BF72&gt;=TIMEVALUE("21:00"),"Night",BF72&gt;=TIMEVALUE("17:00"),"Evening",BF72&gt;=TIMEVALUE("12:00"),"Afternoon", BF72&gt;=TIMEVALUE("06:00"),"Morning")</f>
        <v>Morning</v>
      </c>
      <c r="BH72" s="2">
        <v>2017</v>
      </c>
      <c r="BI72" s="2" t="s">
        <v>533</v>
      </c>
      <c r="BJ72" s="2">
        <v>24</v>
      </c>
    </row>
    <row r="73" spans="1:62" x14ac:dyDescent="0.3">
      <c r="A73" s="2" t="s">
        <v>121</v>
      </c>
      <c r="B73" s="2">
        <v>4</v>
      </c>
      <c r="C73" s="2">
        <v>2</v>
      </c>
      <c r="D73" s="2">
        <v>12.2</v>
      </c>
      <c r="E73" s="2">
        <v>107.97</v>
      </c>
      <c r="F73" s="2" t="s">
        <v>87</v>
      </c>
      <c r="G73" s="2" t="s">
        <v>88</v>
      </c>
      <c r="H73" s="2">
        <v>29</v>
      </c>
      <c r="I73" s="2" t="s">
        <v>424</v>
      </c>
      <c r="J73" s="2" t="s">
        <v>66</v>
      </c>
      <c r="K73" s="2" t="s">
        <v>67</v>
      </c>
      <c r="L73" s="2" t="s">
        <v>570</v>
      </c>
      <c r="M73" s="2">
        <v>10018</v>
      </c>
      <c r="N73" s="2" t="s">
        <v>571</v>
      </c>
      <c r="O73" s="2" t="s">
        <v>113</v>
      </c>
      <c r="P73" s="2" t="s">
        <v>71</v>
      </c>
      <c r="Q73" s="2" t="s">
        <v>572</v>
      </c>
      <c r="R73" s="2">
        <v>725</v>
      </c>
      <c r="S73" s="2">
        <v>5</v>
      </c>
      <c r="T73" s="2" t="s">
        <v>427</v>
      </c>
      <c r="U73" s="2">
        <v>18.240697900000001</v>
      </c>
      <c r="V73" s="2">
        <v>-66.370559700000001</v>
      </c>
      <c r="W73" s="2" t="s">
        <v>528</v>
      </c>
      <c r="X73" s="2" t="s">
        <v>573</v>
      </c>
      <c r="Y73" s="2" t="s">
        <v>557</v>
      </c>
      <c r="Z73" s="2">
        <v>10018</v>
      </c>
      <c r="AA73" s="3">
        <v>42833.104861111111</v>
      </c>
      <c r="AB73" s="2">
        <v>64813</v>
      </c>
      <c r="AC73" s="2">
        <v>627</v>
      </c>
      <c r="AD73" s="2">
        <v>12</v>
      </c>
      <c r="AE73" s="2">
        <v>0.1</v>
      </c>
      <c r="AF73" s="2" t="str" cm="1">
        <f t="array" ref="AF73">_xlfn.IFS(AE73=0, "No Discount ", AE73&lt;=0.08,"Low Discount", AE73&lt;=0.16,"Medium Discount", AE73&gt;0.16, "High Discount")</f>
        <v>Medium Discount</v>
      </c>
      <c r="AG73" s="2">
        <v>162007</v>
      </c>
      <c r="AH73" s="2">
        <v>39.99</v>
      </c>
      <c r="AI73" s="2">
        <v>0.11</v>
      </c>
      <c r="AJ73" s="2" t="str" cm="1">
        <f t="array" ref="AJ73">_xlfn.IFS(AI73&lt;=0, "No Profit", AI73&lt;=0.16,"Low Profit",AI73&lt;=0.32,"Medium Profit",AI73&gt;0.32,"High Profit")</f>
        <v>Low Profit</v>
      </c>
      <c r="AK73" s="2">
        <v>3</v>
      </c>
      <c r="AL73" s="2">
        <v>119.97</v>
      </c>
      <c r="AM73" s="2">
        <v>107.97</v>
      </c>
      <c r="AN73" s="2">
        <v>12.2</v>
      </c>
      <c r="AO73" s="2" t="s">
        <v>558</v>
      </c>
      <c r="AP73" s="2" t="s">
        <v>559</v>
      </c>
      <c r="AQ73" s="2" t="s">
        <v>127</v>
      </c>
      <c r="AR73" s="2" t="s">
        <v>81</v>
      </c>
      <c r="AS73" s="2">
        <v>627</v>
      </c>
      <c r="AT73" s="2">
        <v>29</v>
      </c>
      <c r="AU73" s="2" t="s">
        <v>432</v>
      </c>
      <c r="AV73" s="2">
        <v>39.99</v>
      </c>
      <c r="AW73" s="2">
        <v>0</v>
      </c>
      <c r="AX73" s="3">
        <v>42955.104861111111</v>
      </c>
      <c r="AY73" s="2" t="s">
        <v>162</v>
      </c>
      <c r="AZ73" s="4">
        <v>42833</v>
      </c>
      <c r="BA73" s="5">
        <v>0.10486111111111111</v>
      </c>
      <c r="BB73" s="2">
        <v>2017</v>
      </c>
      <c r="BC73" s="2" t="s">
        <v>487</v>
      </c>
      <c r="BD73" s="2">
        <v>8</v>
      </c>
      <c r="BE73" s="4">
        <v>42955</v>
      </c>
      <c r="BF73" s="5">
        <v>0.10486111111111111</v>
      </c>
      <c r="BG73" s="2" t="str" cm="1">
        <f t="array" ref="BG73">_xlfn.IFS(BF73&lt;TIMEVALUE("06:00"),"Night", BF73&gt;=TIMEVALUE("21:00"),"Night",BF73&gt;=TIMEVALUE("17:00"),"Evening",BF73&gt;=TIMEVALUE("12:00"),"Afternoon", BF73&gt;=TIMEVALUE("06:00"),"Morning")</f>
        <v>Night</v>
      </c>
      <c r="BH73" s="2">
        <v>2017</v>
      </c>
      <c r="BI73" s="2" t="s">
        <v>482</v>
      </c>
      <c r="BJ73" s="2">
        <v>8</v>
      </c>
    </row>
    <row r="74" spans="1:62" x14ac:dyDescent="0.3">
      <c r="A74" s="2" t="s">
        <v>121</v>
      </c>
      <c r="B74" s="2">
        <v>3</v>
      </c>
      <c r="C74" s="2">
        <v>2</v>
      </c>
      <c r="D74" s="2">
        <v>12.71</v>
      </c>
      <c r="E74" s="2">
        <v>112.5</v>
      </c>
      <c r="F74" s="2" t="s">
        <v>87</v>
      </c>
      <c r="G74" s="2" t="s">
        <v>88</v>
      </c>
      <c r="H74" s="2">
        <v>24</v>
      </c>
      <c r="I74" s="2" t="s">
        <v>435</v>
      </c>
      <c r="J74" s="2" t="s">
        <v>66</v>
      </c>
      <c r="K74" s="2" t="s">
        <v>67</v>
      </c>
      <c r="L74" s="2" t="s">
        <v>476</v>
      </c>
      <c r="M74" s="2">
        <v>3182</v>
      </c>
      <c r="N74" s="2" t="s">
        <v>425</v>
      </c>
      <c r="O74" s="2" t="s">
        <v>113</v>
      </c>
      <c r="P74" s="2" t="s">
        <v>71</v>
      </c>
      <c r="Q74" s="2" t="s">
        <v>477</v>
      </c>
      <c r="R74" s="2">
        <v>725</v>
      </c>
      <c r="S74" s="2">
        <v>5</v>
      </c>
      <c r="T74" s="2" t="s">
        <v>427</v>
      </c>
      <c r="U74" s="2">
        <v>18.262682000000002</v>
      </c>
      <c r="V74" s="2">
        <v>-66.370498699999999</v>
      </c>
      <c r="W74" s="2" t="s">
        <v>528</v>
      </c>
      <c r="X74" s="2" t="s">
        <v>574</v>
      </c>
      <c r="Y74" s="2" t="s">
        <v>530</v>
      </c>
      <c r="Z74" s="2">
        <v>3182</v>
      </c>
      <c r="AA74" s="2" t="s">
        <v>575</v>
      </c>
      <c r="AB74" s="2">
        <v>67892</v>
      </c>
      <c r="AC74" s="2">
        <v>502</v>
      </c>
      <c r="AD74" s="2">
        <v>37.5</v>
      </c>
      <c r="AE74" s="2">
        <v>0.25</v>
      </c>
      <c r="AF74" s="2" t="str" cm="1">
        <f t="array" ref="AF74">_xlfn.IFS(AE74=0, "No Discount ", AE74&lt;=0.08,"Low Discount", AE74&lt;=0.16,"Medium Discount", AE74&gt;0.16, "High Discount")</f>
        <v>High Discount</v>
      </c>
      <c r="AG74" s="2">
        <v>169747</v>
      </c>
      <c r="AH74" s="2">
        <v>50</v>
      </c>
      <c r="AI74" s="2">
        <v>0.11</v>
      </c>
      <c r="AJ74" s="2" t="str" cm="1">
        <f t="array" ref="AJ74">_xlfn.IFS(AI74&lt;=0, "No Profit", AI74&lt;=0.16,"Low Profit",AI74&lt;=0.32,"Medium Profit",AI74&gt;0.32,"High Profit")</f>
        <v>Low Profit</v>
      </c>
      <c r="AK74" s="2">
        <v>3</v>
      </c>
      <c r="AL74" s="2">
        <v>150</v>
      </c>
      <c r="AM74" s="2">
        <v>112.5</v>
      </c>
      <c r="AN74" s="2">
        <v>12.71</v>
      </c>
      <c r="AO74" s="2" t="s">
        <v>531</v>
      </c>
      <c r="AP74" s="2" t="s">
        <v>532</v>
      </c>
      <c r="AQ74" s="2" t="s">
        <v>127</v>
      </c>
      <c r="AR74" s="2" t="s">
        <v>81</v>
      </c>
      <c r="AS74" s="2">
        <v>502</v>
      </c>
      <c r="AT74" s="2">
        <v>24</v>
      </c>
      <c r="AU74" s="2" t="s">
        <v>442</v>
      </c>
      <c r="AV74" s="2">
        <v>50</v>
      </c>
      <c r="AW74" s="2">
        <v>0</v>
      </c>
      <c r="AX74" s="2" t="s">
        <v>576</v>
      </c>
      <c r="AY74" s="2" t="s">
        <v>162</v>
      </c>
      <c r="AZ74" s="4">
        <v>42996</v>
      </c>
      <c r="BA74" s="5">
        <v>5.1388888888888887E-2</v>
      </c>
      <c r="BB74" s="2">
        <v>2017</v>
      </c>
      <c r="BC74" s="2" t="s">
        <v>552</v>
      </c>
      <c r="BD74" s="2">
        <v>18</v>
      </c>
      <c r="BE74" s="4">
        <v>42999</v>
      </c>
      <c r="BF74" s="5">
        <v>5.1388888888888887E-2</v>
      </c>
      <c r="BG74" s="2" t="str" cm="1">
        <f t="array" ref="BG74">_xlfn.IFS(BF74&lt;TIMEVALUE("06:00"),"Night", BF74&gt;=TIMEVALUE("21:00"),"Night",BF74&gt;=TIMEVALUE("17:00"),"Evening",BF74&gt;=TIMEVALUE("12:00"),"Afternoon", BF74&gt;=TIMEVALUE("06:00"),"Morning")</f>
        <v>Night</v>
      </c>
      <c r="BH74" s="2">
        <v>2017</v>
      </c>
      <c r="BI74" s="2" t="s">
        <v>552</v>
      </c>
      <c r="BJ74" s="2">
        <v>21</v>
      </c>
    </row>
    <row r="75" spans="1:62" x14ac:dyDescent="0.3">
      <c r="A75" s="2" t="s">
        <v>121</v>
      </c>
      <c r="B75" s="2">
        <v>6</v>
      </c>
      <c r="C75" s="2">
        <v>2</v>
      </c>
      <c r="D75" s="2">
        <v>7.76</v>
      </c>
      <c r="E75" s="2">
        <v>55.41</v>
      </c>
      <c r="F75" s="2" t="s">
        <v>87</v>
      </c>
      <c r="G75" s="2" t="s">
        <v>88</v>
      </c>
      <c r="H75" s="2">
        <v>41</v>
      </c>
      <c r="I75" s="2" t="s">
        <v>512</v>
      </c>
      <c r="J75" s="2" t="s">
        <v>66</v>
      </c>
      <c r="K75" s="2" t="s">
        <v>67</v>
      </c>
      <c r="L75" s="2" t="s">
        <v>488</v>
      </c>
      <c r="M75" s="2">
        <v>4936</v>
      </c>
      <c r="N75" s="2" t="s">
        <v>425</v>
      </c>
      <c r="O75" s="2" t="s">
        <v>113</v>
      </c>
      <c r="P75" s="2" t="s">
        <v>71</v>
      </c>
      <c r="Q75" s="2" t="s">
        <v>577</v>
      </c>
      <c r="R75" s="2">
        <v>725</v>
      </c>
      <c r="S75" s="2">
        <v>6</v>
      </c>
      <c r="T75" s="2" t="s">
        <v>515</v>
      </c>
      <c r="U75" s="2">
        <v>18.2120991</v>
      </c>
      <c r="V75" s="2">
        <v>-66.370506300000002</v>
      </c>
      <c r="W75" s="2" t="s">
        <v>528</v>
      </c>
      <c r="X75" s="2" t="s">
        <v>578</v>
      </c>
      <c r="Y75" s="2" t="s">
        <v>536</v>
      </c>
      <c r="Z75" s="2">
        <v>4936</v>
      </c>
      <c r="AA75" s="3">
        <v>42042.820833333331</v>
      </c>
      <c r="AB75" s="2">
        <v>12525</v>
      </c>
      <c r="AC75" s="2">
        <v>917</v>
      </c>
      <c r="AD75" s="2">
        <v>10.56</v>
      </c>
      <c r="AE75" s="2">
        <v>0.16</v>
      </c>
      <c r="AF75" s="2" t="str" cm="1">
        <f t="array" ref="AF75">_xlfn.IFS(AE75=0, "No Discount ", AE75&lt;=0.08,"Low Discount", AE75&lt;=0.16,"Medium Discount", AE75&gt;0.16, "High Discount")</f>
        <v>Medium Discount</v>
      </c>
      <c r="AG75" s="2">
        <v>31344</v>
      </c>
      <c r="AH75" s="2">
        <v>21.99</v>
      </c>
      <c r="AI75" s="2">
        <v>0.14000000000000001</v>
      </c>
      <c r="AJ75" s="2" t="str" cm="1">
        <f t="array" ref="AJ75">_xlfn.IFS(AI75&lt;=0, "No Profit", AI75&lt;=0.16,"Low Profit",AI75&lt;=0.32,"Medium Profit",AI75&gt;0.32,"High Profit")</f>
        <v>Low Profit</v>
      </c>
      <c r="AK75" s="2">
        <v>3</v>
      </c>
      <c r="AL75" s="2">
        <v>65.97</v>
      </c>
      <c r="AM75" s="2">
        <v>55.41</v>
      </c>
      <c r="AN75" s="2">
        <v>7.76</v>
      </c>
      <c r="AO75" s="2" t="s">
        <v>531</v>
      </c>
      <c r="AP75" s="2" t="s">
        <v>579</v>
      </c>
      <c r="AQ75" s="2" t="s">
        <v>127</v>
      </c>
      <c r="AR75" s="2" t="s">
        <v>81</v>
      </c>
      <c r="AS75" s="2">
        <v>917</v>
      </c>
      <c r="AT75" s="2">
        <v>41</v>
      </c>
      <c r="AU75" s="2" t="s">
        <v>518</v>
      </c>
      <c r="AV75" s="2">
        <v>21.99</v>
      </c>
      <c r="AW75" s="2">
        <v>0</v>
      </c>
      <c r="AX75" s="3">
        <v>42223.820833333331</v>
      </c>
      <c r="AY75" s="2" t="s">
        <v>162</v>
      </c>
      <c r="AZ75" s="4">
        <v>42042</v>
      </c>
      <c r="BA75" s="5">
        <v>0.8208333333333333</v>
      </c>
      <c r="BB75" s="2">
        <v>2015</v>
      </c>
      <c r="BC75" s="2" t="s">
        <v>423</v>
      </c>
      <c r="BD75" s="2">
        <v>7</v>
      </c>
      <c r="BE75" s="4">
        <v>42223</v>
      </c>
      <c r="BF75" s="5">
        <v>0.8208333333333333</v>
      </c>
      <c r="BG75" s="2" t="str" cm="1">
        <f t="array" ref="BG75">_xlfn.IFS(BF75&lt;TIMEVALUE("06:00"),"Night", BF75&gt;=TIMEVALUE("21:00"),"Night",BF75&gt;=TIMEVALUE("17:00"),"Evening",BF75&gt;=TIMEVALUE("12:00"),"Afternoon", BF75&gt;=TIMEVALUE("06:00"),"Morning")</f>
        <v>Evening</v>
      </c>
      <c r="BH75" s="2">
        <v>2015</v>
      </c>
      <c r="BI75" s="2" t="s">
        <v>482</v>
      </c>
      <c r="BJ75" s="2">
        <v>7</v>
      </c>
    </row>
    <row r="76" spans="1:62" x14ac:dyDescent="0.3">
      <c r="A76" s="2" t="s">
        <v>121</v>
      </c>
      <c r="B76" s="2">
        <v>6</v>
      </c>
      <c r="C76" s="2">
        <v>2</v>
      </c>
      <c r="D76" s="2">
        <v>101.39</v>
      </c>
      <c r="E76" s="2">
        <v>299.97000000000003</v>
      </c>
      <c r="F76" s="2" t="s">
        <v>87</v>
      </c>
      <c r="G76" s="2" t="s">
        <v>88</v>
      </c>
      <c r="H76" s="2">
        <v>9</v>
      </c>
      <c r="I76" s="2" t="s">
        <v>496</v>
      </c>
      <c r="J76" s="2" t="s">
        <v>66</v>
      </c>
      <c r="K76" s="2" t="s">
        <v>67</v>
      </c>
      <c r="L76" s="2" t="s">
        <v>580</v>
      </c>
      <c r="M76" s="2">
        <v>8707</v>
      </c>
      <c r="N76" s="2" t="s">
        <v>425</v>
      </c>
      <c r="O76" s="2" t="s">
        <v>113</v>
      </c>
      <c r="P76" s="2" t="s">
        <v>71</v>
      </c>
      <c r="Q76" s="2" t="s">
        <v>581</v>
      </c>
      <c r="R76" s="2">
        <v>725</v>
      </c>
      <c r="S76" s="2">
        <v>3</v>
      </c>
      <c r="T76" s="2" t="s">
        <v>466</v>
      </c>
      <c r="U76" s="2">
        <v>18.231313700000001</v>
      </c>
      <c r="V76" s="2">
        <v>-66.370628400000001</v>
      </c>
      <c r="W76" s="2" t="s">
        <v>582</v>
      </c>
      <c r="X76" s="2" t="s">
        <v>583</v>
      </c>
      <c r="Y76" s="2" t="s">
        <v>584</v>
      </c>
      <c r="Z76" s="2">
        <v>8707</v>
      </c>
      <c r="AA76" s="2" t="s">
        <v>585</v>
      </c>
      <c r="AB76" s="2">
        <v>5895</v>
      </c>
      <c r="AC76" s="2">
        <v>191</v>
      </c>
      <c r="AD76" s="2">
        <v>0</v>
      </c>
      <c r="AE76" s="2">
        <v>0</v>
      </c>
      <c r="AF76" s="2" t="str" cm="1">
        <f t="array" ref="AF76">_xlfn.IFS(AE76=0, "No Discount ", AE76&lt;=0.08,"Low Discount", AE76&lt;=0.16,"Medium Discount", AE76&gt;0.16, "High Discount")</f>
        <v xml:space="preserve">No Discount </v>
      </c>
      <c r="AG76" s="2">
        <v>14664</v>
      </c>
      <c r="AH76" s="2">
        <v>99.99</v>
      </c>
      <c r="AI76" s="2">
        <v>0.34</v>
      </c>
      <c r="AJ76" s="2" t="str" cm="1">
        <f t="array" ref="AJ76">_xlfn.IFS(AI76&lt;=0, "No Profit", AI76&lt;=0.16,"Low Profit",AI76&lt;=0.32,"Medium Profit",AI76&gt;0.32,"High Profit")</f>
        <v>High Profit</v>
      </c>
      <c r="AK76" s="2">
        <v>3</v>
      </c>
      <c r="AL76" s="2">
        <v>299.97000000000003</v>
      </c>
      <c r="AM76" s="2">
        <v>299.97000000000003</v>
      </c>
      <c r="AN76" s="2">
        <v>101.39</v>
      </c>
      <c r="AO76" s="2" t="s">
        <v>586</v>
      </c>
      <c r="AP76" s="2" t="s">
        <v>584</v>
      </c>
      <c r="AQ76" s="2" t="s">
        <v>127</v>
      </c>
      <c r="AR76" s="2" t="s">
        <v>81</v>
      </c>
      <c r="AS76" s="2">
        <v>191</v>
      </c>
      <c r="AT76" s="2">
        <v>9</v>
      </c>
      <c r="AU76" s="2" t="s">
        <v>505</v>
      </c>
      <c r="AV76" s="2">
        <v>99.99</v>
      </c>
      <c r="AW76" s="2">
        <v>0</v>
      </c>
      <c r="AX76" s="3">
        <v>42067.038194444445</v>
      </c>
      <c r="AY76" s="2" t="s">
        <v>162</v>
      </c>
      <c r="AZ76" s="4">
        <v>42091</v>
      </c>
      <c r="BA76" s="5">
        <v>3.8194444444444448E-2</v>
      </c>
      <c r="BB76" s="2">
        <v>2015</v>
      </c>
      <c r="BC76" s="2" t="s">
        <v>85</v>
      </c>
      <c r="BD76" s="2">
        <v>28</v>
      </c>
      <c r="BE76" s="4">
        <v>42067</v>
      </c>
      <c r="BF76" s="5">
        <v>3.8194444444444448E-2</v>
      </c>
      <c r="BG76" s="2" t="str" cm="1">
        <f t="array" ref="BG76">_xlfn.IFS(BF76&lt;TIMEVALUE("06:00"),"Night", BF76&gt;=TIMEVALUE("21:00"),"Night",BF76&gt;=TIMEVALUE("17:00"),"Evening",BF76&gt;=TIMEVALUE("12:00"),"Afternoon", BF76&gt;=TIMEVALUE("06:00"),"Morning")</f>
        <v>Night</v>
      </c>
      <c r="BH76" s="2">
        <v>2015</v>
      </c>
      <c r="BI76" s="2" t="s">
        <v>85</v>
      </c>
      <c r="BJ76" s="2">
        <v>4</v>
      </c>
    </row>
    <row r="77" spans="1:62" x14ac:dyDescent="0.3">
      <c r="A77" s="2" t="s">
        <v>121</v>
      </c>
      <c r="B77" s="2">
        <v>5</v>
      </c>
      <c r="C77" s="2">
        <v>2</v>
      </c>
      <c r="D77" s="2">
        <v>-285.07</v>
      </c>
      <c r="E77" s="2">
        <v>178.17</v>
      </c>
      <c r="F77" s="2" t="s">
        <v>87</v>
      </c>
      <c r="G77" s="2" t="s">
        <v>88</v>
      </c>
      <c r="H77" s="2">
        <v>17</v>
      </c>
      <c r="I77" s="2" t="s">
        <v>412</v>
      </c>
      <c r="J77" s="2" t="s">
        <v>66</v>
      </c>
      <c r="K77" s="2" t="s">
        <v>67</v>
      </c>
      <c r="L77" s="2" t="s">
        <v>587</v>
      </c>
      <c r="M77" s="2">
        <v>1025</v>
      </c>
      <c r="N77" s="2" t="s">
        <v>588</v>
      </c>
      <c r="O77" s="2" t="s">
        <v>113</v>
      </c>
      <c r="P77" s="2" t="s">
        <v>71</v>
      </c>
      <c r="Q77" s="2" t="s">
        <v>589</v>
      </c>
      <c r="R77" s="2">
        <v>725</v>
      </c>
      <c r="S77" s="2">
        <v>4</v>
      </c>
      <c r="T77" s="2" t="s">
        <v>417</v>
      </c>
      <c r="U77" s="2">
        <v>18.2965202</v>
      </c>
      <c r="V77" s="2">
        <v>-66.048675500000002</v>
      </c>
      <c r="W77" s="2" t="s">
        <v>582</v>
      </c>
      <c r="X77" s="2" t="s">
        <v>590</v>
      </c>
      <c r="Y77" s="2" t="s">
        <v>591</v>
      </c>
      <c r="Z77" s="2">
        <v>1025</v>
      </c>
      <c r="AA77" s="3">
        <v>42770.696527777778</v>
      </c>
      <c r="AB77" s="2">
        <v>56359</v>
      </c>
      <c r="AC77" s="2">
        <v>365</v>
      </c>
      <c r="AD77" s="2">
        <v>1.8</v>
      </c>
      <c r="AE77" s="2">
        <v>0.01</v>
      </c>
      <c r="AF77" s="2" t="str" cm="1">
        <f t="array" ref="AF77">_xlfn.IFS(AE77=0, "No Discount ", AE77&lt;=0.08,"Low Discount", AE77&lt;=0.16,"Medium Discount", AE77&gt;0.16, "High Discount")</f>
        <v>Low Discount</v>
      </c>
      <c r="AG77" s="2">
        <v>140970</v>
      </c>
      <c r="AH77" s="2">
        <v>59.99</v>
      </c>
      <c r="AI77" s="2">
        <v>-1.6</v>
      </c>
      <c r="AJ77" s="2" t="str" cm="1">
        <f t="array" ref="AJ77">_xlfn.IFS(AI77&lt;=0, "No Profit", AI77&lt;=0.16,"Low Profit",AI77&lt;=0.32,"Medium Profit",AI77&gt;0.32,"High Profit")</f>
        <v>No Profit</v>
      </c>
      <c r="AK77" s="2">
        <v>3</v>
      </c>
      <c r="AL77" s="2">
        <v>179.97</v>
      </c>
      <c r="AM77" s="2">
        <v>178.17</v>
      </c>
      <c r="AN77" s="2">
        <v>-285.07</v>
      </c>
      <c r="AO77" s="2" t="s">
        <v>586</v>
      </c>
      <c r="AP77" s="2" t="s">
        <v>592</v>
      </c>
      <c r="AQ77" s="2" t="s">
        <v>127</v>
      </c>
      <c r="AR77" s="2" t="s">
        <v>81</v>
      </c>
      <c r="AS77" s="2">
        <v>365</v>
      </c>
      <c r="AT77" s="2">
        <v>17</v>
      </c>
      <c r="AU77" s="2" t="s">
        <v>421</v>
      </c>
      <c r="AV77" s="2">
        <v>59.99</v>
      </c>
      <c r="AW77" s="2">
        <v>0</v>
      </c>
      <c r="AX77" s="3">
        <v>42920.696527777778</v>
      </c>
      <c r="AY77" s="2" t="s">
        <v>162</v>
      </c>
      <c r="AZ77" s="4">
        <v>42770</v>
      </c>
      <c r="BA77" s="5">
        <v>0.69652777777777775</v>
      </c>
      <c r="BB77" s="2">
        <v>2017</v>
      </c>
      <c r="BC77" s="2" t="s">
        <v>423</v>
      </c>
      <c r="BD77" s="2">
        <v>4</v>
      </c>
      <c r="BE77" s="4">
        <v>42920</v>
      </c>
      <c r="BF77" s="5">
        <v>0.69652777777777775</v>
      </c>
      <c r="BG77" s="2" t="str" cm="1">
        <f t="array" ref="BG77">_xlfn.IFS(BF77&lt;TIMEVALUE("06:00"),"Night", BF77&gt;=TIMEVALUE("21:00"),"Night",BF77&gt;=TIMEVALUE("17:00"),"Evening",BF77&gt;=TIMEVALUE("12:00"),"Afternoon", BF77&gt;=TIMEVALUE("06:00"),"Morning")</f>
        <v>Afternoon</v>
      </c>
      <c r="BH77" s="2">
        <v>2017</v>
      </c>
      <c r="BI77" s="2" t="s">
        <v>533</v>
      </c>
      <c r="BJ77" s="2">
        <v>4</v>
      </c>
    </row>
    <row r="78" spans="1:62" x14ac:dyDescent="0.3">
      <c r="A78" s="2" t="s">
        <v>121</v>
      </c>
      <c r="B78" s="2">
        <v>4</v>
      </c>
      <c r="C78" s="2">
        <v>2</v>
      </c>
      <c r="D78" s="2">
        <v>42.74</v>
      </c>
      <c r="E78" s="2">
        <v>170.97</v>
      </c>
      <c r="F78" s="2" t="s">
        <v>87</v>
      </c>
      <c r="G78" s="2" t="s">
        <v>88</v>
      </c>
      <c r="H78" s="2">
        <v>17</v>
      </c>
      <c r="I78" s="2" t="s">
        <v>412</v>
      </c>
      <c r="J78" s="2" t="s">
        <v>66</v>
      </c>
      <c r="K78" s="2" t="s">
        <v>67</v>
      </c>
      <c r="L78" s="2" t="s">
        <v>414</v>
      </c>
      <c r="M78" s="2">
        <v>8831</v>
      </c>
      <c r="N78" s="2" t="s">
        <v>425</v>
      </c>
      <c r="O78" s="2" t="s">
        <v>113</v>
      </c>
      <c r="P78" s="2" t="s">
        <v>71</v>
      </c>
      <c r="Q78" s="2" t="s">
        <v>593</v>
      </c>
      <c r="R78" s="2">
        <v>725</v>
      </c>
      <c r="S78" s="2">
        <v>4</v>
      </c>
      <c r="T78" s="2" t="s">
        <v>417</v>
      </c>
      <c r="U78" s="2">
        <v>18.287464100000001</v>
      </c>
      <c r="V78" s="2">
        <v>-66.3705444</v>
      </c>
      <c r="W78" s="2" t="s">
        <v>582</v>
      </c>
      <c r="X78" s="2" t="s">
        <v>594</v>
      </c>
      <c r="Y78" s="2" t="s">
        <v>595</v>
      </c>
      <c r="Z78" s="2">
        <v>8831</v>
      </c>
      <c r="AA78" s="3">
        <v>42860.599305555559</v>
      </c>
      <c r="AB78" s="2">
        <v>58613</v>
      </c>
      <c r="AC78" s="2">
        <v>365</v>
      </c>
      <c r="AD78" s="2">
        <v>9</v>
      </c>
      <c r="AE78" s="2">
        <v>0.05</v>
      </c>
      <c r="AF78" s="2" t="str" cm="1">
        <f t="array" ref="AF78">_xlfn.IFS(AE78=0, "No Discount ", AE78&lt;=0.08,"Low Discount", AE78&lt;=0.16,"Medium Discount", AE78&gt;0.16, "High Discount")</f>
        <v>Low Discount</v>
      </c>
      <c r="AG78" s="2">
        <v>146701</v>
      </c>
      <c r="AH78" s="2">
        <v>59.99</v>
      </c>
      <c r="AI78" s="2">
        <v>0.25</v>
      </c>
      <c r="AJ78" s="2" t="str" cm="1">
        <f t="array" ref="AJ78">_xlfn.IFS(AI78&lt;=0, "No Profit", AI78&lt;=0.16,"Low Profit",AI78&lt;=0.32,"Medium Profit",AI78&gt;0.32,"High Profit")</f>
        <v>Medium Profit</v>
      </c>
      <c r="AK78" s="2">
        <v>3</v>
      </c>
      <c r="AL78" s="2">
        <v>179.97</v>
      </c>
      <c r="AM78" s="2">
        <v>170.97</v>
      </c>
      <c r="AN78" s="2">
        <v>42.74</v>
      </c>
      <c r="AO78" s="2" t="s">
        <v>586</v>
      </c>
      <c r="AP78" s="2" t="s">
        <v>596</v>
      </c>
      <c r="AQ78" s="2" t="s">
        <v>127</v>
      </c>
      <c r="AR78" s="2" t="s">
        <v>81</v>
      </c>
      <c r="AS78" s="2">
        <v>365</v>
      </c>
      <c r="AT78" s="2">
        <v>17</v>
      </c>
      <c r="AU78" s="2" t="s">
        <v>421</v>
      </c>
      <c r="AV78" s="2">
        <v>59.99</v>
      </c>
      <c r="AW78" s="2">
        <v>0</v>
      </c>
      <c r="AX78" s="3">
        <v>42983.599305555559</v>
      </c>
      <c r="AY78" s="2" t="s">
        <v>162</v>
      </c>
      <c r="AZ78" s="4">
        <v>42860</v>
      </c>
      <c r="BA78" s="5">
        <v>0.59930555555555554</v>
      </c>
      <c r="BB78" s="2">
        <v>2017</v>
      </c>
      <c r="BC78" s="2" t="s">
        <v>443</v>
      </c>
      <c r="BD78" s="2">
        <v>5</v>
      </c>
      <c r="BE78" s="4">
        <v>42983</v>
      </c>
      <c r="BF78" s="5">
        <v>0.59930555555555554</v>
      </c>
      <c r="BG78" s="2" t="str" cm="1">
        <f t="array" ref="BG78">_xlfn.IFS(BF78&lt;TIMEVALUE("06:00"),"Night", BF78&gt;=TIMEVALUE("21:00"),"Night",BF78&gt;=TIMEVALUE("17:00"),"Evening",BF78&gt;=TIMEVALUE("12:00"),"Afternoon", BF78&gt;=TIMEVALUE("06:00"),"Morning")</f>
        <v>Afternoon</v>
      </c>
      <c r="BH78" s="2">
        <v>2017</v>
      </c>
      <c r="BI78" s="2" t="s">
        <v>552</v>
      </c>
      <c r="BJ78" s="2">
        <v>5</v>
      </c>
    </row>
    <row r="79" spans="1:62" x14ac:dyDescent="0.3">
      <c r="A79" s="2" t="s">
        <v>121</v>
      </c>
      <c r="B79" s="2">
        <v>5</v>
      </c>
      <c r="C79" s="2">
        <v>2</v>
      </c>
      <c r="D79" s="2">
        <v>49.32</v>
      </c>
      <c r="E79" s="2">
        <v>170.07</v>
      </c>
      <c r="F79" s="2" t="s">
        <v>87</v>
      </c>
      <c r="G79" s="2" t="s">
        <v>88</v>
      </c>
      <c r="H79" s="2">
        <v>17</v>
      </c>
      <c r="I79" s="2" t="s">
        <v>412</v>
      </c>
      <c r="J79" s="2" t="s">
        <v>66</v>
      </c>
      <c r="K79" s="2" t="s">
        <v>67</v>
      </c>
      <c r="L79" s="2" t="s">
        <v>414</v>
      </c>
      <c r="M79" s="2">
        <v>10679</v>
      </c>
      <c r="N79" s="2" t="s">
        <v>425</v>
      </c>
      <c r="O79" s="2" t="s">
        <v>113</v>
      </c>
      <c r="P79" s="2" t="s">
        <v>71</v>
      </c>
      <c r="Q79" s="2" t="s">
        <v>597</v>
      </c>
      <c r="R79" s="2">
        <v>725</v>
      </c>
      <c r="S79" s="2">
        <v>4</v>
      </c>
      <c r="T79" s="2" t="s">
        <v>417</v>
      </c>
      <c r="U79" s="2">
        <v>18.2910805</v>
      </c>
      <c r="V79" s="2">
        <v>-66.370506300000002</v>
      </c>
      <c r="W79" s="2" t="s">
        <v>582</v>
      </c>
      <c r="X79" s="2" t="s">
        <v>598</v>
      </c>
      <c r="Y79" s="2" t="s">
        <v>599</v>
      </c>
      <c r="Z79" s="2">
        <v>10679</v>
      </c>
      <c r="AA79" s="2" t="s">
        <v>600</v>
      </c>
      <c r="AB79" s="2">
        <v>7824</v>
      </c>
      <c r="AC79" s="2">
        <v>365</v>
      </c>
      <c r="AD79" s="2">
        <v>9.9</v>
      </c>
      <c r="AE79" s="2">
        <v>0.06</v>
      </c>
      <c r="AF79" s="2" t="str" cm="1">
        <f t="array" ref="AF79">_xlfn.IFS(AE79=0, "No Discount ", AE79&lt;=0.08,"Low Discount", AE79&lt;=0.16,"Medium Discount", AE79&gt;0.16, "High Discount")</f>
        <v>Low Discount</v>
      </c>
      <c r="AG79" s="2">
        <v>19564</v>
      </c>
      <c r="AH79" s="2">
        <v>59.99</v>
      </c>
      <c r="AI79" s="2">
        <v>0.28999999999999998</v>
      </c>
      <c r="AJ79" s="2" t="str" cm="1">
        <f t="array" ref="AJ79">_xlfn.IFS(AI79&lt;=0, "No Profit", AI79&lt;=0.16,"Low Profit",AI79&lt;=0.32,"Medium Profit",AI79&gt;0.32,"High Profit")</f>
        <v>Medium Profit</v>
      </c>
      <c r="AK79" s="2">
        <v>3</v>
      </c>
      <c r="AL79" s="2">
        <v>179.97</v>
      </c>
      <c r="AM79" s="2">
        <v>170.07</v>
      </c>
      <c r="AN79" s="2">
        <v>49.32</v>
      </c>
      <c r="AO79" s="2" t="s">
        <v>601</v>
      </c>
      <c r="AP79" s="2" t="s">
        <v>598</v>
      </c>
      <c r="AQ79" s="2" t="s">
        <v>127</v>
      </c>
      <c r="AR79" s="2" t="s">
        <v>81</v>
      </c>
      <c r="AS79" s="2">
        <v>365</v>
      </c>
      <c r="AT79" s="2">
        <v>17</v>
      </c>
      <c r="AU79" s="2" t="s">
        <v>421</v>
      </c>
      <c r="AV79" s="2">
        <v>59.99</v>
      </c>
      <c r="AW79" s="2">
        <v>0</v>
      </c>
      <c r="AX79" s="2" t="s">
        <v>602</v>
      </c>
      <c r="AY79" s="2" t="s">
        <v>162</v>
      </c>
      <c r="AZ79" s="4">
        <v>42119</v>
      </c>
      <c r="BA79" s="5">
        <v>0.19722222222222222</v>
      </c>
      <c r="BB79" s="2">
        <v>2015</v>
      </c>
      <c r="BC79" s="2" t="s">
        <v>487</v>
      </c>
      <c r="BD79" s="2">
        <v>25</v>
      </c>
      <c r="BE79" s="4">
        <v>42124</v>
      </c>
      <c r="BF79" s="5">
        <v>0.19722222222222222</v>
      </c>
      <c r="BG79" s="2" t="str" cm="1">
        <f t="array" ref="BG79">_xlfn.IFS(BF79&lt;TIMEVALUE("06:00"),"Night", BF79&gt;=TIMEVALUE("21:00"),"Night",BF79&gt;=TIMEVALUE("17:00"),"Evening",BF79&gt;=TIMEVALUE("12:00"),"Afternoon", BF79&gt;=TIMEVALUE("06:00"),"Morning")</f>
        <v>Night</v>
      </c>
      <c r="BH79" s="2">
        <v>2015</v>
      </c>
      <c r="BI79" s="2" t="s">
        <v>487</v>
      </c>
      <c r="BJ79" s="2">
        <v>30</v>
      </c>
    </row>
    <row r="80" spans="1:62" x14ac:dyDescent="0.3">
      <c r="A80" s="2" t="s">
        <v>121</v>
      </c>
      <c r="B80" s="2">
        <v>5</v>
      </c>
      <c r="C80" s="2">
        <v>2</v>
      </c>
      <c r="D80" s="2">
        <v>80.34</v>
      </c>
      <c r="E80" s="2">
        <v>167.37</v>
      </c>
      <c r="F80" s="2" t="s">
        <v>87</v>
      </c>
      <c r="G80" s="2" t="s">
        <v>88</v>
      </c>
      <c r="H80" s="2">
        <v>17</v>
      </c>
      <c r="I80" s="2" t="s">
        <v>412</v>
      </c>
      <c r="J80" s="2" t="s">
        <v>66</v>
      </c>
      <c r="K80" s="2" t="s">
        <v>67</v>
      </c>
      <c r="L80" s="2" t="s">
        <v>414</v>
      </c>
      <c r="M80" s="2">
        <v>5007</v>
      </c>
      <c r="N80" s="2" t="s">
        <v>425</v>
      </c>
      <c r="O80" s="2" t="s">
        <v>113</v>
      </c>
      <c r="P80" s="2" t="s">
        <v>71</v>
      </c>
      <c r="Q80" s="2" t="s">
        <v>603</v>
      </c>
      <c r="R80" s="2">
        <v>725</v>
      </c>
      <c r="S80" s="2">
        <v>4</v>
      </c>
      <c r="T80" s="2" t="s">
        <v>417</v>
      </c>
      <c r="U80" s="2">
        <v>18.249845499999999</v>
      </c>
      <c r="V80" s="2">
        <v>-66.370506300000002</v>
      </c>
      <c r="W80" s="2" t="s">
        <v>582</v>
      </c>
      <c r="X80" s="2" t="s">
        <v>604</v>
      </c>
      <c r="Y80" s="2" t="s">
        <v>605</v>
      </c>
      <c r="Z80" s="2">
        <v>5007</v>
      </c>
      <c r="AA80" s="2" t="s">
        <v>606</v>
      </c>
      <c r="AB80" s="2">
        <v>7814</v>
      </c>
      <c r="AC80" s="2">
        <v>365</v>
      </c>
      <c r="AD80" s="2">
        <v>12.6</v>
      </c>
      <c r="AE80" s="2">
        <v>7.0000000000000007E-2</v>
      </c>
      <c r="AF80" s="2" t="str" cm="1">
        <f t="array" ref="AF80">_xlfn.IFS(AE80=0, "No Discount ", AE80&lt;=0.08,"Low Discount", AE80&lt;=0.16,"Medium Discount", AE80&gt;0.16, "High Discount")</f>
        <v>Low Discount</v>
      </c>
      <c r="AG80" s="2">
        <v>19544</v>
      </c>
      <c r="AH80" s="2">
        <v>59.99</v>
      </c>
      <c r="AI80" s="2">
        <v>0.48</v>
      </c>
      <c r="AJ80" s="2" t="str" cm="1">
        <f t="array" ref="AJ80">_xlfn.IFS(AI80&lt;=0, "No Profit", AI80&lt;=0.16,"Low Profit",AI80&lt;=0.32,"Medium Profit",AI80&gt;0.32,"High Profit")</f>
        <v>High Profit</v>
      </c>
      <c r="AK80" s="2">
        <v>3</v>
      </c>
      <c r="AL80" s="2">
        <v>179.97</v>
      </c>
      <c r="AM80" s="2">
        <v>167.37</v>
      </c>
      <c r="AN80" s="2">
        <v>80.34</v>
      </c>
      <c r="AO80" s="2" t="s">
        <v>607</v>
      </c>
      <c r="AP80" s="2" t="s">
        <v>608</v>
      </c>
      <c r="AQ80" s="2" t="s">
        <v>127</v>
      </c>
      <c r="AR80" s="2" t="s">
        <v>81</v>
      </c>
      <c r="AS80" s="2">
        <v>365</v>
      </c>
      <c r="AT80" s="2">
        <v>17</v>
      </c>
      <c r="AU80" s="2" t="s">
        <v>421</v>
      </c>
      <c r="AV80" s="2">
        <v>59.99</v>
      </c>
      <c r="AW80" s="2">
        <v>0</v>
      </c>
      <c r="AX80" s="2" t="s">
        <v>609</v>
      </c>
      <c r="AY80" s="2" t="s">
        <v>162</v>
      </c>
      <c r="AZ80" s="4">
        <v>42119</v>
      </c>
      <c r="BA80" s="5">
        <v>5.1388888888888887E-2</v>
      </c>
      <c r="BB80" s="2">
        <v>2015</v>
      </c>
      <c r="BC80" s="2" t="s">
        <v>487</v>
      </c>
      <c r="BD80" s="2">
        <v>25</v>
      </c>
      <c r="BE80" s="4">
        <v>42124</v>
      </c>
      <c r="BF80" s="5">
        <v>5.1388888888888887E-2</v>
      </c>
      <c r="BG80" s="2" t="str" cm="1">
        <f t="array" ref="BG80">_xlfn.IFS(BF80&lt;TIMEVALUE("06:00"),"Night", BF80&gt;=TIMEVALUE("21:00"),"Night",BF80&gt;=TIMEVALUE("17:00"),"Evening",BF80&gt;=TIMEVALUE("12:00"),"Afternoon", BF80&gt;=TIMEVALUE("06:00"),"Morning")</f>
        <v>Night</v>
      </c>
      <c r="BH80" s="2">
        <v>2015</v>
      </c>
      <c r="BI80" s="2" t="s">
        <v>487</v>
      </c>
      <c r="BJ80" s="2">
        <v>30</v>
      </c>
    </row>
    <row r="81" spans="1:62" x14ac:dyDescent="0.3">
      <c r="A81" s="2" t="s">
        <v>121</v>
      </c>
      <c r="B81" s="2">
        <v>5</v>
      </c>
      <c r="C81" s="2">
        <v>2</v>
      </c>
      <c r="D81" s="2">
        <v>-26.69</v>
      </c>
      <c r="E81" s="2">
        <v>163.77000000000001</v>
      </c>
      <c r="F81" s="2" t="s">
        <v>87</v>
      </c>
      <c r="G81" s="2" t="s">
        <v>88</v>
      </c>
      <c r="H81" s="2">
        <v>17</v>
      </c>
      <c r="I81" s="2" t="s">
        <v>412</v>
      </c>
      <c r="J81" s="2" t="s">
        <v>66</v>
      </c>
      <c r="K81" s="2" t="s">
        <v>67</v>
      </c>
      <c r="L81" s="2" t="s">
        <v>414</v>
      </c>
      <c r="M81" s="2">
        <v>5007</v>
      </c>
      <c r="N81" s="2" t="s">
        <v>425</v>
      </c>
      <c r="O81" s="2" t="s">
        <v>113</v>
      </c>
      <c r="P81" s="2" t="s">
        <v>71</v>
      </c>
      <c r="Q81" s="2" t="s">
        <v>603</v>
      </c>
      <c r="R81" s="2">
        <v>725</v>
      </c>
      <c r="S81" s="2">
        <v>4</v>
      </c>
      <c r="T81" s="2" t="s">
        <v>417</v>
      </c>
      <c r="U81" s="2">
        <v>18.249845499999999</v>
      </c>
      <c r="V81" s="2">
        <v>-66.370506300000002</v>
      </c>
      <c r="W81" s="2" t="s">
        <v>582</v>
      </c>
      <c r="X81" s="2" t="s">
        <v>604</v>
      </c>
      <c r="Y81" s="2" t="s">
        <v>605</v>
      </c>
      <c r="Z81" s="2">
        <v>5007</v>
      </c>
      <c r="AA81" s="2" t="s">
        <v>606</v>
      </c>
      <c r="AB81" s="2">
        <v>7814</v>
      </c>
      <c r="AC81" s="2">
        <v>365</v>
      </c>
      <c r="AD81" s="2">
        <v>16.2</v>
      </c>
      <c r="AE81" s="2">
        <v>0.09</v>
      </c>
      <c r="AF81" s="2" t="str" cm="1">
        <f t="array" ref="AF81">_xlfn.IFS(AE81=0, "No Discount ", AE81&lt;=0.08,"Low Discount", AE81&lt;=0.16,"Medium Discount", AE81&gt;0.16, "High Discount")</f>
        <v>Medium Discount</v>
      </c>
      <c r="AG81" s="2">
        <v>19542</v>
      </c>
      <c r="AH81" s="2">
        <v>59.99</v>
      </c>
      <c r="AI81" s="2">
        <v>-0.16</v>
      </c>
      <c r="AJ81" s="2" t="str" cm="1">
        <f t="array" ref="AJ81">_xlfn.IFS(AI81&lt;=0, "No Profit", AI81&lt;=0.16,"Low Profit",AI81&lt;=0.32,"Medium Profit",AI81&gt;0.32,"High Profit")</f>
        <v>No Profit</v>
      </c>
      <c r="AK81" s="2">
        <v>3</v>
      </c>
      <c r="AL81" s="2">
        <v>179.97</v>
      </c>
      <c r="AM81" s="2">
        <v>163.77000000000001</v>
      </c>
      <c r="AN81" s="2">
        <v>-26.69</v>
      </c>
      <c r="AO81" s="2" t="s">
        <v>607</v>
      </c>
      <c r="AP81" s="2" t="s">
        <v>608</v>
      </c>
      <c r="AQ81" s="2" t="s">
        <v>127</v>
      </c>
      <c r="AR81" s="2" t="s">
        <v>81</v>
      </c>
      <c r="AS81" s="2">
        <v>365</v>
      </c>
      <c r="AT81" s="2">
        <v>17</v>
      </c>
      <c r="AU81" s="2" t="s">
        <v>421</v>
      </c>
      <c r="AV81" s="2">
        <v>59.99</v>
      </c>
      <c r="AW81" s="2">
        <v>0</v>
      </c>
      <c r="AX81" s="2" t="s">
        <v>609</v>
      </c>
      <c r="AY81" s="2" t="s">
        <v>162</v>
      </c>
      <c r="AZ81" s="4">
        <v>42119</v>
      </c>
      <c r="BA81" s="5">
        <v>5.1388888888888887E-2</v>
      </c>
      <c r="BB81" s="2">
        <v>2015</v>
      </c>
      <c r="BC81" s="2" t="s">
        <v>487</v>
      </c>
      <c r="BD81" s="2">
        <v>25</v>
      </c>
      <c r="BE81" s="4">
        <v>42124</v>
      </c>
      <c r="BF81" s="5">
        <v>5.1388888888888887E-2</v>
      </c>
      <c r="BG81" s="2" t="str" cm="1">
        <f t="array" ref="BG81">_xlfn.IFS(BF81&lt;TIMEVALUE("06:00"),"Night", BF81&gt;=TIMEVALUE("21:00"),"Night",BF81&gt;=TIMEVALUE("17:00"),"Evening",BF81&gt;=TIMEVALUE("12:00"),"Afternoon", BF81&gt;=TIMEVALUE("06:00"),"Morning")</f>
        <v>Night</v>
      </c>
      <c r="BH81" s="2">
        <v>2015</v>
      </c>
      <c r="BI81" s="2" t="s">
        <v>487</v>
      </c>
      <c r="BJ81" s="2">
        <v>30</v>
      </c>
    </row>
    <row r="82" spans="1:62" x14ac:dyDescent="0.3">
      <c r="A82" s="2" t="s">
        <v>121</v>
      </c>
      <c r="B82" s="2">
        <v>3</v>
      </c>
      <c r="C82" s="2">
        <v>2</v>
      </c>
      <c r="D82" s="2">
        <v>-117.33</v>
      </c>
      <c r="E82" s="2">
        <v>152.97</v>
      </c>
      <c r="F82" s="2" t="s">
        <v>87</v>
      </c>
      <c r="G82" s="2" t="s">
        <v>88</v>
      </c>
      <c r="H82" s="2">
        <v>17</v>
      </c>
      <c r="I82" s="2" t="s">
        <v>412</v>
      </c>
      <c r="J82" s="2" t="s">
        <v>66</v>
      </c>
      <c r="K82" s="2" t="s">
        <v>67</v>
      </c>
      <c r="L82" s="2" t="s">
        <v>414</v>
      </c>
      <c r="M82" s="2">
        <v>9854</v>
      </c>
      <c r="N82" s="2" t="s">
        <v>425</v>
      </c>
      <c r="O82" s="2" t="s">
        <v>113</v>
      </c>
      <c r="P82" s="2" t="s">
        <v>71</v>
      </c>
      <c r="Q82" s="2" t="s">
        <v>610</v>
      </c>
      <c r="R82" s="2">
        <v>725</v>
      </c>
      <c r="S82" s="2">
        <v>4</v>
      </c>
      <c r="T82" s="2" t="s">
        <v>417</v>
      </c>
      <c r="U82" s="2">
        <v>18.256717699999999</v>
      </c>
      <c r="V82" s="2">
        <v>-66.370628400000001</v>
      </c>
      <c r="W82" s="2" t="s">
        <v>582</v>
      </c>
      <c r="X82" s="2" t="s">
        <v>598</v>
      </c>
      <c r="Y82" s="2" t="s">
        <v>599</v>
      </c>
      <c r="Z82" s="2">
        <v>9854</v>
      </c>
      <c r="AA82" s="3">
        <v>42892.627083333333</v>
      </c>
      <c r="AB82" s="2">
        <v>60807</v>
      </c>
      <c r="AC82" s="2">
        <v>365</v>
      </c>
      <c r="AD82" s="2">
        <v>27</v>
      </c>
      <c r="AE82" s="2">
        <v>0.15</v>
      </c>
      <c r="AF82" s="2" t="str" cm="1">
        <f t="array" ref="AF82">_xlfn.IFS(AE82=0, "No Discount ", AE82&lt;=0.08,"Low Discount", AE82&lt;=0.16,"Medium Discount", AE82&gt;0.16, "High Discount")</f>
        <v>Medium Discount</v>
      </c>
      <c r="AG82" s="2">
        <v>152161</v>
      </c>
      <c r="AH82" s="2">
        <v>59.99</v>
      </c>
      <c r="AI82" s="2">
        <v>-0.77</v>
      </c>
      <c r="AJ82" s="2" t="str" cm="1">
        <f t="array" ref="AJ82">_xlfn.IFS(AI82&lt;=0, "No Profit", AI82&lt;=0.16,"Low Profit",AI82&lt;=0.32,"Medium Profit",AI82&gt;0.32,"High Profit")</f>
        <v>No Profit</v>
      </c>
      <c r="AK82" s="2">
        <v>3</v>
      </c>
      <c r="AL82" s="2">
        <v>179.97</v>
      </c>
      <c r="AM82" s="2">
        <v>152.97</v>
      </c>
      <c r="AN82" s="2">
        <v>-117.33</v>
      </c>
      <c r="AO82" s="2" t="s">
        <v>601</v>
      </c>
      <c r="AP82" s="2" t="s">
        <v>598</v>
      </c>
      <c r="AQ82" s="2" t="s">
        <v>127</v>
      </c>
      <c r="AR82" s="2" t="s">
        <v>81</v>
      </c>
      <c r="AS82" s="2">
        <v>365</v>
      </c>
      <c r="AT82" s="2">
        <v>17</v>
      </c>
      <c r="AU82" s="2" t="s">
        <v>421</v>
      </c>
      <c r="AV82" s="2">
        <v>59.99</v>
      </c>
      <c r="AW82" s="2">
        <v>0</v>
      </c>
      <c r="AX82" s="3">
        <v>42984.627083333333</v>
      </c>
      <c r="AY82" s="2" t="s">
        <v>162</v>
      </c>
      <c r="AZ82" s="4">
        <v>42892</v>
      </c>
      <c r="BA82" s="5">
        <v>0.62708333333333333</v>
      </c>
      <c r="BB82" s="2">
        <v>2017</v>
      </c>
      <c r="BC82" s="2" t="s">
        <v>474</v>
      </c>
      <c r="BD82" s="2">
        <v>6</v>
      </c>
      <c r="BE82" s="4">
        <v>42984</v>
      </c>
      <c r="BF82" s="5">
        <v>0.62708333333333333</v>
      </c>
      <c r="BG82" s="2" t="str" cm="1">
        <f t="array" ref="BG82">_xlfn.IFS(BF82&lt;TIMEVALUE("06:00"),"Night", BF82&gt;=TIMEVALUE("21:00"),"Night",BF82&gt;=TIMEVALUE("17:00"),"Evening",BF82&gt;=TIMEVALUE("12:00"),"Afternoon", BF82&gt;=TIMEVALUE("06:00"),"Morning")</f>
        <v>Afternoon</v>
      </c>
      <c r="BH82" s="2">
        <v>2017</v>
      </c>
      <c r="BI82" s="2" t="s">
        <v>552</v>
      </c>
      <c r="BJ82" s="2">
        <v>6</v>
      </c>
    </row>
    <row r="83" spans="1:62" x14ac:dyDescent="0.3">
      <c r="A83" s="2" t="s">
        <v>121</v>
      </c>
      <c r="B83" s="2">
        <v>4</v>
      </c>
      <c r="C83" s="2">
        <v>2</v>
      </c>
      <c r="D83" s="2">
        <v>47.88</v>
      </c>
      <c r="E83" s="2">
        <v>152.97</v>
      </c>
      <c r="F83" s="2" t="s">
        <v>87</v>
      </c>
      <c r="G83" s="2" t="s">
        <v>88</v>
      </c>
      <c r="H83" s="2">
        <v>17</v>
      </c>
      <c r="I83" s="2" t="s">
        <v>412</v>
      </c>
      <c r="J83" s="2" t="s">
        <v>66</v>
      </c>
      <c r="K83" s="2" t="s">
        <v>67</v>
      </c>
      <c r="L83" s="2" t="s">
        <v>611</v>
      </c>
      <c r="M83" s="2">
        <v>376</v>
      </c>
      <c r="N83" s="2" t="s">
        <v>612</v>
      </c>
      <c r="O83" s="2" t="s">
        <v>113</v>
      </c>
      <c r="P83" s="2" t="s">
        <v>71</v>
      </c>
      <c r="Q83" s="2" t="s">
        <v>613</v>
      </c>
      <c r="R83" s="2">
        <v>725</v>
      </c>
      <c r="S83" s="2">
        <v>4</v>
      </c>
      <c r="T83" s="2" t="s">
        <v>417</v>
      </c>
      <c r="U83" s="2">
        <v>18.2475433</v>
      </c>
      <c r="V83" s="2">
        <v>-66.025306700000002</v>
      </c>
      <c r="W83" s="2" t="s">
        <v>582</v>
      </c>
      <c r="X83" s="2" t="s">
        <v>614</v>
      </c>
      <c r="Y83" s="2" t="s">
        <v>615</v>
      </c>
      <c r="Z83" s="2">
        <v>376</v>
      </c>
      <c r="AA83" s="2" t="s">
        <v>616</v>
      </c>
      <c r="AB83" s="2">
        <v>53413</v>
      </c>
      <c r="AC83" s="2">
        <v>365</v>
      </c>
      <c r="AD83" s="2">
        <v>27</v>
      </c>
      <c r="AE83" s="2">
        <v>0.15</v>
      </c>
      <c r="AF83" s="2" t="str" cm="1">
        <f t="array" ref="AF83">_xlfn.IFS(AE83=0, "No Discount ", AE83&lt;=0.08,"Low Discount", AE83&lt;=0.16,"Medium Discount", AE83&gt;0.16, "High Discount")</f>
        <v>Medium Discount</v>
      </c>
      <c r="AG83" s="2">
        <v>133456</v>
      </c>
      <c r="AH83" s="2">
        <v>59.99</v>
      </c>
      <c r="AI83" s="2">
        <v>0.31</v>
      </c>
      <c r="AJ83" s="2" t="str" cm="1">
        <f t="array" ref="AJ83">_xlfn.IFS(AI83&lt;=0, "No Profit", AI83&lt;=0.16,"Low Profit",AI83&lt;=0.32,"Medium Profit",AI83&gt;0.32,"High Profit")</f>
        <v>Medium Profit</v>
      </c>
      <c r="AK83" s="2">
        <v>3</v>
      </c>
      <c r="AL83" s="2">
        <v>179.97</v>
      </c>
      <c r="AM83" s="2">
        <v>152.97</v>
      </c>
      <c r="AN83" s="2">
        <v>47.88</v>
      </c>
      <c r="AO83" s="2" t="s">
        <v>607</v>
      </c>
      <c r="AP83" s="2" t="s">
        <v>617</v>
      </c>
      <c r="AQ83" s="2" t="s">
        <v>127</v>
      </c>
      <c r="AR83" s="2" t="s">
        <v>81</v>
      </c>
      <c r="AS83" s="2">
        <v>365</v>
      </c>
      <c r="AT83" s="2">
        <v>17</v>
      </c>
      <c r="AU83" s="2" t="s">
        <v>421</v>
      </c>
      <c r="AV83" s="2">
        <v>59.99</v>
      </c>
      <c r="AW83" s="2">
        <v>0</v>
      </c>
      <c r="AX83" s="2" t="s">
        <v>618</v>
      </c>
      <c r="AY83" s="2" t="s">
        <v>162</v>
      </c>
      <c r="AZ83" s="4">
        <v>42784</v>
      </c>
      <c r="BA83" s="5">
        <v>0.69166666666666665</v>
      </c>
      <c r="BB83" s="2">
        <v>2017</v>
      </c>
      <c r="BC83" s="2" t="s">
        <v>423</v>
      </c>
      <c r="BD83" s="2">
        <v>18</v>
      </c>
      <c r="BE83" s="4">
        <v>42788</v>
      </c>
      <c r="BF83" s="5">
        <v>0.69166666666666665</v>
      </c>
      <c r="BG83" s="2" t="str" cm="1">
        <f t="array" ref="BG83">_xlfn.IFS(BF83&lt;TIMEVALUE("06:00"),"Night", BF83&gt;=TIMEVALUE("21:00"),"Night",BF83&gt;=TIMEVALUE("17:00"),"Evening",BF83&gt;=TIMEVALUE("12:00"),"Afternoon", BF83&gt;=TIMEVALUE("06:00"),"Morning")</f>
        <v>Afternoon</v>
      </c>
      <c r="BH83" s="2">
        <v>2017</v>
      </c>
      <c r="BI83" s="2" t="s">
        <v>423</v>
      </c>
      <c r="BJ83" s="2">
        <v>22</v>
      </c>
    </row>
    <row r="84" spans="1:62" x14ac:dyDescent="0.3">
      <c r="A84" s="2" t="s">
        <v>121</v>
      </c>
      <c r="B84" s="2">
        <v>4</v>
      </c>
      <c r="C84" s="2">
        <v>2</v>
      </c>
      <c r="D84" s="2">
        <v>72</v>
      </c>
      <c r="E84" s="2">
        <v>150</v>
      </c>
      <c r="F84" s="2" t="s">
        <v>87</v>
      </c>
      <c r="G84" s="2" t="s">
        <v>88</v>
      </c>
      <c r="H84" s="2">
        <v>24</v>
      </c>
      <c r="I84" s="2" t="s">
        <v>435</v>
      </c>
      <c r="J84" s="2" t="s">
        <v>66</v>
      </c>
      <c r="K84" s="2" t="s">
        <v>67</v>
      </c>
      <c r="L84" s="2" t="s">
        <v>456</v>
      </c>
      <c r="M84" s="2">
        <v>5417</v>
      </c>
      <c r="N84" s="2" t="s">
        <v>619</v>
      </c>
      <c r="O84" s="2" t="s">
        <v>113</v>
      </c>
      <c r="P84" s="2" t="s">
        <v>71</v>
      </c>
      <c r="Q84" s="2" t="s">
        <v>620</v>
      </c>
      <c r="R84" s="2">
        <v>725</v>
      </c>
      <c r="S84" s="2">
        <v>5</v>
      </c>
      <c r="T84" s="2" t="s">
        <v>427</v>
      </c>
      <c r="U84" s="2">
        <v>18.276737199999999</v>
      </c>
      <c r="V84" s="2">
        <v>-66.370552099999998</v>
      </c>
      <c r="W84" s="2" t="s">
        <v>582</v>
      </c>
      <c r="X84" s="2" t="s">
        <v>621</v>
      </c>
      <c r="Y84" s="2" t="s">
        <v>591</v>
      </c>
      <c r="Z84" s="2">
        <v>5417</v>
      </c>
      <c r="AA84" s="2" t="s">
        <v>622</v>
      </c>
      <c r="AB84" s="2">
        <v>7888</v>
      </c>
      <c r="AC84" s="2">
        <v>502</v>
      </c>
      <c r="AD84" s="2">
        <v>0</v>
      </c>
      <c r="AE84" s="2">
        <v>0</v>
      </c>
      <c r="AF84" s="2" t="str" cm="1">
        <f t="array" ref="AF84">_xlfn.IFS(AE84=0, "No Discount ", AE84&lt;=0.08,"Low Discount", AE84&lt;=0.16,"Medium Discount", AE84&gt;0.16, "High Discount")</f>
        <v xml:space="preserve">No Discount </v>
      </c>
      <c r="AG84" s="2">
        <v>19707</v>
      </c>
      <c r="AH84" s="2">
        <v>50</v>
      </c>
      <c r="AI84" s="2">
        <v>0.48</v>
      </c>
      <c r="AJ84" s="2" t="str" cm="1">
        <f t="array" ref="AJ84">_xlfn.IFS(AI84&lt;=0, "No Profit", AI84&lt;=0.16,"Low Profit",AI84&lt;=0.32,"Medium Profit",AI84&gt;0.32,"High Profit")</f>
        <v>High Profit</v>
      </c>
      <c r="AK84" s="2">
        <v>3</v>
      </c>
      <c r="AL84" s="2">
        <v>150</v>
      </c>
      <c r="AM84" s="2">
        <v>150</v>
      </c>
      <c r="AN84" s="2">
        <v>72</v>
      </c>
      <c r="AO84" s="2" t="s">
        <v>586</v>
      </c>
      <c r="AP84" s="2" t="s">
        <v>592</v>
      </c>
      <c r="AQ84" s="2" t="s">
        <v>127</v>
      </c>
      <c r="AR84" s="2" t="s">
        <v>81</v>
      </c>
      <c r="AS84" s="2">
        <v>502</v>
      </c>
      <c r="AT84" s="2">
        <v>24</v>
      </c>
      <c r="AU84" s="2" t="s">
        <v>442</v>
      </c>
      <c r="AV84" s="2">
        <v>50</v>
      </c>
      <c r="AW84" s="2">
        <v>0</v>
      </c>
      <c r="AX84" s="2" t="s">
        <v>623</v>
      </c>
      <c r="AY84" s="2" t="s">
        <v>162</v>
      </c>
      <c r="AZ84" s="4">
        <v>42120</v>
      </c>
      <c r="BA84" s="5">
        <v>0.13194444444444445</v>
      </c>
      <c r="BB84" s="2">
        <v>2015</v>
      </c>
      <c r="BC84" s="2" t="s">
        <v>487</v>
      </c>
      <c r="BD84" s="2">
        <v>26</v>
      </c>
      <c r="BE84" s="4">
        <v>42124</v>
      </c>
      <c r="BF84" s="5">
        <v>0.13194444444444445</v>
      </c>
      <c r="BG84" s="2" t="str" cm="1">
        <f t="array" ref="BG84">_xlfn.IFS(BF84&lt;TIMEVALUE("06:00"),"Night", BF84&gt;=TIMEVALUE("21:00"),"Night",BF84&gt;=TIMEVALUE("17:00"),"Evening",BF84&gt;=TIMEVALUE("12:00"),"Afternoon", BF84&gt;=TIMEVALUE("06:00"),"Morning")</f>
        <v>Night</v>
      </c>
      <c r="BH84" s="2">
        <v>2015</v>
      </c>
      <c r="BI84" s="2" t="s">
        <v>487</v>
      </c>
      <c r="BJ84" s="2">
        <v>30</v>
      </c>
    </row>
    <row r="85" spans="1:62" x14ac:dyDescent="0.3">
      <c r="A85" s="2" t="s">
        <v>121</v>
      </c>
      <c r="B85" s="2">
        <v>4</v>
      </c>
      <c r="C85" s="2">
        <v>2</v>
      </c>
      <c r="D85" s="2">
        <v>29.94</v>
      </c>
      <c r="E85" s="2">
        <v>115.17</v>
      </c>
      <c r="F85" s="2" t="s">
        <v>87</v>
      </c>
      <c r="G85" s="2" t="s">
        <v>88</v>
      </c>
      <c r="H85" s="2">
        <v>29</v>
      </c>
      <c r="I85" s="2" t="s">
        <v>424</v>
      </c>
      <c r="J85" s="2" t="s">
        <v>66</v>
      </c>
      <c r="K85" s="2" t="s">
        <v>67</v>
      </c>
      <c r="L85" s="2" t="s">
        <v>624</v>
      </c>
      <c r="M85" s="2">
        <v>10759</v>
      </c>
      <c r="N85" s="2" t="s">
        <v>425</v>
      </c>
      <c r="O85" s="2" t="s">
        <v>113</v>
      </c>
      <c r="P85" s="2" t="s">
        <v>71</v>
      </c>
      <c r="Q85" s="2" t="s">
        <v>625</v>
      </c>
      <c r="R85" s="2">
        <v>725</v>
      </c>
      <c r="S85" s="2">
        <v>5</v>
      </c>
      <c r="T85" s="2" t="s">
        <v>427</v>
      </c>
      <c r="U85" s="2">
        <v>18.296848300000001</v>
      </c>
      <c r="V85" s="2">
        <v>-66.370506300000002</v>
      </c>
      <c r="W85" s="2" t="s">
        <v>582</v>
      </c>
      <c r="X85" s="2" t="s">
        <v>626</v>
      </c>
      <c r="Y85" s="2" t="s">
        <v>627</v>
      </c>
      <c r="Z85" s="2">
        <v>10759</v>
      </c>
      <c r="AA85" s="3">
        <v>42281.001388888886</v>
      </c>
      <c r="AB85" s="2">
        <v>6783</v>
      </c>
      <c r="AC85" s="2">
        <v>627</v>
      </c>
      <c r="AD85" s="2">
        <v>4.8</v>
      </c>
      <c r="AE85" s="2">
        <v>0.04</v>
      </c>
      <c r="AF85" s="2" t="str" cm="1">
        <f t="array" ref="AF85">_xlfn.IFS(AE85=0, "No Discount ", AE85&lt;=0.08,"Low Discount", AE85&lt;=0.16,"Medium Discount", AE85&gt;0.16, "High Discount")</f>
        <v>Low Discount</v>
      </c>
      <c r="AG85" s="2">
        <v>16956</v>
      </c>
      <c r="AH85" s="2">
        <v>39.99</v>
      </c>
      <c r="AI85" s="2">
        <v>0.26</v>
      </c>
      <c r="AJ85" s="2" t="str" cm="1">
        <f t="array" ref="AJ85">_xlfn.IFS(AI85&lt;=0, "No Profit", AI85&lt;=0.16,"Low Profit",AI85&lt;=0.32,"Medium Profit",AI85&gt;0.32,"High Profit")</f>
        <v>Medium Profit</v>
      </c>
      <c r="AK85" s="2">
        <v>3</v>
      </c>
      <c r="AL85" s="2">
        <v>119.97</v>
      </c>
      <c r="AM85" s="2">
        <v>115.17</v>
      </c>
      <c r="AN85" s="2">
        <v>29.94</v>
      </c>
      <c r="AO85" s="2" t="s">
        <v>586</v>
      </c>
      <c r="AP85" s="2" t="s">
        <v>628</v>
      </c>
      <c r="AQ85" s="2" t="s">
        <v>127</v>
      </c>
      <c r="AR85" s="2" t="s">
        <v>81</v>
      </c>
      <c r="AS85" s="2">
        <v>627</v>
      </c>
      <c r="AT85" s="2">
        <v>29</v>
      </c>
      <c r="AU85" s="2" t="s">
        <v>432</v>
      </c>
      <c r="AV85" s="2">
        <v>39.99</v>
      </c>
      <c r="AW85" s="2">
        <v>0</v>
      </c>
      <c r="AX85" s="2" t="s">
        <v>629</v>
      </c>
      <c r="AY85" s="2" t="s">
        <v>162</v>
      </c>
      <c r="AZ85" s="4">
        <v>42281</v>
      </c>
      <c r="BA85" s="5">
        <v>1.3888888888888889E-3</v>
      </c>
      <c r="BB85" s="2">
        <v>2015</v>
      </c>
      <c r="BC85" s="2" t="s">
        <v>434</v>
      </c>
      <c r="BD85" s="2">
        <v>4</v>
      </c>
      <c r="BE85" s="4">
        <v>42108</v>
      </c>
      <c r="BF85" s="5">
        <v>1.3888888888888889E-3</v>
      </c>
      <c r="BG85" s="2" t="str" cm="1">
        <f t="array" ref="BG85">_xlfn.IFS(BF85&lt;TIMEVALUE("06:00"),"Night", BF85&gt;=TIMEVALUE("21:00"),"Night",BF85&gt;=TIMEVALUE("17:00"),"Evening",BF85&gt;=TIMEVALUE("12:00"),"Afternoon", BF85&gt;=TIMEVALUE("06:00"),"Morning")</f>
        <v>Night</v>
      </c>
      <c r="BH85" s="2">
        <v>2015</v>
      </c>
      <c r="BI85" s="2" t="s">
        <v>487</v>
      </c>
      <c r="BJ85" s="2">
        <v>14</v>
      </c>
    </row>
    <row r="86" spans="1:62" x14ac:dyDescent="0.3">
      <c r="A86" s="2" t="s">
        <v>121</v>
      </c>
      <c r="B86" s="2">
        <v>4</v>
      </c>
      <c r="C86" s="2">
        <v>2</v>
      </c>
      <c r="D86" s="2">
        <v>23.47</v>
      </c>
      <c r="E86" s="2">
        <v>144</v>
      </c>
      <c r="F86" s="2" t="s">
        <v>87</v>
      </c>
      <c r="G86" s="2" t="s">
        <v>88</v>
      </c>
      <c r="H86" s="2">
        <v>24</v>
      </c>
      <c r="I86" s="2" t="s">
        <v>435</v>
      </c>
      <c r="J86" s="2" t="s">
        <v>66</v>
      </c>
      <c r="K86" s="2" t="s">
        <v>67</v>
      </c>
      <c r="L86" s="2" t="s">
        <v>414</v>
      </c>
      <c r="M86" s="2">
        <v>8541</v>
      </c>
      <c r="N86" s="2" t="s">
        <v>425</v>
      </c>
      <c r="O86" s="2" t="s">
        <v>113</v>
      </c>
      <c r="P86" s="2" t="s">
        <v>71</v>
      </c>
      <c r="Q86" s="2" t="s">
        <v>630</v>
      </c>
      <c r="R86" s="2">
        <v>725</v>
      </c>
      <c r="S86" s="2">
        <v>5</v>
      </c>
      <c r="T86" s="2" t="s">
        <v>427</v>
      </c>
      <c r="U86" s="2">
        <v>18.296092999999999</v>
      </c>
      <c r="V86" s="2">
        <v>-66.370506300000002</v>
      </c>
      <c r="W86" s="2" t="s">
        <v>582</v>
      </c>
      <c r="X86" s="2" t="s">
        <v>631</v>
      </c>
      <c r="Y86" s="2" t="s">
        <v>632</v>
      </c>
      <c r="Z86" s="2">
        <v>8541</v>
      </c>
      <c r="AA86" s="3">
        <v>43043.65902777778</v>
      </c>
      <c r="AB86" s="2">
        <v>56973</v>
      </c>
      <c r="AC86" s="2">
        <v>502</v>
      </c>
      <c r="AD86" s="2">
        <v>6</v>
      </c>
      <c r="AE86" s="2">
        <v>0.04</v>
      </c>
      <c r="AF86" s="2" t="str" cm="1">
        <f t="array" ref="AF86">_xlfn.IFS(AE86=0, "No Discount ", AE86&lt;=0.08,"Low Discount", AE86&lt;=0.16,"Medium Discount", AE86&gt;0.16, "High Discount")</f>
        <v>Low Discount</v>
      </c>
      <c r="AG86" s="2">
        <v>142502</v>
      </c>
      <c r="AH86" s="2">
        <v>50</v>
      </c>
      <c r="AI86" s="2">
        <v>0.16</v>
      </c>
      <c r="AJ86" s="2" t="str" cm="1">
        <f t="array" ref="AJ86">_xlfn.IFS(AI86&lt;=0, "No Profit", AI86&lt;=0.16,"Low Profit",AI86&lt;=0.32,"Medium Profit",AI86&gt;0.32,"High Profit")</f>
        <v>Low Profit</v>
      </c>
      <c r="AK86" s="2">
        <v>3</v>
      </c>
      <c r="AL86" s="2">
        <v>150</v>
      </c>
      <c r="AM86" s="2">
        <v>144</v>
      </c>
      <c r="AN86" s="2">
        <v>23.47</v>
      </c>
      <c r="AO86" s="2" t="s">
        <v>607</v>
      </c>
      <c r="AP86" s="2" t="s">
        <v>633</v>
      </c>
      <c r="AQ86" s="2" t="s">
        <v>127</v>
      </c>
      <c r="AR86" s="2" t="s">
        <v>81</v>
      </c>
      <c r="AS86" s="2">
        <v>502</v>
      </c>
      <c r="AT86" s="2">
        <v>24</v>
      </c>
      <c r="AU86" s="2" t="s">
        <v>442</v>
      </c>
      <c r="AV86" s="2">
        <v>50</v>
      </c>
      <c r="AW86" s="2">
        <v>0</v>
      </c>
      <c r="AX86" s="2" t="s">
        <v>634</v>
      </c>
      <c r="AY86" s="2" t="s">
        <v>162</v>
      </c>
      <c r="AZ86" s="4">
        <v>43043</v>
      </c>
      <c r="BA86" s="5">
        <v>0.65902777777777777</v>
      </c>
      <c r="BB86" s="2">
        <v>2017</v>
      </c>
      <c r="BC86" s="2" t="s">
        <v>455</v>
      </c>
      <c r="BD86" s="2">
        <v>4</v>
      </c>
      <c r="BE86" s="4">
        <v>42840</v>
      </c>
      <c r="BF86" s="5">
        <v>0.65902777777777777</v>
      </c>
      <c r="BG86" s="2" t="str" cm="1">
        <f t="array" ref="BG86">_xlfn.IFS(BF86&lt;TIMEVALUE("06:00"),"Night", BF86&gt;=TIMEVALUE("21:00"),"Night",BF86&gt;=TIMEVALUE("17:00"),"Evening",BF86&gt;=TIMEVALUE("12:00"),"Afternoon", BF86&gt;=TIMEVALUE("06:00"),"Morning")</f>
        <v>Afternoon</v>
      </c>
      <c r="BH86" s="2">
        <v>2017</v>
      </c>
      <c r="BI86" s="2" t="s">
        <v>487</v>
      </c>
      <c r="BJ86" s="2">
        <v>15</v>
      </c>
    </row>
    <row r="87" spans="1:62" x14ac:dyDescent="0.3">
      <c r="A87" s="2" t="s">
        <v>121</v>
      </c>
      <c r="B87" s="2">
        <v>5</v>
      </c>
      <c r="C87" s="2">
        <v>2</v>
      </c>
      <c r="D87" s="2">
        <v>68.400000000000006</v>
      </c>
      <c r="E87" s="2">
        <v>142.5</v>
      </c>
      <c r="F87" s="2" t="s">
        <v>87</v>
      </c>
      <c r="G87" s="2" t="s">
        <v>88</v>
      </c>
      <c r="H87" s="2">
        <v>24</v>
      </c>
      <c r="I87" s="2" t="s">
        <v>435</v>
      </c>
      <c r="J87" s="2" t="s">
        <v>66</v>
      </c>
      <c r="K87" s="2" t="s">
        <v>67</v>
      </c>
      <c r="L87" s="2" t="s">
        <v>414</v>
      </c>
      <c r="M87" s="2">
        <v>10679</v>
      </c>
      <c r="N87" s="2" t="s">
        <v>425</v>
      </c>
      <c r="O87" s="2" t="s">
        <v>113</v>
      </c>
      <c r="P87" s="2" t="s">
        <v>71</v>
      </c>
      <c r="Q87" s="2" t="s">
        <v>597</v>
      </c>
      <c r="R87" s="2">
        <v>725</v>
      </c>
      <c r="S87" s="2">
        <v>5</v>
      </c>
      <c r="T87" s="2" t="s">
        <v>427</v>
      </c>
      <c r="U87" s="2">
        <v>18.2910805</v>
      </c>
      <c r="V87" s="2">
        <v>-66.370506300000002</v>
      </c>
      <c r="W87" s="2" t="s">
        <v>582</v>
      </c>
      <c r="X87" s="2" t="s">
        <v>598</v>
      </c>
      <c r="Y87" s="2" t="s">
        <v>599</v>
      </c>
      <c r="Z87" s="2">
        <v>10679</v>
      </c>
      <c r="AA87" s="2" t="s">
        <v>600</v>
      </c>
      <c r="AB87" s="2">
        <v>7824</v>
      </c>
      <c r="AC87" s="2">
        <v>502</v>
      </c>
      <c r="AD87" s="2">
        <v>7.5</v>
      </c>
      <c r="AE87" s="2">
        <v>0.05</v>
      </c>
      <c r="AF87" s="2" t="str" cm="1">
        <f t="array" ref="AF87">_xlfn.IFS(AE87=0, "No Discount ", AE87&lt;=0.08,"Low Discount", AE87&lt;=0.16,"Medium Discount", AE87&gt;0.16, "High Discount")</f>
        <v>Low Discount</v>
      </c>
      <c r="AG87" s="2">
        <v>19563</v>
      </c>
      <c r="AH87" s="2">
        <v>50</v>
      </c>
      <c r="AI87" s="2">
        <v>0.48</v>
      </c>
      <c r="AJ87" s="2" t="str" cm="1">
        <f t="array" ref="AJ87">_xlfn.IFS(AI87&lt;=0, "No Profit", AI87&lt;=0.16,"Low Profit",AI87&lt;=0.32,"Medium Profit",AI87&gt;0.32,"High Profit")</f>
        <v>High Profit</v>
      </c>
      <c r="AK87" s="2">
        <v>3</v>
      </c>
      <c r="AL87" s="2">
        <v>150</v>
      </c>
      <c r="AM87" s="2">
        <v>142.5</v>
      </c>
      <c r="AN87" s="2">
        <v>68.400000000000006</v>
      </c>
      <c r="AO87" s="2" t="s">
        <v>601</v>
      </c>
      <c r="AP87" s="2" t="s">
        <v>598</v>
      </c>
      <c r="AQ87" s="2" t="s">
        <v>127</v>
      </c>
      <c r="AR87" s="2" t="s">
        <v>81</v>
      </c>
      <c r="AS87" s="2">
        <v>502</v>
      </c>
      <c r="AT87" s="2">
        <v>24</v>
      </c>
      <c r="AU87" s="2" t="s">
        <v>442</v>
      </c>
      <c r="AV87" s="2">
        <v>50</v>
      </c>
      <c r="AW87" s="2">
        <v>0</v>
      </c>
      <c r="AX87" s="2" t="s">
        <v>602</v>
      </c>
      <c r="AY87" s="2" t="s">
        <v>162</v>
      </c>
      <c r="AZ87" s="4">
        <v>42119</v>
      </c>
      <c r="BA87" s="5">
        <v>0.19722222222222222</v>
      </c>
      <c r="BB87" s="2">
        <v>2015</v>
      </c>
      <c r="BC87" s="2" t="s">
        <v>487</v>
      </c>
      <c r="BD87" s="2">
        <v>25</v>
      </c>
      <c r="BE87" s="4">
        <v>42124</v>
      </c>
      <c r="BF87" s="5">
        <v>0.19722222222222222</v>
      </c>
      <c r="BG87" s="2" t="str" cm="1">
        <f t="array" ref="BG87">_xlfn.IFS(BF87&lt;TIMEVALUE("06:00"),"Night", BF87&gt;=TIMEVALUE("21:00"),"Night",BF87&gt;=TIMEVALUE("17:00"),"Evening",BF87&gt;=TIMEVALUE("12:00"),"Afternoon", BF87&gt;=TIMEVALUE("06:00"),"Morning")</f>
        <v>Night</v>
      </c>
      <c r="BH87" s="2">
        <v>2015</v>
      </c>
      <c r="BI87" s="2" t="s">
        <v>487</v>
      </c>
      <c r="BJ87" s="2">
        <v>30</v>
      </c>
    </row>
    <row r="88" spans="1:62" x14ac:dyDescent="0.3">
      <c r="A88" s="2" t="s">
        <v>121</v>
      </c>
      <c r="B88" s="2">
        <v>6</v>
      </c>
      <c r="C88" s="2">
        <v>2</v>
      </c>
      <c r="D88" s="2">
        <v>43.66</v>
      </c>
      <c r="E88" s="2">
        <v>139.5</v>
      </c>
      <c r="F88" s="2" t="s">
        <v>87</v>
      </c>
      <c r="G88" s="2" t="s">
        <v>88</v>
      </c>
      <c r="H88" s="2">
        <v>24</v>
      </c>
      <c r="I88" s="2" t="s">
        <v>435</v>
      </c>
      <c r="J88" s="2" t="s">
        <v>66</v>
      </c>
      <c r="K88" s="2" t="s">
        <v>67</v>
      </c>
      <c r="L88" s="2" t="s">
        <v>414</v>
      </c>
      <c r="M88" s="2">
        <v>3752</v>
      </c>
      <c r="N88" s="2" t="s">
        <v>635</v>
      </c>
      <c r="O88" s="2" t="s">
        <v>113</v>
      </c>
      <c r="P88" s="2" t="s">
        <v>71</v>
      </c>
      <c r="Q88" s="2" t="s">
        <v>636</v>
      </c>
      <c r="R88" s="2">
        <v>725</v>
      </c>
      <c r="S88" s="2">
        <v>5</v>
      </c>
      <c r="T88" s="2" t="s">
        <v>427</v>
      </c>
      <c r="U88" s="2">
        <v>18.210573199999999</v>
      </c>
      <c r="V88" s="2">
        <v>-66.370582600000006</v>
      </c>
      <c r="W88" s="2" t="s">
        <v>582</v>
      </c>
      <c r="X88" s="2" t="s">
        <v>637</v>
      </c>
      <c r="Y88" s="2" t="s">
        <v>638</v>
      </c>
      <c r="Z88" s="2">
        <v>3752</v>
      </c>
      <c r="AA88" s="2" t="s">
        <v>639</v>
      </c>
      <c r="AB88" s="2">
        <v>55155</v>
      </c>
      <c r="AC88" s="2">
        <v>502</v>
      </c>
      <c r="AD88" s="2">
        <v>10.5</v>
      </c>
      <c r="AE88" s="2">
        <v>7.0000000000000007E-2</v>
      </c>
      <c r="AF88" s="2" t="str" cm="1">
        <f t="array" ref="AF88">_xlfn.IFS(AE88=0, "No Discount ", AE88&lt;=0.08,"Low Discount", AE88&lt;=0.16,"Medium Discount", AE88&gt;0.16, "High Discount")</f>
        <v>Low Discount</v>
      </c>
      <c r="AG88" s="2">
        <v>137932</v>
      </c>
      <c r="AH88" s="2">
        <v>50</v>
      </c>
      <c r="AI88" s="2">
        <v>0.31</v>
      </c>
      <c r="AJ88" s="2" t="str" cm="1">
        <f t="array" ref="AJ88">_xlfn.IFS(AI88&lt;=0, "No Profit", AI88&lt;=0.16,"Low Profit",AI88&lt;=0.32,"Medium Profit",AI88&gt;0.32,"High Profit")</f>
        <v>Medium Profit</v>
      </c>
      <c r="AK88" s="2">
        <v>3</v>
      </c>
      <c r="AL88" s="2">
        <v>150</v>
      </c>
      <c r="AM88" s="2">
        <v>139.5</v>
      </c>
      <c r="AN88" s="2">
        <v>43.66</v>
      </c>
      <c r="AO88" s="2" t="s">
        <v>586</v>
      </c>
      <c r="AP88" s="2" t="s">
        <v>640</v>
      </c>
      <c r="AQ88" s="2" t="s">
        <v>127</v>
      </c>
      <c r="AR88" s="2" t="s">
        <v>81</v>
      </c>
      <c r="AS88" s="2">
        <v>502</v>
      </c>
      <c r="AT88" s="2">
        <v>24</v>
      </c>
      <c r="AU88" s="2" t="s">
        <v>442</v>
      </c>
      <c r="AV88" s="2">
        <v>50</v>
      </c>
      <c r="AW88" s="2">
        <v>0</v>
      </c>
      <c r="AX88" s="2" t="s">
        <v>641</v>
      </c>
      <c r="AY88" s="2" t="s">
        <v>162</v>
      </c>
      <c r="AZ88" s="4">
        <v>42810</v>
      </c>
      <c r="BA88" s="5">
        <v>0.12083333333333333</v>
      </c>
      <c r="BB88" s="2">
        <v>2017</v>
      </c>
      <c r="BC88" s="2" t="s">
        <v>85</v>
      </c>
      <c r="BD88" s="2">
        <v>16</v>
      </c>
      <c r="BE88" s="4">
        <v>42816</v>
      </c>
      <c r="BF88" s="5">
        <v>0.12083333333333333</v>
      </c>
      <c r="BG88" s="2" t="str" cm="1">
        <f t="array" ref="BG88">_xlfn.IFS(BF88&lt;TIMEVALUE("06:00"),"Night", BF88&gt;=TIMEVALUE("21:00"),"Night",BF88&gt;=TIMEVALUE("17:00"),"Evening",BF88&gt;=TIMEVALUE("12:00"),"Afternoon", BF88&gt;=TIMEVALUE("06:00"),"Morning")</f>
        <v>Night</v>
      </c>
      <c r="BH88" s="2">
        <v>2017</v>
      </c>
      <c r="BI88" s="2" t="s">
        <v>85</v>
      </c>
      <c r="BJ88" s="2">
        <v>22</v>
      </c>
    </row>
    <row r="89" spans="1:62" x14ac:dyDescent="0.3">
      <c r="A89" s="2" t="s">
        <v>121</v>
      </c>
      <c r="B89" s="2">
        <v>2</v>
      </c>
      <c r="C89" s="2">
        <v>2</v>
      </c>
      <c r="D89" s="2">
        <v>13.2</v>
      </c>
      <c r="E89" s="2">
        <v>132</v>
      </c>
      <c r="F89" s="2" t="s">
        <v>100</v>
      </c>
      <c r="G89" s="2" t="s">
        <v>64</v>
      </c>
      <c r="H89" s="2">
        <v>24</v>
      </c>
      <c r="I89" s="2" t="s">
        <v>435</v>
      </c>
      <c r="J89" s="2" t="s">
        <v>66</v>
      </c>
      <c r="K89" s="2" t="s">
        <v>67</v>
      </c>
      <c r="L89" s="2" t="s">
        <v>642</v>
      </c>
      <c r="M89" s="2">
        <v>4673</v>
      </c>
      <c r="N89" s="2" t="s">
        <v>643</v>
      </c>
      <c r="O89" s="2" t="s">
        <v>113</v>
      </c>
      <c r="P89" s="2" t="s">
        <v>71</v>
      </c>
      <c r="Q89" s="2" t="s">
        <v>644</v>
      </c>
      <c r="R89" s="2">
        <v>725</v>
      </c>
      <c r="S89" s="2">
        <v>5</v>
      </c>
      <c r="T89" s="2" t="s">
        <v>427</v>
      </c>
      <c r="U89" s="2">
        <v>18.201116599999999</v>
      </c>
      <c r="V89" s="2">
        <v>-66.370590199999995</v>
      </c>
      <c r="W89" s="2" t="s">
        <v>582</v>
      </c>
      <c r="X89" s="2" t="s">
        <v>645</v>
      </c>
      <c r="Y89" s="2" t="s">
        <v>638</v>
      </c>
      <c r="Z89" s="2">
        <v>4673</v>
      </c>
      <c r="AA89" s="2" t="s">
        <v>646</v>
      </c>
      <c r="AB89" s="2">
        <v>5991</v>
      </c>
      <c r="AC89" s="2">
        <v>502</v>
      </c>
      <c r="AD89" s="2">
        <v>18</v>
      </c>
      <c r="AE89" s="2">
        <v>0.12</v>
      </c>
      <c r="AF89" s="2" t="str" cm="1">
        <f t="array" ref="AF89">_xlfn.IFS(AE89=0, "No Discount ", AE89&lt;=0.08,"Low Discount", AE89&lt;=0.16,"Medium Discount", AE89&gt;0.16, "High Discount")</f>
        <v>Medium Discount</v>
      </c>
      <c r="AG89" s="2">
        <v>14921</v>
      </c>
      <c r="AH89" s="2">
        <v>50</v>
      </c>
      <c r="AI89" s="2">
        <v>0.1</v>
      </c>
      <c r="AJ89" s="2" t="str" cm="1">
        <f t="array" ref="AJ89">_xlfn.IFS(AI89&lt;=0, "No Profit", AI89&lt;=0.16,"Low Profit",AI89&lt;=0.32,"Medium Profit",AI89&gt;0.32,"High Profit")</f>
        <v>Low Profit</v>
      </c>
      <c r="AK89" s="2">
        <v>3</v>
      </c>
      <c r="AL89" s="2">
        <v>150</v>
      </c>
      <c r="AM89" s="2">
        <v>132</v>
      </c>
      <c r="AN89" s="2">
        <v>13.2</v>
      </c>
      <c r="AO89" s="2" t="s">
        <v>586</v>
      </c>
      <c r="AP89" s="2" t="s">
        <v>647</v>
      </c>
      <c r="AQ89" s="2" t="s">
        <v>127</v>
      </c>
      <c r="AR89" s="2" t="s">
        <v>81</v>
      </c>
      <c r="AS89" s="2">
        <v>502</v>
      </c>
      <c r="AT89" s="2">
        <v>24</v>
      </c>
      <c r="AU89" s="2" t="s">
        <v>442</v>
      </c>
      <c r="AV89" s="2">
        <v>50</v>
      </c>
      <c r="AW89" s="2">
        <v>0</v>
      </c>
      <c r="AX89" s="2" t="s">
        <v>648</v>
      </c>
      <c r="AY89" s="2" t="s">
        <v>162</v>
      </c>
      <c r="AZ89" s="4">
        <v>42092</v>
      </c>
      <c r="BA89" s="5">
        <v>0.43958333333333333</v>
      </c>
      <c r="BB89" s="2">
        <v>2015</v>
      </c>
      <c r="BC89" s="2" t="s">
        <v>85</v>
      </c>
      <c r="BD89" s="2">
        <v>29</v>
      </c>
      <c r="BE89" s="4">
        <v>42094</v>
      </c>
      <c r="BF89" s="5">
        <v>0.43958333333333333</v>
      </c>
      <c r="BG89" s="2" t="str" cm="1">
        <f t="array" ref="BG89">_xlfn.IFS(BF89&lt;TIMEVALUE("06:00"),"Night", BF89&gt;=TIMEVALUE("21:00"),"Night",BF89&gt;=TIMEVALUE("17:00"),"Evening",BF89&gt;=TIMEVALUE("12:00"),"Afternoon", BF89&gt;=TIMEVALUE("06:00"),"Morning")</f>
        <v>Morning</v>
      </c>
      <c r="BH89" s="2">
        <v>2015</v>
      </c>
      <c r="BI89" s="2" t="s">
        <v>85</v>
      </c>
      <c r="BJ89" s="2">
        <v>31</v>
      </c>
    </row>
    <row r="90" spans="1:62" x14ac:dyDescent="0.3">
      <c r="A90" s="2" t="s">
        <v>121</v>
      </c>
      <c r="B90" s="2">
        <v>4</v>
      </c>
      <c r="C90" s="2">
        <v>2</v>
      </c>
      <c r="D90" s="2">
        <v>46.2</v>
      </c>
      <c r="E90" s="2">
        <v>132</v>
      </c>
      <c r="F90" s="2" t="s">
        <v>87</v>
      </c>
      <c r="G90" s="2" t="s">
        <v>88</v>
      </c>
      <c r="H90" s="2">
        <v>24</v>
      </c>
      <c r="I90" s="2" t="s">
        <v>435</v>
      </c>
      <c r="J90" s="2" t="s">
        <v>66</v>
      </c>
      <c r="K90" s="2" t="s">
        <v>67</v>
      </c>
      <c r="L90" s="2" t="s">
        <v>414</v>
      </c>
      <c r="M90" s="2">
        <v>5367</v>
      </c>
      <c r="N90" s="2" t="s">
        <v>649</v>
      </c>
      <c r="O90" s="2" t="s">
        <v>113</v>
      </c>
      <c r="P90" s="2" t="s">
        <v>71</v>
      </c>
      <c r="Q90" s="2" t="s">
        <v>650</v>
      </c>
      <c r="R90" s="2">
        <v>725</v>
      </c>
      <c r="S90" s="2">
        <v>5</v>
      </c>
      <c r="T90" s="2" t="s">
        <v>427</v>
      </c>
      <c r="U90" s="2">
        <v>18.214691200000001</v>
      </c>
      <c r="V90" s="2">
        <v>-66.370513900000006</v>
      </c>
      <c r="W90" s="2" t="s">
        <v>582</v>
      </c>
      <c r="X90" s="2" t="s">
        <v>651</v>
      </c>
      <c r="Y90" s="2" t="s">
        <v>638</v>
      </c>
      <c r="Z90" s="2">
        <v>5367</v>
      </c>
      <c r="AA90" s="3">
        <v>42065.019444444442</v>
      </c>
      <c r="AB90" s="2">
        <v>2263</v>
      </c>
      <c r="AC90" s="2">
        <v>502</v>
      </c>
      <c r="AD90" s="2">
        <v>18</v>
      </c>
      <c r="AE90" s="2">
        <v>0.12</v>
      </c>
      <c r="AF90" s="2" t="str" cm="1">
        <f t="array" ref="AF90">_xlfn.IFS(AE90=0, "No Discount ", AE90&lt;=0.08,"Low Discount", AE90&lt;=0.16,"Medium Discount", AE90&gt;0.16, "High Discount")</f>
        <v>Medium Discount</v>
      </c>
      <c r="AG90" s="2">
        <v>5671</v>
      </c>
      <c r="AH90" s="2">
        <v>50</v>
      </c>
      <c r="AI90" s="2">
        <v>0.35</v>
      </c>
      <c r="AJ90" s="2" t="str" cm="1">
        <f t="array" ref="AJ90">_xlfn.IFS(AI90&lt;=0, "No Profit", AI90&lt;=0.16,"Low Profit",AI90&lt;=0.32,"Medium Profit",AI90&gt;0.32,"High Profit")</f>
        <v>High Profit</v>
      </c>
      <c r="AK90" s="2">
        <v>3</v>
      </c>
      <c r="AL90" s="2">
        <v>150</v>
      </c>
      <c r="AM90" s="2">
        <v>132</v>
      </c>
      <c r="AN90" s="2">
        <v>46.2</v>
      </c>
      <c r="AO90" s="2" t="s">
        <v>586</v>
      </c>
      <c r="AP90" s="2" t="s">
        <v>651</v>
      </c>
      <c r="AQ90" s="2" t="s">
        <v>127</v>
      </c>
      <c r="AR90" s="2" t="s">
        <v>81</v>
      </c>
      <c r="AS90" s="2">
        <v>502</v>
      </c>
      <c r="AT90" s="2">
        <v>24</v>
      </c>
      <c r="AU90" s="2" t="s">
        <v>442</v>
      </c>
      <c r="AV90" s="2">
        <v>50</v>
      </c>
      <c r="AW90" s="2">
        <v>0</v>
      </c>
      <c r="AX90" s="3">
        <v>42187.019444444442</v>
      </c>
      <c r="AY90" s="2" t="s">
        <v>162</v>
      </c>
      <c r="AZ90" s="4">
        <v>42065</v>
      </c>
      <c r="BA90" s="5">
        <v>1.9444444444444445E-2</v>
      </c>
      <c r="BB90" s="2">
        <v>2015</v>
      </c>
      <c r="BC90" s="2" t="s">
        <v>85</v>
      </c>
      <c r="BD90" s="2">
        <v>2</v>
      </c>
      <c r="BE90" s="4">
        <v>42187</v>
      </c>
      <c r="BF90" s="5">
        <v>1.9444444444444445E-2</v>
      </c>
      <c r="BG90" s="2" t="str" cm="1">
        <f t="array" ref="BG90">_xlfn.IFS(BF90&lt;TIMEVALUE("06:00"),"Night", BF90&gt;=TIMEVALUE("21:00"),"Night",BF90&gt;=TIMEVALUE("17:00"),"Evening",BF90&gt;=TIMEVALUE("12:00"),"Afternoon", BF90&gt;=TIMEVALUE("06:00"),"Morning")</f>
        <v>Night</v>
      </c>
      <c r="BH90" s="2">
        <v>2015</v>
      </c>
      <c r="BI90" s="2" t="s">
        <v>533</v>
      </c>
      <c r="BJ90" s="2">
        <v>2</v>
      </c>
    </row>
    <row r="91" spans="1:62" x14ac:dyDescent="0.3">
      <c r="A91" s="2" t="s">
        <v>121</v>
      </c>
      <c r="B91" s="2">
        <v>4</v>
      </c>
      <c r="C91" s="2">
        <v>2</v>
      </c>
      <c r="D91" s="2">
        <v>10.44</v>
      </c>
      <c r="E91" s="2">
        <v>130.5</v>
      </c>
      <c r="F91" s="2" t="s">
        <v>87</v>
      </c>
      <c r="G91" s="2" t="s">
        <v>88</v>
      </c>
      <c r="H91" s="2">
        <v>24</v>
      </c>
      <c r="I91" s="2" t="s">
        <v>435</v>
      </c>
      <c r="J91" s="2" t="s">
        <v>66</v>
      </c>
      <c r="K91" s="2" t="s">
        <v>67</v>
      </c>
      <c r="L91" s="2" t="s">
        <v>414</v>
      </c>
      <c r="M91" s="2">
        <v>5367</v>
      </c>
      <c r="N91" s="2" t="s">
        <v>649</v>
      </c>
      <c r="O91" s="2" t="s">
        <v>113</v>
      </c>
      <c r="P91" s="2" t="s">
        <v>71</v>
      </c>
      <c r="Q91" s="2" t="s">
        <v>650</v>
      </c>
      <c r="R91" s="2">
        <v>725</v>
      </c>
      <c r="S91" s="2">
        <v>5</v>
      </c>
      <c r="T91" s="2" t="s">
        <v>427</v>
      </c>
      <c r="U91" s="2">
        <v>18.214691200000001</v>
      </c>
      <c r="V91" s="2">
        <v>-66.370513900000006</v>
      </c>
      <c r="W91" s="2" t="s">
        <v>582</v>
      </c>
      <c r="X91" s="2" t="s">
        <v>651</v>
      </c>
      <c r="Y91" s="2" t="s">
        <v>638</v>
      </c>
      <c r="Z91" s="2">
        <v>5367</v>
      </c>
      <c r="AA91" s="3">
        <v>42065.019444444442</v>
      </c>
      <c r="AB91" s="2">
        <v>2263</v>
      </c>
      <c r="AC91" s="2">
        <v>502</v>
      </c>
      <c r="AD91" s="2">
        <v>19.5</v>
      </c>
      <c r="AE91" s="2">
        <v>0.13</v>
      </c>
      <c r="AF91" s="2" t="str" cm="1">
        <f t="array" ref="AF91">_xlfn.IFS(AE91=0, "No Discount ", AE91&lt;=0.08,"Low Discount", AE91&lt;=0.16,"Medium Discount", AE91&gt;0.16, "High Discount")</f>
        <v>Medium Discount</v>
      </c>
      <c r="AG91" s="2">
        <v>5669</v>
      </c>
      <c r="AH91" s="2">
        <v>50</v>
      </c>
      <c r="AI91" s="2">
        <v>0.08</v>
      </c>
      <c r="AJ91" s="2" t="str" cm="1">
        <f t="array" ref="AJ91">_xlfn.IFS(AI91&lt;=0, "No Profit", AI91&lt;=0.16,"Low Profit",AI91&lt;=0.32,"Medium Profit",AI91&gt;0.32,"High Profit")</f>
        <v>Low Profit</v>
      </c>
      <c r="AK91" s="2">
        <v>3</v>
      </c>
      <c r="AL91" s="2">
        <v>150</v>
      </c>
      <c r="AM91" s="2">
        <v>130.5</v>
      </c>
      <c r="AN91" s="2">
        <v>10.44</v>
      </c>
      <c r="AO91" s="2" t="s">
        <v>586</v>
      </c>
      <c r="AP91" s="2" t="s">
        <v>651</v>
      </c>
      <c r="AQ91" s="2" t="s">
        <v>127</v>
      </c>
      <c r="AR91" s="2" t="s">
        <v>81</v>
      </c>
      <c r="AS91" s="2">
        <v>502</v>
      </c>
      <c r="AT91" s="2">
        <v>24</v>
      </c>
      <c r="AU91" s="2" t="s">
        <v>442</v>
      </c>
      <c r="AV91" s="2">
        <v>50</v>
      </c>
      <c r="AW91" s="2">
        <v>0</v>
      </c>
      <c r="AX91" s="3">
        <v>42187.019444444442</v>
      </c>
      <c r="AY91" s="2" t="s">
        <v>162</v>
      </c>
      <c r="AZ91" s="4">
        <v>42065</v>
      </c>
      <c r="BA91" s="5">
        <v>1.9444444444444445E-2</v>
      </c>
      <c r="BB91" s="2">
        <v>2015</v>
      </c>
      <c r="BC91" s="2" t="s">
        <v>85</v>
      </c>
      <c r="BD91" s="2">
        <v>2</v>
      </c>
      <c r="BE91" s="4">
        <v>42187</v>
      </c>
      <c r="BF91" s="5">
        <v>1.9444444444444445E-2</v>
      </c>
      <c r="BG91" s="2" t="str" cm="1">
        <f t="array" ref="BG91">_xlfn.IFS(BF91&lt;TIMEVALUE("06:00"),"Night", BF91&gt;=TIMEVALUE("21:00"),"Night",BF91&gt;=TIMEVALUE("17:00"),"Evening",BF91&gt;=TIMEVALUE("12:00"),"Afternoon", BF91&gt;=TIMEVALUE("06:00"),"Morning")</f>
        <v>Night</v>
      </c>
      <c r="BH91" s="2">
        <v>2015</v>
      </c>
      <c r="BI91" s="2" t="s">
        <v>533</v>
      </c>
      <c r="BJ91" s="2">
        <v>2</v>
      </c>
    </row>
    <row r="92" spans="1:62" x14ac:dyDescent="0.3">
      <c r="A92" s="2" t="s">
        <v>121</v>
      </c>
      <c r="B92" s="2">
        <v>4</v>
      </c>
      <c r="C92" s="2">
        <v>2</v>
      </c>
      <c r="D92" s="2">
        <v>15.56</v>
      </c>
      <c r="E92" s="2">
        <v>124.5</v>
      </c>
      <c r="F92" s="2" t="s">
        <v>87</v>
      </c>
      <c r="G92" s="2" t="s">
        <v>88</v>
      </c>
      <c r="H92" s="2">
        <v>24</v>
      </c>
      <c r="I92" s="2" t="s">
        <v>435</v>
      </c>
      <c r="J92" s="2" t="s">
        <v>66</v>
      </c>
      <c r="K92" s="2" t="s">
        <v>67</v>
      </c>
      <c r="L92" s="2" t="s">
        <v>414</v>
      </c>
      <c r="M92" s="2">
        <v>10485</v>
      </c>
      <c r="N92" s="2" t="s">
        <v>425</v>
      </c>
      <c r="O92" s="2" t="s">
        <v>113</v>
      </c>
      <c r="P92" s="2" t="s">
        <v>71</v>
      </c>
      <c r="Q92" s="2" t="s">
        <v>652</v>
      </c>
      <c r="R92" s="2">
        <v>725</v>
      </c>
      <c r="S92" s="2">
        <v>5</v>
      </c>
      <c r="T92" s="2" t="s">
        <v>427</v>
      </c>
      <c r="U92" s="2">
        <v>18.284255999999999</v>
      </c>
      <c r="V92" s="2">
        <v>-66.370582600000006</v>
      </c>
      <c r="W92" s="2" t="s">
        <v>582</v>
      </c>
      <c r="X92" s="2" t="s">
        <v>637</v>
      </c>
      <c r="Y92" s="2" t="s">
        <v>638</v>
      </c>
      <c r="Z92" s="2">
        <v>10485</v>
      </c>
      <c r="AA92" s="2" t="s">
        <v>653</v>
      </c>
      <c r="AB92" s="2">
        <v>53403</v>
      </c>
      <c r="AC92" s="2">
        <v>502</v>
      </c>
      <c r="AD92" s="2">
        <v>25.5</v>
      </c>
      <c r="AE92" s="2">
        <v>0.17</v>
      </c>
      <c r="AF92" s="2" t="str" cm="1">
        <f t="array" ref="AF92">_xlfn.IFS(AE92=0, "No Discount ", AE92&lt;=0.08,"Low Discount", AE92&lt;=0.16,"Medium Discount", AE92&gt;0.16, "High Discount")</f>
        <v>High Discount</v>
      </c>
      <c r="AG92" s="2">
        <v>133427</v>
      </c>
      <c r="AH92" s="2">
        <v>50</v>
      </c>
      <c r="AI92" s="2">
        <v>0.13</v>
      </c>
      <c r="AJ92" s="2" t="str" cm="1">
        <f t="array" ref="AJ92">_xlfn.IFS(AI92&lt;=0, "No Profit", AI92&lt;=0.16,"Low Profit",AI92&lt;=0.32,"Medium Profit",AI92&gt;0.32,"High Profit")</f>
        <v>Low Profit</v>
      </c>
      <c r="AK92" s="2">
        <v>3</v>
      </c>
      <c r="AL92" s="2">
        <v>150</v>
      </c>
      <c r="AM92" s="2">
        <v>124.5</v>
      </c>
      <c r="AN92" s="2">
        <v>15.56</v>
      </c>
      <c r="AO92" s="2" t="s">
        <v>586</v>
      </c>
      <c r="AP92" s="2" t="s">
        <v>640</v>
      </c>
      <c r="AQ92" s="2" t="s">
        <v>127</v>
      </c>
      <c r="AR92" s="2" t="s">
        <v>81</v>
      </c>
      <c r="AS92" s="2">
        <v>502</v>
      </c>
      <c r="AT92" s="2">
        <v>24</v>
      </c>
      <c r="AU92" s="2" t="s">
        <v>442</v>
      </c>
      <c r="AV92" s="2">
        <v>50</v>
      </c>
      <c r="AW92" s="2">
        <v>0</v>
      </c>
      <c r="AX92" s="2" t="s">
        <v>654</v>
      </c>
      <c r="AY92" s="2" t="s">
        <v>162</v>
      </c>
      <c r="AZ92" s="4">
        <v>42784</v>
      </c>
      <c r="BA92" s="5">
        <v>0.54513888888888884</v>
      </c>
      <c r="BB92" s="2">
        <v>2017</v>
      </c>
      <c r="BC92" s="2" t="s">
        <v>423</v>
      </c>
      <c r="BD92" s="2">
        <v>18</v>
      </c>
      <c r="BE92" s="4">
        <v>42788</v>
      </c>
      <c r="BF92" s="5">
        <v>0.54513888888888884</v>
      </c>
      <c r="BG92" s="2" t="str" cm="1">
        <f t="array" ref="BG92">_xlfn.IFS(BF92&lt;TIMEVALUE("06:00"),"Night", BF92&gt;=TIMEVALUE("21:00"),"Night",BF92&gt;=TIMEVALUE("17:00"),"Evening",BF92&gt;=TIMEVALUE("12:00"),"Afternoon", BF92&gt;=TIMEVALUE("06:00"),"Morning")</f>
        <v>Afternoon</v>
      </c>
      <c r="BH92" s="2">
        <v>2017</v>
      </c>
      <c r="BI92" s="2" t="s">
        <v>423</v>
      </c>
      <c r="BJ92" s="2">
        <v>22</v>
      </c>
    </row>
    <row r="93" spans="1:62" x14ac:dyDescent="0.3">
      <c r="A93" s="2" t="s">
        <v>121</v>
      </c>
      <c r="B93" s="2">
        <v>4</v>
      </c>
      <c r="C93" s="2">
        <v>2</v>
      </c>
      <c r="D93" s="2">
        <v>32.86</v>
      </c>
      <c r="E93" s="2">
        <v>99.58</v>
      </c>
      <c r="F93" s="2" t="s">
        <v>87</v>
      </c>
      <c r="G93" s="2" t="s">
        <v>88</v>
      </c>
      <c r="H93" s="2">
        <v>29</v>
      </c>
      <c r="I93" s="2" t="s">
        <v>424</v>
      </c>
      <c r="J93" s="2" t="s">
        <v>66</v>
      </c>
      <c r="K93" s="2" t="s">
        <v>67</v>
      </c>
      <c r="L93" s="2" t="s">
        <v>655</v>
      </c>
      <c r="M93" s="2">
        <v>9272</v>
      </c>
      <c r="N93" s="2" t="s">
        <v>656</v>
      </c>
      <c r="O93" s="2" t="s">
        <v>113</v>
      </c>
      <c r="P93" s="2" t="s">
        <v>71</v>
      </c>
      <c r="Q93" s="2" t="s">
        <v>657</v>
      </c>
      <c r="R93" s="2">
        <v>725</v>
      </c>
      <c r="S93" s="2">
        <v>5</v>
      </c>
      <c r="T93" s="2" t="s">
        <v>427</v>
      </c>
      <c r="U93" s="2">
        <v>18.2066689</v>
      </c>
      <c r="V93" s="2">
        <v>-66.370567300000005</v>
      </c>
      <c r="W93" s="2" t="s">
        <v>582</v>
      </c>
      <c r="X93" s="2" t="s">
        <v>658</v>
      </c>
      <c r="Y93" s="2" t="s">
        <v>632</v>
      </c>
      <c r="Z93" s="2">
        <v>9272</v>
      </c>
      <c r="AA93" s="2" t="s">
        <v>659</v>
      </c>
      <c r="AB93" s="2">
        <v>51298</v>
      </c>
      <c r="AC93" s="2">
        <v>627</v>
      </c>
      <c r="AD93" s="2">
        <v>20.39</v>
      </c>
      <c r="AE93" s="2">
        <v>0.17</v>
      </c>
      <c r="AF93" s="2" t="str" cm="1">
        <f t="array" ref="AF93">_xlfn.IFS(AE93=0, "No Discount ", AE93&lt;=0.08,"Low Discount", AE93&lt;=0.16,"Medium Discount", AE93&gt;0.16, "High Discount")</f>
        <v>High Discount</v>
      </c>
      <c r="AG93" s="2">
        <v>128201</v>
      </c>
      <c r="AH93" s="2">
        <v>39.99</v>
      </c>
      <c r="AI93" s="2">
        <v>0.33</v>
      </c>
      <c r="AJ93" s="2" t="str" cm="1">
        <f t="array" ref="AJ93">_xlfn.IFS(AI93&lt;=0, "No Profit", AI93&lt;=0.16,"Low Profit",AI93&lt;=0.32,"Medium Profit",AI93&gt;0.32,"High Profit")</f>
        <v>High Profit</v>
      </c>
      <c r="AK93" s="2">
        <v>3</v>
      </c>
      <c r="AL93" s="2">
        <v>119.97</v>
      </c>
      <c r="AM93" s="2">
        <v>99.58</v>
      </c>
      <c r="AN93" s="2">
        <v>32.86</v>
      </c>
      <c r="AO93" s="2" t="s">
        <v>607</v>
      </c>
      <c r="AP93" s="2" t="s">
        <v>658</v>
      </c>
      <c r="AQ93" s="2" t="s">
        <v>127</v>
      </c>
      <c r="AR93" s="2" t="s">
        <v>81</v>
      </c>
      <c r="AS93" s="2">
        <v>627</v>
      </c>
      <c r="AT93" s="2">
        <v>29</v>
      </c>
      <c r="AU93" s="2" t="s">
        <v>432</v>
      </c>
      <c r="AV93" s="2">
        <v>39.99</v>
      </c>
      <c r="AW93" s="2">
        <v>0</v>
      </c>
      <c r="AX93" s="2" t="s">
        <v>660</v>
      </c>
      <c r="AY93" s="2" t="s">
        <v>162</v>
      </c>
      <c r="AZ93" s="4">
        <v>42753</v>
      </c>
      <c r="BA93" s="5">
        <v>0.81736111111111109</v>
      </c>
      <c r="BB93" s="2">
        <v>2017</v>
      </c>
      <c r="BC93" s="2" t="s">
        <v>84</v>
      </c>
      <c r="BD93" s="2">
        <v>18</v>
      </c>
      <c r="BE93" s="4">
        <v>42757</v>
      </c>
      <c r="BF93" s="5">
        <v>0.81736111111111109</v>
      </c>
      <c r="BG93" s="2" t="str" cm="1">
        <f t="array" ref="BG93">_xlfn.IFS(BF93&lt;TIMEVALUE("06:00"),"Night", BF93&gt;=TIMEVALUE("21:00"),"Night",BF93&gt;=TIMEVALUE("17:00"),"Evening",BF93&gt;=TIMEVALUE("12:00"),"Afternoon", BF93&gt;=TIMEVALUE("06:00"),"Morning")</f>
        <v>Evening</v>
      </c>
      <c r="BH93" s="2">
        <v>2017</v>
      </c>
      <c r="BI93" s="2" t="s">
        <v>84</v>
      </c>
      <c r="BJ93" s="2">
        <v>22</v>
      </c>
    </row>
    <row r="94" spans="1:62" x14ac:dyDescent="0.3">
      <c r="A94" s="2" t="s">
        <v>86</v>
      </c>
      <c r="B94" s="2">
        <v>5</v>
      </c>
      <c r="C94" s="2">
        <v>4</v>
      </c>
      <c r="D94" s="2">
        <v>9.6</v>
      </c>
      <c r="E94" s="2">
        <v>240</v>
      </c>
      <c r="F94" s="2" t="s">
        <v>87</v>
      </c>
      <c r="G94" s="2" t="s">
        <v>88</v>
      </c>
      <c r="H94" s="2">
        <v>24</v>
      </c>
      <c r="I94" s="2" t="s">
        <v>435</v>
      </c>
      <c r="J94" s="2" t="s">
        <v>66</v>
      </c>
      <c r="K94" s="2" t="s">
        <v>67</v>
      </c>
      <c r="L94" s="2" t="s">
        <v>414</v>
      </c>
      <c r="M94" s="2">
        <v>647</v>
      </c>
      <c r="N94" s="2" t="s">
        <v>661</v>
      </c>
      <c r="O94" s="2" t="s">
        <v>70</v>
      </c>
      <c r="P94" s="2" t="s">
        <v>71</v>
      </c>
      <c r="Q94" s="2" t="s">
        <v>662</v>
      </c>
      <c r="R94" s="2">
        <v>725</v>
      </c>
      <c r="S94" s="2">
        <v>5</v>
      </c>
      <c r="T94" s="2" t="s">
        <v>427</v>
      </c>
      <c r="U94" s="2">
        <v>18.359075600000001</v>
      </c>
      <c r="V94" s="2">
        <v>-66.077835100000001</v>
      </c>
      <c r="W94" s="2" t="s">
        <v>582</v>
      </c>
      <c r="X94" s="2" t="s">
        <v>663</v>
      </c>
      <c r="Y94" s="2" t="s">
        <v>664</v>
      </c>
      <c r="Z94" s="2">
        <v>647</v>
      </c>
      <c r="AA94" s="2" t="s">
        <v>665</v>
      </c>
      <c r="AB94" s="2">
        <v>4919</v>
      </c>
      <c r="AC94" s="2">
        <v>502</v>
      </c>
      <c r="AD94" s="2">
        <v>10</v>
      </c>
      <c r="AE94" s="2">
        <v>0.04</v>
      </c>
      <c r="AF94" s="2" t="str" cm="1">
        <f t="array" ref="AF94">_xlfn.IFS(AE94=0, "No Discount ", AE94&lt;=0.08,"Low Discount", AE94&lt;=0.16,"Medium Discount", AE94&gt;0.16, "High Discount")</f>
        <v>Low Discount</v>
      </c>
      <c r="AG94" s="2">
        <v>12307</v>
      </c>
      <c r="AH94" s="2">
        <v>50</v>
      </c>
      <c r="AI94" s="2">
        <v>0.04</v>
      </c>
      <c r="AJ94" s="2" t="str" cm="1">
        <f t="array" ref="AJ94">_xlfn.IFS(AI94&lt;=0, "No Profit", AI94&lt;=0.16,"Low Profit",AI94&lt;=0.32,"Medium Profit",AI94&gt;0.32,"High Profit")</f>
        <v>Low Profit</v>
      </c>
      <c r="AK94" s="2">
        <v>5</v>
      </c>
      <c r="AL94" s="2">
        <v>250</v>
      </c>
      <c r="AM94" s="2">
        <v>240</v>
      </c>
      <c r="AN94" s="2">
        <v>9.6</v>
      </c>
      <c r="AO94" s="2" t="s">
        <v>607</v>
      </c>
      <c r="AP94" s="2" t="s">
        <v>663</v>
      </c>
      <c r="AQ94" s="2" t="s">
        <v>97</v>
      </c>
      <c r="AR94" s="2" t="s">
        <v>81</v>
      </c>
      <c r="AS94" s="2">
        <v>502</v>
      </c>
      <c r="AT94" s="2">
        <v>24</v>
      </c>
      <c r="AU94" s="2" t="s">
        <v>442</v>
      </c>
      <c r="AV94" s="2">
        <v>50</v>
      </c>
      <c r="AW94" s="2">
        <v>0</v>
      </c>
      <c r="AX94" s="2" t="s">
        <v>666</v>
      </c>
      <c r="AY94" s="2" t="s">
        <v>83</v>
      </c>
      <c r="AZ94" s="4">
        <v>42076</v>
      </c>
      <c r="BA94" s="5">
        <v>0.79097222222222219</v>
      </c>
      <c r="BB94" s="2">
        <v>2015</v>
      </c>
      <c r="BC94" s="2" t="s">
        <v>85</v>
      </c>
      <c r="BD94" s="2">
        <v>13</v>
      </c>
      <c r="BE94" s="4">
        <v>42081</v>
      </c>
      <c r="BF94" s="5">
        <v>0.79097222222222219</v>
      </c>
      <c r="BG94" s="2" t="str" cm="1">
        <f t="array" ref="BG94">_xlfn.IFS(BF94&lt;TIMEVALUE("06:00"),"Night", BF94&gt;=TIMEVALUE("21:00"),"Night",BF94&gt;=TIMEVALUE("17:00"),"Evening",BF94&gt;=TIMEVALUE("12:00"),"Afternoon", BF94&gt;=TIMEVALUE("06:00"),"Morning")</f>
        <v>Evening</v>
      </c>
      <c r="BH94" s="2">
        <v>2015</v>
      </c>
      <c r="BI94" s="2" t="s">
        <v>85</v>
      </c>
      <c r="BJ94" s="2">
        <v>18</v>
      </c>
    </row>
    <row r="95" spans="1:62" x14ac:dyDescent="0.3">
      <c r="A95" s="2" t="s">
        <v>86</v>
      </c>
      <c r="B95" s="2">
        <v>6</v>
      </c>
      <c r="C95" s="2">
        <v>4</v>
      </c>
      <c r="D95" s="2">
        <v>55.09</v>
      </c>
      <c r="E95" s="2">
        <v>189.95</v>
      </c>
      <c r="F95" s="2" t="s">
        <v>87</v>
      </c>
      <c r="G95" s="2" t="s">
        <v>88</v>
      </c>
      <c r="H95" s="2">
        <v>29</v>
      </c>
      <c r="I95" s="2" t="s">
        <v>424</v>
      </c>
      <c r="J95" s="2" t="s">
        <v>66</v>
      </c>
      <c r="K95" s="2" t="s">
        <v>67</v>
      </c>
      <c r="L95" s="2" t="s">
        <v>667</v>
      </c>
      <c r="M95" s="2">
        <v>6398</v>
      </c>
      <c r="N95" s="2" t="s">
        <v>425</v>
      </c>
      <c r="O95" s="2" t="s">
        <v>70</v>
      </c>
      <c r="P95" s="2" t="s">
        <v>71</v>
      </c>
      <c r="Q95" s="2" t="s">
        <v>668</v>
      </c>
      <c r="R95" s="2">
        <v>725</v>
      </c>
      <c r="S95" s="2">
        <v>5</v>
      </c>
      <c r="T95" s="2" t="s">
        <v>427</v>
      </c>
      <c r="U95" s="2">
        <v>18.2637882</v>
      </c>
      <c r="V95" s="2">
        <v>-66.370529199999993</v>
      </c>
      <c r="W95" s="2" t="s">
        <v>582</v>
      </c>
      <c r="X95" s="2" t="s">
        <v>669</v>
      </c>
      <c r="Y95" s="2" t="s">
        <v>670</v>
      </c>
      <c r="Z95" s="2">
        <v>6398</v>
      </c>
      <c r="AA95" s="3">
        <v>42918.407638888886</v>
      </c>
      <c r="AB95" s="2">
        <v>52640</v>
      </c>
      <c r="AC95" s="2">
        <v>627</v>
      </c>
      <c r="AD95" s="2">
        <v>10</v>
      </c>
      <c r="AE95" s="2">
        <v>0.05</v>
      </c>
      <c r="AF95" s="2" t="str" cm="1">
        <f t="array" ref="AF95">_xlfn.IFS(AE95=0, "No Discount ", AE95&lt;=0.08,"Low Discount", AE95&lt;=0.16,"Medium Discount", AE95&gt;0.16, "High Discount")</f>
        <v>Low Discount</v>
      </c>
      <c r="AG95" s="2">
        <v>131580</v>
      </c>
      <c r="AH95" s="2">
        <v>39.99</v>
      </c>
      <c r="AI95" s="2">
        <v>0.28999999999999998</v>
      </c>
      <c r="AJ95" s="2" t="str" cm="1">
        <f t="array" ref="AJ95">_xlfn.IFS(AI95&lt;=0, "No Profit", AI95&lt;=0.16,"Low Profit",AI95&lt;=0.32,"Medium Profit",AI95&gt;0.32,"High Profit")</f>
        <v>Medium Profit</v>
      </c>
      <c r="AK95" s="2">
        <v>5</v>
      </c>
      <c r="AL95" s="2">
        <v>199.95</v>
      </c>
      <c r="AM95" s="2">
        <v>189.95</v>
      </c>
      <c r="AN95" s="2">
        <v>55.09</v>
      </c>
      <c r="AO95" s="2" t="s">
        <v>607</v>
      </c>
      <c r="AP95" s="2" t="s">
        <v>669</v>
      </c>
      <c r="AQ95" s="2" t="s">
        <v>97</v>
      </c>
      <c r="AR95" s="2" t="s">
        <v>81</v>
      </c>
      <c r="AS95" s="2">
        <v>627</v>
      </c>
      <c r="AT95" s="2">
        <v>29</v>
      </c>
      <c r="AU95" s="2" t="s">
        <v>432</v>
      </c>
      <c r="AV95" s="2">
        <v>39.99</v>
      </c>
      <c r="AW95" s="2">
        <v>0</v>
      </c>
      <c r="AX95" s="2" t="s">
        <v>671</v>
      </c>
      <c r="AY95" s="2" t="s">
        <v>83</v>
      </c>
      <c r="AZ95" s="4">
        <v>42918</v>
      </c>
      <c r="BA95" s="5">
        <v>0.40763888888888888</v>
      </c>
      <c r="BB95" s="2">
        <v>2017</v>
      </c>
      <c r="BC95" s="2" t="s">
        <v>533</v>
      </c>
      <c r="BD95" s="2">
        <v>2</v>
      </c>
      <c r="BE95" s="4">
        <v>42779</v>
      </c>
      <c r="BF95" s="5">
        <v>0.40763888888888888</v>
      </c>
      <c r="BG95" s="2" t="str" cm="1">
        <f t="array" ref="BG95">_xlfn.IFS(BF95&lt;TIMEVALUE("06:00"),"Night", BF95&gt;=TIMEVALUE("21:00"),"Night",BF95&gt;=TIMEVALUE("17:00"),"Evening",BF95&gt;=TIMEVALUE("12:00"),"Afternoon", BF95&gt;=TIMEVALUE("06:00"),"Morning")</f>
        <v>Morning</v>
      </c>
      <c r="BH95" s="2">
        <v>2017</v>
      </c>
      <c r="BI95" s="2" t="s">
        <v>423</v>
      </c>
      <c r="BJ95" s="2">
        <v>13</v>
      </c>
    </row>
    <row r="96" spans="1:62" x14ac:dyDescent="0.3">
      <c r="A96" s="2" t="s">
        <v>86</v>
      </c>
      <c r="B96" s="2">
        <v>4</v>
      </c>
      <c r="C96" s="2">
        <v>4</v>
      </c>
      <c r="D96" s="2">
        <v>68.59</v>
      </c>
      <c r="E96" s="2">
        <v>188.95</v>
      </c>
      <c r="F96" s="2" t="s">
        <v>100</v>
      </c>
      <c r="G96" s="2" t="s">
        <v>64</v>
      </c>
      <c r="H96" s="2">
        <v>29</v>
      </c>
      <c r="I96" s="2" t="s">
        <v>424</v>
      </c>
      <c r="J96" s="2" t="s">
        <v>66</v>
      </c>
      <c r="K96" s="2" t="s">
        <v>67</v>
      </c>
      <c r="L96" s="2" t="s">
        <v>414</v>
      </c>
      <c r="M96" s="2">
        <v>4209</v>
      </c>
      <c r="N96" s="2" t="s">
        <v>403</v>
      </c>
      <c r="O96" s="2" t="s">
        <v>70</v>
      </c>
      <c r="P96" s="2" t="s">
        <v>71</v>
      </c>
      <c r="Q96" s="2" t="s">
        <v>672</v>
      </c>
      <c r="R96" s="2">
        <v>725</v>
      </c>
      <c r="S96" s="2">
        <v>5</v>
      </c>
      <c r="T96" s="2" t="s">
        <v>427</v>
      </c>
      <c r="U96" s="2">
        <v>18.203304299999999</v>
      </c>
      <c r="V96" s="2">
        <v>-66.370521600000004</v>
      </c>
      <c r="W96" s="2" t="s">
        <v>582</v>
      </c>
      <c r="X96" s="2" t="s">
        <v>658</v>
      </c>
      <c r="Y96" s="2" t="s">
        <v>632</v>
      </c>
      <c r="Z96" s="2">
        <v>4209</v>
      </c>
      <c r="AA96" s="3">
        <v>42067.797222222223</v>
      </c>
      <c r="AB96" s="2">
        <v>6358</v>
      </c>
      <c r="AC96" s="2">
        <v>627</v>
      </c>
      <c r="AD96" s="2">
        <v>11</v>
      </c>
      <c r="AE96" s="2">
        <v>0.06</v>
      </c>
      <c r="AF96" s="2" t="str" cm="1">
        <f t="array" ref="AF96">_xlfn.IFS(AE96=0, "No Discount ", AE96&lt;=0.08,"Low Discount", AE96&lt;=0.16,"Medium Discount", AE96&gt;0.16, "High Discount")</f>
        <v>Low Discount</v>
      </c>
      <c r="AG96" s="2">
        <v>15921</v>
      </c>
      <c r="AH96" s="2">
        <v>39.99</v>
      </c>
      <c r="AI96" s="2">
        <v>0.36</v>
      </c>
      <c r="AJ96" s="2" t="str" cm="1">
        <f t="array" ref="AJ96">_xlfn.IFS(AI96&lt;=0, "No Profit", AI96&lt;=0.16,"Low Profit",AI96&lt;=0.32,"Medium Profit",AI96&gt;0.32,"High Profit")</f>
        <v>High Profit</v>
      </c>
      <c r="AK96" s="2">
        <v>5</v>
      </c>
      <c r="AL96" s="2">
        <v>199.95</v>
      </c>
      <c r="AM96" s="2">
        <v>188.95</v>
      </c>
      <c r="AN96" s="2">
        <v>68.59</v>
      </c>
      <c r="AO96" s="2" t="s">
        <v>607</v>
      </c>
      <c r="AP96" s="2" t="s">
        <v>658</v>
      </c>
      <c r="AQ96" s="2" t="s">
        <v>97</v>
      </c>
      <c r="AR96" s="2" t="s">
        <v>81</v>
      </c>
      <c r="AS96" s="2">
        <v>627</v>
      </c>
      <c r="AT96" s="2">
        <v>29</v>
      </c>
      <c r="AU96" s="2" t="s">
        <v>432</v>
      </c>
      <c r="AV96" s="2">
        <v>39.99</v>
      </c>
      <c r="AW96" s="2">
        <v>0</v>
      </c>
      <c r="AX96" s="3">
        <v>42189.797222222223</v>
      </c>
      <c r="AY96" s="2" t="s">
        <v>83</v>
      </c>
      <c r="AZ96" s="4">
        <v>42067</v>
      </c>
      <c r="BA96" s="5">
        <v>0.79722222222222228</v>
      </c>
      <c r="BB96" s="2">
        <v>2015</v>
      </c>
      <c r="BC96" s="2" t="s">
        <v>85</v>
      </c>
      <c r="BD96" s="2">
        <v>4</v>
      </c>
      <c r="BE96" s="4">
        <v>42189</v>
      </c>
      <c r="BF96" s="5">
        <v>0.79722222222222228</v>
      </c>
      <c r="BG96" s="2" t="str" cm="1">
        <f t="array" ref="BG96">_xlfn.IFS(BF96&lt;TIMEVALUE("06:00"),"Night", BF96&gt;=TIMEVALUE("21:00"),"Night",BF96&gt;=TIMEVALUE("17:00"),"Evening",BF96&gt;=TIMEVALUE("12:00"),"Afternoon", BF96&gt;=TIMEVALUE("06:00"),"Morning")</f>
        <v>Evening</v>
      </c>
      <c r="BH96" s="2">
        <v>2015</v>
      </c>
      <c r="BI96" s="2" t="s">
        <v>533</v>
      </c>
      <c r="BJ96" s="2">
        <v>4</v>
      </c>
    </row>
    <row r="97" spans="1:62" x14ac:dyDescent="0.3">
      <c r="A97" s="2" t="s">
        <v>86</v>
      </c>
      <c r="B97" s="2">
        <v>2</v>
      </c>
      <c r="C97" s="2">
        <v>4</v>
      </c>
      <c r="D97" s="2">
        <v>51.98</v>
      </c>
      <c r="E97" s="2">
        <v>236.25</v>
      </c>
      <c r="F97" s="2" t="s">
        <v>63</v>
      </c>
      <c r="G97" s="2" t="s">
        <v>64</v>
      </c>
      <c r="H97" s="2">
        <v>24</v>
      </c>
      <c r="I97" s="2" t="s">
        <v>435</v>
      </c>
      <c r="J97" s="2" t="s">
        <v>66</v>
      </c>
      <c r="K97" s="2" t="s">
        <v>67</v>
      </c>
      <c r="L97" s="2" t="s">
        <v>414</v>
      </c>
      <c r="M97" s="2">
        <v>8917</v>
      </c>
      <c r="N97" s="2" t="s">
        <v>425</v>
      </c>
      <c r="O97" s="2" t="s">
        <v>70</v>
      </c>
      <c r="P97" s="2" t="s">
        <v>71</v>
      </c>
      <c r="Q97" s="2" t="s">
        <v>673</v>
      </c>
      <c r="R97" s="2">
        <v>725</v>
      </c>
      <c r="S97" s="2">
        <v>5</v>
      </c>
      <c r="T97" s="2" t="s">
        <v>427</v>
      </c>
      <c r="U97" s="2">
        <v>18.2248707</v>
      </c>
      <c r="V97" s="2">
        <v>-66.370521600000004</v>
      </c>
      <c r="W97" s="2" t="s">
        <v>582</v>
      </c>
      <c r="X97" s="2" t="s">
        <v>674</v>
      </c>
      <c r="Y97" s="2" t="s">
        <v>632</v>
      </c>
      <c r="Z97" s="2">
        <v>8917</v>
      </c>
      <c r="AA97" s="2" t="s">
        <v>675</v>
      </c>
      <c r="AB97" s="2">
        <v>57106</v>
      </c>
      <c r="AC97" s="2">
        <v>502</v>
      </c>
      <c r="AD97" s="2">
        <v>13.75</v>
      </c>
      <c r="AE97" s="2">
        <v>0.06</v>
      </c>
      <c r="AF97" s="2" t="str" cm="1">
        <f t="array" ref="AF97">_xlfn.IFS(AE97=0, "No Discount ", AE97&lt;=0.08,"Low Discount", AE97&lt;=0.16,"Medium Discount", AE97&gt;0.16, "High Discount")</f>
        <v>Low Discount</v>
      </c>
      <c r="AG97" s="2">
        <v>142841</v>
      </c>
      <c r="AH97" s="2">
        <v>50</v>
      </c>
      <c r="AI97" s="2">
        <v>0.22</v>
      </c>
      <c r="AJ97" s="2" t="str" cm="1">
        <f t="array" ref="AJ97">_xlfn.IFS(AI97&lt;=0, "No Profit", AI97&lt;=0.16,"Low Profit",AI97&lt;=0.32,"Medium Profit",AI97&gt;0.32,"High Profit")</f>
        <v>Medium Profit</v>
      </c>
      <c r="AK97" s="2">
        <v>5</v>
      </c>
      <c r="AL97" s="2">
        <v>250</v>
      </c>
      <c r="AM97" s="2">
        <v>236.25</v>
      </c>
      <c r="AN97" s="2">
        <v>51.98</v>
      </c>
      <c r="AO97" s="2" t="s">
        <v>607</v>
      </c>
      <c r="AP97" s="2" t="s">
        <v>658</v>
      </c>
      <c r="AQ97" s="2" t="s">
        <v>97</v>
      </c>
      <c r="AR97" s="2" t="s">
        <v>81</v>
      </c>
      <c r="AS97" s="2">
        <v>502</v>
      </c>
      <c r="AT97" s="2">
        <v>24</v>
      </c>
      <c r="AU97" s="2" t="s">
        <v>442</v>
      </c>
      <c r="AV97" s="2">
        <v>50</v>
      </c>
      <c r="AW97" s="2">
        <v>0</v>
      </c>
      <c r="AX97" s="2" t="s">
        <v>676</v>
      </c>
      <c r="AY97" s="2" t="s">
        <v>83</v>
      </c>
      <c r="AZ97" s="4">
        <v>42838</v>
      </c>
      <c r="BA97" s="5">
        <v>0.60069444444444442</v>
      </c>
      <c r="BB97" s="2">
        <v>2017</v>
      </c>
      <c r="BC97" s="2" t="s">
        <v>487</v>
      </c>
      <c r="BD97" s="2">
        <v>13</v>
      </c>
      <c r="BE97" s="4">
        <v>42840</v>
      </c>
      <c r="BF97" s="5">
        <v>0.60069444444444442</v>
      </c>
      <c r="BG97" s="2" t="str" cm="1">
        <f t="array" ref="BG97">_xlfn.IFS(BF97&lt;TIMEVALUE("06:00"),"Night", BF97&gt;=TIMEVALUE("21:00"),"Night",BF97&gt;=TIMEVALUE("17:00"),"Evening",BF97&gt;=TIMEVALUE("12:00"),"Afternoon", BF97&gt;=TIMEVALUE("06:00"),"Morning")</f>
        <v>Afternoon</v>
      </c>
      <c r="BH97" s="2">
        <v>2017</v>
      </c>
      <c r="BI97" s="2" t="s">
        <v>487</v>
      </c>
      <c r="BJ97" s="2">
        <v>15</v>
      </c>
    </row>
    <row r="98" spans="1:62" x14ac:dyDescent="0.3">
      <c r="A98" s="2" t="s">
        <v>86</v>
      </c>
      <c r="B98" s="2">
        <v>6</v>
      </c>
      <c r="C98" s="2">
        <v>4</v>
      </c>
      <c r="D98" s="2">
        <v>-23.63</v>
      </c>
      <c r="E98" s="2">
        <v>236.25</v>
      </c>
      <c r="F98" s="2" t="s">
        <v>87</v>
      </c>
      <c r="G98" s="2" t="s">
        <v>88</v>
      </c>
      <c r="H98" s="2">
        <v>24</v>
      </c>
      <c r="I98" s="2" t="s">
        <v>435</v>
      </c>
      <c r="J98" s="2" t="s">
        <v>66</v>
      </c>
      <c r="K98" s="2" t="s">
        <v>67</v>
      </c>
      <c r="L98" s="2" t="s">
        <v>414</v>
      </c>
      <c r="M98" s="2">
        <v>7784</v>
      </c>
      <c r="N98" s="2" t="s">
        <v>425</v>
      </c>
      <c r="O98" s="2" t="s">
        <v>70</v>
      </c>
      <c r="P98" s="2" t="s">
        <v>71</v>
      </c>
      <c r="Q98" s="2" t="s">
        <v>677</v>
      </c>
      <c r="R98" s="2">
        <v>725</v>
      </c>
      <c r="S98" s="2">
        <v>5</v>
      </c>
      <c r="T98" s="2" t="s">
        <v>427</v>
      </c>
      <c r="U98" s="2">
        <v>18.250610399999999</v>
      </c>
      <c r="V98" s="2">
        <v>-66.370628400000001</v>
      </c>
      <c r="W98" s="2" t="s">
        <v>582</v>
      </c>
      <c r="X98" s="2" t="s">
        <v>678</v>
      </c>
      <c r="Y98" s="2" t="s">
        <v>632</v>
      </c>
      <c r="Z98" s="2">
        <v>7784</v>
      </c>
      <c r="AA98" s="3">
        <v>42039.147916666669</v>
      </c>
      <c r="AB98" s="2">
        <v>6245</v>
      </c>
      <c r="AC98" s="2">
        <v>502</v>
      </c>
      <c r="AD98" s="2">
        <v>13.75</v>
      </c>
      <c r="AE98" s="2">
        <v>0.06</v>
      </c>
      <c r="AF98" s="2" t="str" cm="1">
        <f t="array" ref="AF98">_xlfn.IFS(AE98=0, "No Discount ", AE98&lt;=0.08,"Low Discount", AE98&lt;=0.16,"Medium Discount", AE98&gt;0.16, "High Discount")</f>
        <v>Low Discount</v>
      </c>
      <c r="AG98" s="2">
        <v>15634</v>
      </c>
      <c r="AH98" s="2">
        <v>50</v>
      </c>
      <c r="AI98" s="2">
        <v>-0.1</v>
      </c>
      <c r="AJ98" s="2" t="str" cm="1">
        <f t="array" ref="AJ98">_xlfn.IFS(AI98&lt;=0, "No Profit", AI98&lt;=0.16,"Low Profit",AI98&lt;=0.32,"Medium Profit",AI98&gt;0.32,"High Profit")</f>
        <v>No Profit</v>
      </c>
      <c r="AK98" s="2">
        <v>5</v>
      </c>
      <c r="AL98" s="2">
        <v>250</v>
      </c>
      <c r="AM98" s="2">
        <v>236.25</v>
      </c>
      <c r="AN98" s="2">
        <v>-23.63</v>
      </c>
      <c r="AO98" s="2" t="s">
        <v>607</v>
      </c>
      <c r="AP98" s="2" t="s">
        <v>679</v>
      </c>
      <c r="AQ98" s="2" t="s">
        <v>97</v>
      </c>
      <c r="AR98" s="2" t="s">
        <v>81</v>
      </c>
      <c r="AS98" s="2">
        <v>502</v>
      </c>
      <c r="AT98" s="2">
        <v>24</v>
      </c>
      <c r="AU98" s="2" t="s">
        <v>442</v>
      </c>
      <c r="AV98" s="2">
        <v>50</v>
      </c>
      <c r="AW98" s="2">
        <v>0</v>
      </c>
      <c r="AX98" s="3">
        <v>42220.147916666669</v>
      </c>
      <c r="AY98" s="2" t="s">
        <v>83</v>
      </c>
      <c r="AZ98" s="4">
        <v>42039</v>
      </c>
      <c r="BA98" s="5">
        <v>0.14791666666666667</v>
      </c>
      <c r="BB98" s="2">
        <v>2015</v>
      </c>
      <c r="BC98" s="2" t="s">
        <v>423</v>
      </c>
      <c r="BD98" s="2">
        <v>4</v>
      </c>
      <c r="BE98" s="4">
        <v>42220</v>
      </c>
      <c r="BF98" s="5">
        <v>0.14791666666666667</v>
      </c>
      <c r="BG98" s="2" t="str" cm="1">
        <f t="array" ref="BG98">_xlfn.IFS(BF98&lt;TIMEVALUE("06:00"),"Night", BF98&gt;=TIMEVALUE("21:00"),"Night",BF98&gt;=TIMEVALUE("17:00"),"Evening",BF98&gt;=TIMEVALUE("12:00"),"Afternoon", BF98&gt;=TIMEVALUE("06:00"),"Morning")</f>
        <v>Night</v>
      </c>
      <c r="BH98" s="2">
        <v>2015</v>
      </c>
      <c r="BI98" s="2" t="s">
        <v>482</v>
      </c>
      <c r="BJ98" s="2">
        <v>4</v>
      </c>
    </row>
    <row r="99" spans="1:62" x14ac:dyDescent="0.3">
      <c r="A99" s="2" t="s">
        <v>86</v>
      </c>
      <c r="B99" s="2">
        <v>2</v>
      </c>
      <c r="C99" s="2">
        <v>4</v>
      </c>
      <c r="D99" s="2">
        <v>66.89</v>
      </c>
      <c r="E99" s="2">
        <v>136.5</v>
      </c>
      <c r="F99" s="2" t="s">
        <v>63</v>
      </c>
      <c r="G99" s="2" t="s">
        <v>64</v>
      </c>
      <c r="H99" s="2">
        <v>29</v>
      </c>
      <c r="I99" s="2" t="s">
        <v>424</v>
      </c>
      <c r="J99" s="2" t="s">
        <v>66</v>
      </c>
      <c r="K99" s="2" t="s">
        <v>67</v>
      </c>
      <c r="L99" s="2" t="s">
        <v>680</v>
      </c>
      <c r="M99" s="2">
        <v>1425</v>
      </c>
      <c r="N99" s="2" t="s">
        <v>681</v>
      </c>
      <c r="O99" s="2" t="s">
        <v>70</v>
      </c>
      <c r="P99" s="2" t="s">
        <v>71</v>
      </c>
      <c r="Q99" s="2" t="s">
        <v>682</v>
      </c>
      <c r="R99" s="2">
        <v>725</v>
      </c>
      <c r="S99" s="2">
        <v>5</v>
      </c>
      <c r="T99" s="2" t="s">
        <v>427</v>
      </c>
      <c r="U99" s="2">
        <v>18.273403200000001</v>
      </c>
      <c r="V99" s="2">
        <v>-66.370521600000004</v>
      </c>
      <c r="W99" s="2" t="s">
        <v>582</v>
      </c>
      <c r="X99" s="2" t="s">
        <v>683</v>
      </c>
      <c r="Y99" s="2" t="s">
        <v>684</v>
      </c>
      <c r="Z99" s="2">
        <v>1425</v>
      </c>
      <c r="AA99" s="2" t="s">
        <v>685</v>
      </c>
      <c r="AB99" s="2">
        <v>52166</v>
      </c>
      <c r="AC99" s="2">
        <v>642</v>
      </c>
      <c r="AD99" s="2">
        <v>13.5</v>
      </c>
      <c r="AE99" s="2">
        <v>0.09</v>
      </c>
      <c r="AF99" s="2" t="str" cm="1">
        <f t="array" ref="AF99">_xlfn.IFS(AE99=0, "No Discount ", AE99&lt;=0.08,"Low Discount", AE99&lt;=0.16,"Medium Discount", AE99&gt;0.16, "High Discount")</f>
        <v>Medium Discount</v>
      </c>
      <c r="AG99" s="2">
        <v>130341</v>
      </c>
      <c r="AH99" s="2">
        <v>30</v>
      </c>
      <c r="AI99" s="2">
        <v>0.49</v>
      </c>
      <c r="AJ99" s="2" t="str" cm="1">
        <f t="array" ref="AJ99">_xlfn.IFS(AI99&lt;=0, "No Profit", AI99&lt;=0.16,"Low Profit",AI99&lt;=0.32,"Medium Profit",AI99&gt;0.32,"High Profit")</f>
        <v>High Profit</v>
      </c>
      <c r="AK99" s="2">
        <v>5</v>
      </c>
      <c r="AL99" s="2">
        <v>150</v>
      </c>
      <c r="AM99" s="2">
        <v>136.5</v>
      </c>
      <c r="AN99" s="2">
        <v>66.89</v>
      </c>
      <c r="AO99" s="2" t="s">
        <v>601</v>
      </c>
      <c r="AP99" s="2" t="s">
        <v>683</v>
      </c>
      <c r="AQ99" s="2" t="s">
        <v>97</v>
      </c>
      <c r="AR99" s="2" t="s">
        <v>81</v>
      </c>
      <c r="AS99" s="2">
        <v>642</v>
      </c>
      <c r="AT99" s="2">
        <v>29</v>
      </c>
      <c r="AU99" s="2" t="s">
        <v>686</v>
      </c>
      <c r="AV99" s="2">
        <v>30</v>
      </c>
      <c r="AW99" s="2">
        <v>0</v>
      </c>
      <c r="AX99" s="3">
        <v>42768.488194444442</v>
      </c>
      <c r="AY99" s="2" t="s">
        <v>83</v>
      </c>
      <c r="AZ99" s="4">
        <v>42766</v>
      </c>
      <c r="BA99" s="5">
        <v>0.48819444444444443</v>
      </c>
      <c r="BB99" s="2">
        <v>2017</v>
      </c>
      <c r="BC99" s="2" t="s">
        <v>84</v>
      </c>
      <c r="BD99" s="2">
        <v>31</v>
      </c>
      <c r="BE99" s="4">
        <v>42768</v>
      </c>
      <c r="BF99" s="5">
        <v>0.48819444444444443</v>
      </c>
      <c r="BG99" s="2" t="str" cm="1">
        <f t="array" ref="BG99">_xlfn.IFS(BF99&lt;TIMEVALUE("06:00"),"Night", BF99&gt;=TIMEVALUE("21:00"),"Night",BF99&gt;=TIMEVALUE("17:00"),"Evening",BF99&gt;=TIMEVALUE("12:00"),"Afternoon", BF99&gt;=TIMEVALUE("06:00"),"Morning")</f>
        <v>Morning</v>
      </c>
      <c r="BH99" s="2">
        <v>2017</v>
      </c>
      <c r="BI99" s="2" t="s">
        <v>423</v>
      </c>
      <c r="BJ99" s="2">
        <v>2</v>
      </c>
    </row>
    <row r="100" spans="1:62" x14ac:dyDescent="0.3">
      <c r="A100" s="2" t="s">
        <v>86</v>
      </c>
      <c r="B100" s="2">
        <v>3</v>
      </c>
      <c r="C100" s="2">
        <v>4</v>
      </c>
      <c r="D100" s="2">
        <v>11.46</v>
      </c>
      <c r="E100" s="2">
        <v>181.95</v>
      </c>
      <c r="F100" s="2" t="s">
        <v>63</v>
      </c>
      <c r="G100" s="2" t="s">
        <v>64</v>
      </c>
      <c r="H100" s="2">
        <v>29</v>
      </c>
      <c r="I100" s="2" t="s">
        <v>424</v>
      </c>
      <c r="J100" s="2" t="s">
        <v>66</v>
      </c>
      <c r="K100" s="2" t="s">
        <v>67</v>
      </c>
      <c r="L100" s="2" t="s">
        <v>414</v>
      </c>
      <c r="M100" s="2">
        <v>2737</v>
      </c>
      <c r="N100" s="2" t="s">
        <v>425</v>
      </c>
      <c r="O100" s="2" t="s">
        <v>70</v>
      </c>
      <c r="P100" s="2" t="s">
        <v>71</v>
      </c>
      <c r="Q100" s="2" t="s">
        <v>687</v>
      </c>
      <c r="R100" s="2">
        <v>725</v>
      </c>
      <c r="S100" s="2">
        <v>5</v>
      </c>
      <c r="T100" s="2" t="s">
        <v>427</v>
      </c>
      <c r="U100" s="2">
        <v>18.291379899999999</v>
      </c>
      <c r="V100" s="2">
        <v>-66.370536799999996</v>
      </c>
      <c r="W100" s="2" t="s">
        <v>582</v>
      </c>
      <c r="X100" s="2" t="s">
        <v>688</v>
      </c>
      <c r="Y100" s="2" t="s">
        <v>684</v>
      </c>
      <c r="Z100" s="2">
        <v>2737</v>
      </c>
      <c r="AA100" s="2" t="s">
        <v>689</v>
      </c>
      <c r="AB100" s="2">
        <v>56172</v>
      </c>
      <c r="AC100" s="2">
        <v>627</v>
      </c>
      <c r="AD100" s="2">
        <v>18</v>
      </c>
      <c r="AE100" s="2">
        <v>0.09</v>
      </c>
      <c r="AF100" s="2" t="str" cm="1">
        <f t="array" ref="AF100">_xlfn.IFS(AE100=0, "No Discount ", AE100&lt;=0.08,"Low Discount", AE100&lt;=0.16,"Medium Discount", AE100&gt;0.16, "High Discount")</f>
        <v>Medium Discount</v>
      </c>
      <c r="AG100" s="2">
        <v>140494</v>
      </c>
      <c r="AH100" s="2">
        <v>39.99</v>
      </c>
      <c r="AI100" s="2">
        <v>0.06</v>
      </c>
      <c r="AJ100" s="2" t="str" cm="1">
        <f t="array" ref="AJ100">_xlfn.IFS(AI100&lt;=0, "No Profit", AI100&lt;=0.16,"Low Profit",AI100&lt;=0.32,"Medium Profit",AI100&gt;0.32,"High Profit")</f>
        <v>Low Profit</v>
      </c>
      <c r="AK100" s="2">
        <v>5</v>
      </c>
      <c r="AL100" s="2">
        <v>199.95</v>
      </c>
      <c r="AM100" s="2">
        <v>181.95</v>
      </c>
      <c r="AN100" s="2">
        <v>11.46</v>
      </c>
      <c r="AO100" s="2" t="s">
        <v>601</v>
      </c>
      <c r="AP100" s="2" t="s">
        <v>688</v>
      </c>
      <c r="AQ100" s="2" t="s">
        <v>97</v>
      </c>
      <c r="AR100" s="2" t="s">
        <v>81</v>
      </c>
      <c r="AS100" s="2">
        <v>627</v>
      </c>
      <c r="AT100" s="2">
        <v>29</v>
      </c>
      <c r="AU100" s="2" t="s">
        <v>432</v>
      </c>
      <c r="AV100" s="2">
        <v>39.99</v>
      </c>
      <c r="AW100" s="2">
        <v>0</v>
      </c>
      <c r="AX100" s="3">
        <v>42770.966666666667</v>
      </c>
      <c r="AY100" s="2" t="s">
        <v>83</v>
      </c>
      <c r="AZ100" s="4">
        <v>42824</v>
      </c>
      <c r="BA100" s="5">
        <v>0.96666666666666667</v>
      </c>
      <c r="BB100" s="2">
        <v>2017</v>
      </c>
      <c r="BC100" s="2" t="s">
        <v>85</v>
      </c>
      <c r="BD100" s="2">
        <v>30</v>
      </c>
      <c r="BE100" s="4">
        <v>42770</v>
      </c>
      <c r="BF100" s="5">
        <v>0.96666666666666667</v>
      </c>
      <c r="BG100" s="2" t="str" cm="1">
        <f t="array" ref="BG100">_xlfn.IFS(BF100&lt;TIMEVALUE("06:00"),"Night", BF100&gt;=TIMEVALUE("21:00"),"Night",BF100&gt;=TIMEVALUE("17:00"),"Evening",BF100&gt;=TIMEVALUE("12:00"),"Afternoon", BF100&gt;=TIMEVALUE("06:00"),"Morning")</f>
        <v>Night</v>
      </c>
      <c r="BH100" s="2">
        <v>2017</v>
      </c>
      <c r="BI100" s="2" t="s">
        <v>423</v>
      </c>
      <c r="BJ100" s="2">
        <v>4</v>
      </c>
    </row>
    <row r="101" spans="1:62" x14ac:dyDescent="0.3">
      <c r="A101" s="2" t="s">
        <v>86</v>
      </c>
      <c r="B101" s="2">
        <v>5</v>
      </c>
      <c r="C101" s="2">
        <v>4</v>
      </c>
      <c r="D101" s="2">
        <v>22.5</v>
      </c>
      <c r="E101" s="2">
        <v>225</v>
      </c>
      <c r="F101" s="2" t="s">
        <v>87</v>
      </c>
      <c r="G101" s="2" t="s">
        <v>88</v>
      </c>
      <c r="H101" s="2">
        <v>24</v>
      </c>
      <c r="I101" s="2" t="s">
        <v>435</v>
      </c>
      <c r="J101" s="2" t="s">
        <v>66</v>
      </c>
      <c r="K101" s="2" t="s">
        <v>67</v>
      </c>
      <c r="L101" s="2" t="s">
        <v>414</v>
      </c>
      <c r="M101" s="2">
        <v>6428</v>
      </c>
      <c r="N101" s="2" t="s">
        <v>425</v>
      </c>
      <c r="O101" s="2" t="s">
        <v>70</v>
      </c>
      <c r="P101" s="2" t="s">
        <v>71</v>
      </c>
      <c r="Q101" s="2" t="s">
        <v>690</v>
      </c>
      <c r="R101" s="2">
        <v>725</v>
      </c>
      <c r="S101" s="2">
        <v>5</v>
      </c>
      <c r="T101" s="2" t="s">
        <v>427</v>
      </c>
      <c r="U101" s="2">
        <v>18.2473888</v>
      </c>
      <c r="V101" s="2">
        <v>-66.370575000000002</v>
      </c>
      <c r="W101" s="2" t="s">
        <v>582</v>
      </c>
      <c r="X101" s="2" t="s">
        <v>598</v>
      </c>
      <c r="Y101" s="2" t="s">
        <v>599</v>
      </c>
      <c r="Z101" s="2">
        <v>6428</v>
      </c>
      <c r="AA101" s="2" t="s">
        <v>691</v>
      </c>
      <c r="AB101" s="2">
        <v>55829</v>
      </c>
      <c r="AC101" s="2">
        <v>502</v>
      </c>
      <c r="AD101" s="2">
        <v>25</v>
      </c>
      <c r="AE101" s="2">
        <v>0.1</v>
      </c>
      <c r="AF101" s="2" t="str" cm="1">
        <f t="array" ref="AF101">_xlfn.IFS(AE101=0, "No Discount ", AE101&lt;=0.08,"Low Discount", AE101&lt;=0.16,"Medium Discount", AE101&gt;0.16, "High Discount")</f>
        <v>Medium Discount</v>
      </c>
      <c r="AG101" s="2">
        <v>139611</v>
      </c>
      <c r="AH101" s="2">
        <v>50</v>
      </c>
      <c r="AI101" s="2">
        <v>0.1</v>
      </c>
      <c r="AJ101" s="2" t="str" cm="1">
        <f t="array" ref="AJ101">_xlfn.IFS(AI101&lt;=0, "No Profit", AI101&lt;=0.16,"Low Profit",AI101&lt;=0.32,"Medium Profit",AI101&gt;0.32,"High Profit")</f>
        <v>Low Profit</v>
      </c>
      <c r="AK101" s="2">
        <v>5</v>
      </c>
      <c r="AL101" s="2">
        <v>250</v>
      </c>
      <c r="AM101" s="2">
        <v>225</v>
      </c>
      <c r="AN101" s="2">
        <v>22.5</v>
      </c>
      <c r="AO101" s="2" t="s">
        <v>601</v>
      </c>
      <c r="AP101" s="2" t="s">
        <v>598</v>
      </c>
      <c r="AQ101" s="2" t="s">
        <v>97</v>
      </c>
      <c r="AR101" s="2" t="s">
        <v>81</v>
      </c>
      <c r="AS101" s="2">
        <v>502</v>
      </c>
      <c r="AT101" s="2">
        <v>24</v>
      </c>
      <c r="AU101" s="2" t="s">
        <v>442</v>
      </c>
      <c r="AV101" s="2">
        <v>50</v>
      </c>
      <c r="AW101" s="2">
        <v>0</v>
      </c>
      <c r="AX101" s="2" t="s">
        <v>692</v>
      </c>
      <c r="AY101" s="2" t="s">
        <v>83</v>
      </c>
      <c r="AZ101" s="4">
        <v>42819</v>
      </c>
      <c r="BA101" s="5">
        <v>0.95972222222222225</v>
      </c>
      <c r="BB101" s="2">
        <v>2017</v>
      </c>
      <c r="BC101" s="2" t="s">
        <v>85</v>
      </c>
      <c r="BD101" s="2">
        <v>25</v>
      </c>
      <c r="BE101" s="4">
        <v>42824</v>
      </c>
      <c r="BF101" s="5">
        <v>0.95972222222222225</v>
      </c>
      <c r="BG101" s="2" t="str" cm="1">
        <f t="array" ref="BG101">_xlfn.IFS(BF101&lt;TIMEVALUE("06:00"),"Night", BF101&gt;=TIMEVALUE("21:00"),"Night",BF101&gt;=TIMEVALUE("17:00"),"Evening",BF101&gt;=TIMEVALUE("12:00"),"Afternoon", BF101&gt;=TIMEVALUE("06:00"),"Morning")</f>
        <v>Night</v>
      </c>
      <c r="BH101" s="2">
        <v>2017</v>
      </c>
      <c r="BI101" s="2" t="s">
        <v>85</v>
      </c>
      <c r="BJ101" s="2">
        <v>30</v>
      </c>
    </row>
    <row r="102" spans="1:62" x14ac:dyDescent="0.3">
      <c r="A102" s="2" t="s">
        <v>86</v>
      </c>
      <c r="B102" s="2">
        <v>4</v>
      </c>
      <c r="C102" s="2">
        <v>4</v>
      </c>
      <c r="D102" s="2">
        <v>67.5</v>
      </c>
      <c r="E102" s="2">
        <v>225</v>
      </c>
      <c r="F102" s="2" t="s">
        <v>100</v>
      </c>
      <c r="G102" s="2" t="s">
        <v>64</v>
      </c>
      <c r="H102" s="2">
        <v>24</v>
      </c>
      <c r="I102" s="2" t="s">
        <v>435</v>
      </c>
      <c r="J102" s="2" t="s">
        <v>66</v>
      </c>
      <c r="K102" s="2" t="s">
        <v>67</v>
      </c>
      <c r="L102" s="2" t="s">
        <v>693</v>
      </c>
      <c r="M102" s="2">
        <v>6543</v>
      </c>
      <c r="N102" s="2" t="s">
        <v>425</v>
      </c>
      <c r="O102" s="2" t="s">
        <v>70</v>
      </c>
      <c r="P102" s="2" t="s">
        <v>71</v>
      </c>
      <c r="Q102" s="2" t="s">
        <v>694</v>
      </c>
      <c r="R102" s="2">
        <v>725</v>
      </c>
      <c r="S102" s="2">
        <v>5</v>
      </c>
      <c r="T102" s="2" t="s">
        <v>427</v>
      </c>
      <c r="U102" s="2">
        <v>18.279205300000001</v>
      </c>
      <c r="V102" s="2">
        <v>-66.370552099999998</v>
      </c>
      <c r="W102" s="2" t="s">
        <v>582</v>
      </c>
      <c r="X102" s="2" t="s">
        <v>695</v>
      </c>
      <c r="Y102" s="2" t="s">
        <v>638</v>
      </c>
      <c r="Z102" s="2">
        <v>6543</v>
      </c>
      <c r="AA102" s="3">
        <v>42857.042361111111</v>
      </c>
      <c r="AB102" s="2">
        <v>52478</v>
      </c>
      <c r="AC102" s="2">
        <v>502</v>
      </c>
      <c r="AD102" s="2">
        <v>25</v>
      </c>
      <c r="AE102" s="2">
        <v>0.1</v>
      </c>
      <c r="AF102" s="2" t="str" cm="1">
        <f t="array" ref="AF102">_xlfn.IFS(AE102=0, "No Discount ", AE102&lt;=0.08,"Low Discount", AE102&lt;=0.16,"Medium Discount", AE102&gt;0.16, "High Discount")</f>
        <v>Medium Discount</v>
      </c>
      <c r="AG102" s="2">
        <v>131161</v>
      </c>
      <c r="AH102" s="2">
        <v>50</v>
      </c>
      <c r="AI102" s="2">
        <v>0.3</v>
      </c>
      <c r="AJ102" s="2" t="str" cm="1">
        <f t="array" ref="AJ102">_xlfn.IFS(AI102&lt;=0, "No Profit", AI102&lt;=0.16,"Low Profit",AI102&lt;=0.32,"Medium Profit",AI102&gt;0.32,"High Profit")</f>
        <v>Medium Profit</v>
      </c>
      <c r="AK102" s="2">
        <v>5</v>
      </c>
      <c r="AL102" s="2">
        <v>250</v>
      </c>
      <c r="AM102" s="2">
        <v>225</v>
      </c>
      <c r="AN102" s="2">
        <v>67.5</v>
      </c>
      <c r="AO102" s="2" t="s">
        <v>586</v>
      </c>
      <c r="AP102" s="2" t="s">
        <v>696</v>
      </c>
      <c r="AQ102" s="2" t="s">
        <v>97</v>
      </c>
      <c r="AR102" s="2" t="s">
        <v>81</v>
      </c>
      <c r="AS102" s="2">
        <v>502</v>
      </c>
      <c r="AT102" s="2">
        <v>24</v>
      </c>
      <c r="AU102" s="2" t="s">
        <v>442</v>
      </c>
      <c r="AV102" s="2">
        <v>50</v>
      </c>
      <c r="AW102" s="2">
        <v>0</v>
      </c>
      <c r="AX102" s="3">
        <v>42980.042361111111</v>
      </c>
      <c r="AY102" s="2" t="s">
        <v>83</v>
      </c>
      <c r="AZ102" s="4">
        <v>42857</v>
      </c>
      <c r="BA102" s="5">
        <v>4.2361111111111113E-2</v>
      </c>
      <c r="BB102" s="2">
        <v>2017</v>
      </c>
      <c r="BC102" s="2" t="s">
        <v>443</v>
      </c>
      <c r="BD102" s="2">
        <v>2</v>
      </c>
      <c r="BE102" s="4">
        <v>42980</v>
      </c>
      <c r="BF102" s="5">
        <v>4.2361111111111113E-2</v>
      </c>
      <c r="BG102" s="2" t="str" cm="1">
        <f t="array" ref="BG102">_xlfn.IFS(BF102&lt;TIMEVALUE("06:00"),"Night", BF102&gt;=TIMEVALUE("21:00"),"Night",BF102&gt;=TIMEVALUE("17:00"),"Evening",BF102&gt;=TIMEVALUE("12:00"),"Afternoon", BF102&gt;=TIMEVALUE("06:00"),"Morning")</f>
        <v>Night</v>
      </c>
      <c r="BH102" s="2">
        <v>2017</v>
      </c>
      <c r="BI102" s="2" t="s">
        <v>552</v>
      </c>
      <c r="BJ102" s="2">
        <v>2</v>
      </c>
    </row>
    <row r="103" spans="1:62" x14ac:dyDescent="0.3">
      <c r="A103" s="2" t="s">
        <v>86</v>
      </c>
      <c r="B103" s="2">
        <v>3</v>
      </c>
      <c r="C103" s="2">
        <v>4</v>
      </c>
      <c r="D103" s="2">
        <v>78.28</v>
      </c>
      <c r="E103" s="2">
        <v>173.96</v>
      </c>
      <c r="F103" s="2" t="s">
        <v>63</v>
      </c>
      <c r="G103" s="2" t="s">
        <v>64</v>
      </c>
      <c r="H103" s="2">
        <v>29</v>
      </c>
      <c r="I103" s="2" t="s">
        <v>424</v>
      </c>
      <c r="J103" s="2" t="s">
        <v>697</v>
      </c>
      <c r="K103" s="2" t="s">
        <v>67</v>
      </c>
      <c r="L103" s="2" t="s">
        <v>698</v>
      </c>
      <c r="M103" s="2">
        <v>3990</v>
      </c>
      <c r="N103" s="2" t="s">
        <v>425</v>
      </c>
      <c r="O103" s="2" t="s">
        <v>70</v>
      </c>
      <c r="P103" s="2" t="s">
        <v>71</v>
      </c>
      <c r="Q103" s="2" t="s">
        <v>699</v>
      </c>
      <c r="R103" s="2">
        <v>784</v>
      </c>
      <c r="S103" s="2">
        <v>5</v>
      </c>
      <c r="T103" s="2" t="s">
        <v>427</v>
      </c>
      <c r="U103" s="2">
        <v>17.982490500000001</v>
      </c>
      <c r="V103" s="2">
        <v>-66.112670899999998</v>
      </c>
      <c r="W103" s="2" t="s">
        <v>582</v>
      </c>
      <c r="X103" s="2" t="s">
        <v>700</v>
      </c>
      <c r="Y103" s="2" t="s">
        <v>595</v>
      </c>
      <c r="Z103" s="2">
        <v>3990</v>
      </c>
      <c r="AA103" s="2" t="s">
        <v>701</v>
      </c>
      <c r="AB103" s="2">
        <v>57242</v>
      </c>
      <c r="AC103" s="2">
        <v>627</v>
      </c>
      <c r="AD103" s="2">
        <v>25.99</v>
      </c>
      <c r="AE103" s="2">
        <v>0.13</v>
      </c>
      <c r="AF103" s="2" t="str" cm="1">
        <f t="array" ref="AF103">_xlfn.IFS(AE103=0, "No Discount ", AE103&lt;=0.08,"Low Discount", AE103&lt;=0.16,"Medium Discount", AE103&gt;0.16, "High Discount")</f>
        <v>Medium Discount</v>
      </c>
      <c r="AG103" s="2">
        <v>143183</v>
      </c>
      <c r="AH103" s="2">
        <v>39.99</v>
      </c>
      <c r="AI103" s="2">
        <v>0.45</v>
      </c>
      <c r="AJ103" s="2" t="str" cm="1">
        <f t="array" ref="AJ103">_xlfn.IFS(AI103&lt;=0, "No Profit", AI103&lt;=0.16,"Low Profit",AI103&lt;=0.32,"Medium Profit",AI103&gt;0.32,"High Profit")</f>
        <v>High Profit</v>
      </c>
      <c r="AK103" s="2">
        <v>5</v>
      </c>
      <c r="AL103" s="2">
        <v>199.95</v>
      </c>
      <c r="AM103" s="2">
        <v>173.96</v>
      </c>
      <c r="AN103" s="2">
        <v>78.28</v>
      </c>
      <c r="AO103" s="2" t="s">
        <v>586</v>
      </c>
      <c r="AP103" s="2" t="s">
        <v>595</v>
      </c>
      <c r="AQ103" s="2" t="s">
        <v>97</v>
      </c>
      <c r="AR103" s="2" t="s">
        <v>81</v>
      </c>
      <c r="AS103" s="2">
        <v>627</v>
      </c>
      <c r="AT103" s="2">
        <v>29</v>
      </c>
      <c r="AU103" s="2" t="s">
        <v>432</v>
      </c>
      <c r="AV103" s="2">
        <v>39.99</v>
      </c>
      <c r="AW103" s="2">
        <v>0</v>
      </c>
      <c r="AX103" s="2" t="s">
        <v>702</v>
      </c>
      <c r="AY103" s="2" t="s">
        <v>83</v>
      </c>
      <c r="AZ103" s="4">
        <v>42840</v>
      </c>
      <c r="BA103" s="5">
        <v>0.58611111111111114</v>
      </c>
      <c r="BB103" s="2">
        <v>2017</v>
      </c>
      <c r="BC103" s="2" t="s">
        <v>487</v>
      </c>
      <c r="BD103" s="2">
        <v>15</v>
      </c>
      <c r="BE103" s="4">
        <v>42843</v>
      </c>
      <c r="BF103" s="5">
        <v>0.58611111111111114</v>
      </c>
      <c r="BG103" s="2" t="str" cm="1">
        <f t="array" ref="BG103">_xlfn.IFS(BF103&lt;TIMEVALUE("06:00"),"Night", BF103&gt;=TIMEVALUE("21:00"),"Night",BF103&gt;=TIMEVALUE("17:00"),"Evening",BF103&gt;=TIMEVALUE("12:00"),"Afternoon", BF103&gt;=TIMEVALUE("06:00"),"Morning")</f>
        <v>Afternoon</v>
      </c>
      <c r="BH103" s="2">
        <v>2017</v>
      </c>
      <c r="BI103" s="2" t="s">
        <v>487</v>
      </c>
      <c r="BJ103" s="2">
        <v>18</v>
      </c>
    </row>
    <row r="104" spans="1:62" x14ac:dyDescent="0.3">
      <c r="A104" s="2" t="s">
        <v>86</v>
      </c>
      <c r="B104" s="2">
        <v>3</v>
      </c>
      <c r="C104" s="2">
        <v>4</v>
      </c>
      <c r="D104" s="2">
        <v>104.4</v>
      </c>
      <c r="E104" s="2">
        <v>217.5</v>
      </c>
      <c r="F104" s="2" t="s">
        <v>63</v>
      </c>
      <c r="G104" s="2" t="s">
        <v>64</v>
      </c>
      <c r="H104" s="2">
        <v>24</v>
      </c>
      <c r="I104" s="2" t="s">
        <v>435</v>
      </c>
      <c r="J104" s="2" t="s">
        <v>66</v>
      </c>
      <c r="K104" s="2" t="s">
        <v>67</v>
      </c>
      <c r="L104" s="2" t="s">
        <v>703</v>
      </c>
      <c r="M104" s="2">
        <v>8524</v>
      </c>
      <c r="N104" s="2" t="s">
        <v>704</v>
      </c>
      <c r="O104" s="2" t="s">
        <v>70</v>
      </c>
      <c r="P104" s="2" t="s">
        <v>71</v>
      </c>
      <c r="Q104" s="2" t="s">
        <v>705</v>
      </c>
      <c r="R104" s="2">
        <v>725</v>
      </c>
      <c r="S104" s="2">
        <v>5</v>
      </c>
      <c r="T104" s="2" t="s">
        <v>427</v>
      </c>
      <c r="U104" s="2">
        <v>18.244960800000001</v>
      </c>
      <c r="V104" s="2">
        <v>-66.370536799999996</v>
      </c>
      <c r="W104" s="2" t="s">
        <v>582</v>
      </c>
      <c r="X104" s="2" t="s">
        <v>706</v>
      </c>
      <c r="Y104" s="2" t="s">
        <v>638</v>
      </c>
      <c r="Z104" s="2">
        <v>8524</v>
      </c>
      <c r="AA104" s="2" t="s">
        <v>707</v>
      </c>
      <c r="AB104" s="2">
        <v>3137</v>
      </c>
      <c r="AC104" s="2">
        <v>502</v>
      </c>
      <c r="AD104" s="2">
        <v>32.5</v>
      </c>
      <c r="AE104" s="2">
        <v>0.13</v>
      </c>
      <c r="AF104" s="2" t="str" cm="1">
        <f t="array" ref="AF104">_xlfn.IFS(AE104=0, "No Discount ", AE104&lt;=0.08,"Low Discount", AE104&lt;=0.16,"Medium Discount", AE104&gt;0.16, "High Discount")</f>
        <v>Medium Discount</v>
      </c>
      <c r="AG104" s="2">
        <v>7805</v>
      </c>
      <c r="AH104" s="2">
        <v>50</v>
      </c>
      <c r="AI104" s="2">
        <v>0.48</v>
      </c>
      <c r="AJ104" s="2" t="str" cm="1">
        <f t="array" ref="AJ104">_xlfn.IFS(AI104&lt;=0, "No Profit", AI104&lt;=0.16,"Low Profit",AI104&lt;=0.32,"Medium Profit",AI104&gt;0.32,"High Profit")</f>
        <v>High Profit</v>
      </c>
      <c r="AK104" s="2">
        <v>5</v>
      </c>
      <c r="AL104" s="2">
        <v>250</v>
      </c>
      <c r="AM104" s="2">
        <v>217.5</v>
      </c>
      <c r="AN104" s="2">
        <v>104.4</v>
      </c>
      <c r="AO104" s="2" t="s">
        <v>586</v>
      </c>
      <c r="AP104" s="2" t="s">
        <v>638</v>
      </c>
      <c r="AQ104" s="2" t="s">
        <v>97</v>
      </c>
      <c r="AR104" s="2" t="s">
        <v>81</v>
      </c>
      <c r="AS104" s="2">
        <v>502</v>
      </c>
      <c r="AT104" s="2">
        <v>24</v>
      </c>
      <c r="AU104" s="2" t="s">
        <v>442</v>
      </c>
      <c r="AV104" s="2">
        <v>50</v>
      </c>
      <c r="AW104" s="2">
        <v>0</v>
      </c>
      <c r="AX104" s="2" t="s">
        <v>708</v>
      </c>
      <c r="AY104" s="2" t="s">
        <v>83</v>
      </c>
      <c r="AZ104" s="4">
        <v>42050</v>
      </c>
      <c r="BA104" s="5">
        <v>0.77777777777777779</v>
      </c>
      <c r="BB104" s="2">
        <v>2015</v>
      </c>
      <c r="BC104" s="2" t="s">
        <v>423</v>
      </c>
      <c r="BD104" s="2">
        <v>15</v>
      </c>
      <c r="BE104" s="4">
        <v>42053</v>
      </c>
      <c r="BF104" s="5">
        <v>0.77777777777777779</v>
      </c>
      <c r="BG104" s="2" t="str" cm="1">
        <f t="array" ref="BG104">_xlfn.IFS(BF104&lt;TIMEVALUE("06:00"),"Night", BF104&gt;=TIMEVALUE("21:00"),"Night",BF104&gt;=TIMEVALUE("17:00"),"Evening",BF104&gt;=TIMEVALUE("12:00"),"Afternoon", BF104&gt;=TIMEVALUE("06:00"),"Morning")</f>
        <v>Evening</v>
      </c>
      <c r="BH104" s="2">
        <v>2015</v>
      </c>
      <c r="BI104" s="2" t="s">
        <v>423</v>
      </c>
      <c r="BJ104" s="2">
        <v>18</v>
      </c>
    </row>
    <row r="105" spans="1:62" x14ac:dyDescent="0.3">
      <c r="A105" s="2" t="s">
        <v>86</v>
      </c>
      <c r="B105" s="2">
        <v>3</v>
      </c>
      <c r="C105" s="2">
        <v>4</v>
      </c>
      <c r="D105" s="2">
        <v>47.85</v>
      </c>
      <c r="E105" s="2">
        <v>217.5</v>
      </c>
      <c r="F105" s="2" t="s">
        <v>63</v>
      </c>
      <c r="G105" s="2" t="s">
        <v>64</v>
      </c>
      <c r="H105" s="2">
        <v>24</v>
      </c>
      <c r="I105" s="2" t="s">
        <v>435</v>
      </c>
      <c r="J105" s="2" t="s">
        <v>66</v>
      </c>
      <c r="K105" s="2" t="s">
        <v>67</v>
      </c>
      <c r="L105" s="2" t="s">
        <v>414</v>
      </c>
      <c r="M105" s="2">
        <v>9204</v>
      </c>
      <c r="N105" s="2" t="s">
        <v>709</v>
      </c>
      <c r="O105" s="2" t="s">
        <v>70</v>
      </c>
      <c r="P105" s="2" t="s">
        <v>71</v>
      </c>
      <c r="Q105" s="2" t="s">
        <v>710</v>
      </c>
      <c r="R105" s="2">
        <v>725</v>
      </c>
      <c r="S105" s="2">
        <v>5</v>
      </c>
      <c r="T105" s="2" t="s">
        <v>427</v>
      </c>
      <c r="U105" s="2">
        <v>18.2845364</v>
      </c>
      <c r="V105" s="2">
        <v>-66.370605499999996</v>
      </c>
      <c r="W105" s="2" t="s">
        <v>582</v>
      </c>
      <c r="X105" s="2" t="s">
        <v>711</v>
      </c>
      <c r="Y105" s="2" t="s">
        <v>632</v>
      </c>
      <c r="Z105" s="2">
        <v>9204</v>
      </c>
      <c r="AA105" s="2" t="s">
        <v>712</v>
      </c>
      <c r="AB105" s="2">
        <v>60127</v>
      </c>
      <c r="AC105" s="2">
        <v>502</v>
      </c>
      <c r="AD105" s="2">
        <v>32.5</v>
      </c>
      <c r="AE105" s="2">
        <v>0.13</v>
      </c>
      <c r="AF105" s="2" t="str" cm="1">
        <f t="array" ref="AF105">_xlfn.IFS(AE105=0, "No Discount ", AE105&lt;=0.08,"Low Discount", AE105&lt;=0.16,"Medium Discount", AE105&gt;0.16, "High Discount")</f>
        <v>Medium Discount</v>
      </c>
      <c r="AG105" s="2">
        <v>150464</v>
      </c>
      <c r="AH105" s="2">
        <v>50</v>
      </c>
      <c r="AI105" s="2">
        <v>0.22</v>
      </c>
      <c r="AJ105" s="2" t="str" cm="1">
        <f t="array" ref="AJ105">_xlfn.IFS(AI105&lt;=0, "No Profit", AI105&lt;=0.16,"Low Profit",AI105&lt;=0.32,"Medium Profit",AI105&gt;0.32,"High Profit")</f>
        <v>Medium Profit</v>
      </c>
      <c r="AK105" s="2">
        <v>5</v>
      </c>
      <c r="AL105" s="2">
        <v>250</v>
      </c>
      <c r="AM105" s="2">
        <v>217.5</v>
      </c>
      <c r="AN105" s="2">
        <v>47.85</v>
      </c>
      <c r="AO105" s="2" t="s">
        <v>607</v>
      </c>
      <c r="AP105" s="2" t="s">
        <v>713</v>
      </c>
      <c r="AQ105" s="2" t="s">
        <v>97</v>
      </c>
      <c r="AR105" s="2" t="s">
        <v>81</v>
      </c>
      <c r="AS105" s="2">
        <v>502</v>
      </c>
      <c r="AT105" s="2">
        <v>24</v>
      </c>
      <c r="AU105" s="2" t="s">
        <v>442</v>
      </c>
      <c r="AV105" s="2">
        <v>50</v>
      </c>
      <c r="AW105" s="2">
        <v>0</v>
      </c>
      <c r="AX105" s="2" t="s">
        <v>714</v>
      </c>
      <c r="AY105" s="2" t="s">
        <v>83</v>
      </c>
      <c r="AZ105" s="4">
        <v>42882</v>
      </c>
      <c r="BA105" s="5">
        <v>0.7</v>
      </c>
      <c r="BB105" s="2">
        <v>2017</v>
      </c>
      <c r="BC105" s="2" t="s">
        <v>443</v>
      </c>
      <c r="BD105" s="2">
        <v>27</v>
      </c>
      <c r="BE105" s="4">
        <v>42885</v>
      </c>
      <c r="BF105" s="5">
        <v>0.7</v>
      </c>
      <c r="BG105" s="2" t="str" cm="1">
        <f t="array" ref="BG105">_xlfn.IFS(BF105&lt;TIMEVALUE("06:00"),"Night", BF105&gt;=TIMEVALUE("21:00"),"Night",BF105&gt;=TIMEVALUE("17:00"),"Evening",BF105&gt;=TIMEVALUE("12:00"),"Afternoon", BF105&gt;=TIMEVALUE("06:00"),"Morning")</f>
        <v>Afternoon</v>
      </c>
      <c r="BH105" s="2">
        <v>2017</v>
      </c>
      <c r="BI105" s="2" t="s">
        <v>443</v>
      </c>
      <c r="BJ105" s="2">
        <v>30</v>
      </c>
    </row>
    <row r="106" spans="1:62" x14ac:dyDescent="0.3">
      <c r="A106" s="2" t="s">
        <v>86</v>
      </c>
      <c r="B106" s="2">
        <v>4</v>
      </c>
      <c r="C106" s="2">
        <v>4</v>
      </c>
      <c r="D106" s="2">
        <v>44.19</v>
      </c>
      <c r="E106" s="2">
        <v>169.96</v>
      </c>
      <c r="F106" s="2" t="s">
        <v>100</v>
      </c>
      <c r="G106" s="2" t="s">
        <v>64</v>
      </c>
      <c r="H106" s="2">
        <v>29</v>
      </c>
      <c r="I106" s="2" t="s">
        <v>424</v>
      </c>
      <c r="J106" s="2" t="s">
        <v>66</v>
      </c>
      <c r="K106" s="2" t="s">
        <v>67</v>
      </c>
      <c r="L106" s="2" t="s">
        <v>715</v>
      </c>
      <c r="M106" s="2">
        <v>11761</v>
      </c>
      <c r="N106" s="2" t="s">
        <v>716</v>
      </c>
      <c r="O106" s="2" t="s">
        <v>70</v>
      </c>
      <c r="P106" s="2" t="s">
        <v>71</v>
      </c>
      <c r="Q106" s="2" t="s">
        <v>717</v>
      </c>
      <c r="R106" s="2">
        <v>725</v>
      </c>
      <c r="S106" s="2">
        <v>5</v>
      </c>
      <c r="T106" s="2" t="s">
        <v>427</v>
      </c>
      <c r="U106" s="2">
        <v>18.283391999999999</v>
      </c>
      <c r="V106" s="2">
        <v>-66.370513900000006</v>
      </c>
      <c r="W106" s="2" t="s">
        <v>582</v>
      </c>
      <c r="X106" s="2" t="s">
        <v>594</v>
      </c>
      <c r="Y106" s="2" t="s">
        <v>595</v>
      </c>
      <c r="Z106" s="2">
        <v>11761</v>
      </c>
      <c r="AA106" s="2" t="s">
        <v>718</v>
      </c>
      <c r="AB106" s="2">
        <v>3828</v>
      </c>
      <c r="AC106" s="2">
        <v>627</v>
      </c>
      <c r="AD106" s="2">
        <v>29.99</v>
      </c>
      <c r="AE106" s="2">
        <v>0.15</v>
      </c>
      <c r="AF106" s="2" t="str" cm="1">
        <f t="array" ref="AF106">_xlfn.IFS(AE106=0, "No Discount ", AE106&lt;=0.08,"Low Discount", AE106&lt;=0.16,"Medium Discount", AE106&gt;0.16, "High Discount")</f>
        <v>Medium Discount</v>
      </c>
      <c r="AG106" s="2">
        <v>9521</v>
      </c>
      <c r="AH106" s="2">
        <v>39.99</v>
      </c>
      <c r="AI106" s="2">
        <v>0.26</v>
      </c>
      <c r="AJ106" s="2" t="str" cm="1">
        <f t="array" ref="AJ106">_xlfn.IFS(AI106&lt;=0, "No Profit", AI106&lt;=0.16,"Low Profit",AI106&lt;=0.32,"Medium Profit",AI106&gt;0.32,"High Profit")</f>
        <v>Medium Profit</v>
      </c>
      <c r="AK106" s="2">
        <v>5</v>
      </c>
      <c r="AL106" s="2">
        <v>199.95</v>
      </c>
      <c r="AM106" s="2">
        <v>169.96</v>
      </c>
      <c r="AN106" s="2">
        <v>44.19</v>
      </c>
      <c r="AO106" s="2" t="s">
        <v>586</v>
      </c>
      <c r="AP106" s="2" t="s">
        <v>596</v>
      </c>
      <c r="AQ106" s="2" t="s">
        <v>97</v>
      </c>
      <c r="AR106" s="2" t="s">
        <v>81</v>
      </c>
      <c r="AS106" s="2">
        <v>627</v>
      </c>
      <c r="AT106" s="2">
        <v>29</v>
      </c>
      <c r="AU106" s="2" t="s">
        <v>432</v>
      </c>
      <c r="AV106" s="2">
        <v>39.99</v>
      </c>
      <c r="AW106" s="2">
        <v>0</v>
      </c>
      <c r="AX106" s="3">
        <v>42007.865277777775</v>
      </c>
      <c r="AY106" s="2" t="s">
        <v>83</v>
      </c>
      <c r="AZ106" s="4">
        <v>42060</v>
      </c>
      <c r="BA106" s="5">
        <v>0.86527777777777781</v>
      </c>
      <c r="BB106" s="2">
        <v>2015</v>
      </c>
      <c r="BC106" s="2" t="s">
        <v>423</v>
      </c>
      <c r="BD106" s="2">
        <v>25</v>
      </c>
      <c r="BE106" s="4">
        <v>42007</v>
      </c>
      <c r="BF106" s="5">
        <v>0.86527777777777781</v>
      </c>
      <c r="BG106" s="2" t="str" cm="1">
        <f t="array" ref="BG106">_xlfn.IFS(BF106&lt;TIMEVALUE("06:00"),"Night", BF106&gt;=TIMEVALUE("21:00"),"Night",BF106&gt;=TIMEVALUE("17:00"),"Evening",BF106&gt;=TIMEVALUE("12:00"),"Afternoon", BF106&gt;=TIMEVALUE("06:00"),"Morning")</f>
        <v>Evening</v>
      </c>
      <c r="BH106" s="2">
        <v>2015</v>
      </c>
      <c r="BI106" s="2" t="s">
        <v>84</v>
      </c>
      <c r="BJ106" s="2">
        <v>3</v>
      </c>
    </row>
    <row r="107" spans="1:62" x14ac:dyDescent="0.3">
      <c r="A107" s="2" t="s">
        <v>86</v>
      </c>
      <c r="B107" s="2">
        <v>2</v>
      </c>
      <c r="C107" s="2">
        <v>4</v>
      </c>
      <c r="D107" s="2">
        <v>8.5</v>
      </c>
      <c r="E107" s="2">
        <v>212.5</v>
      </c>
      <c r="F107" s="2" t="s">
        <v>63</v>
      </c>
      <c r="G107" s="2" t="s">
        <v>64</v>
      </c>
      <c r="H107" s="2">
        <v>24</v>
      </c>
      <c r="I107" s="2" t="s">
        <v>435</v>
      </c>
      <c r="J107" s="2" t="s">
        <v>66</v>
      </c>
      <c r="K107" s="2" t="s">
        <v>67</v>
      </c>
      <c r="L107" s="2" t="s">
        <v>414</v>
      </c>
      <c r="M107" s="2">
        <v>9554</v>
      </c>
      <c r="N107" s="2" t="s">
        <v>719</v>
      </c>
      <c r="O107" s="2" t="s">
        <v>70</v>
      </c>
      <c r="P107" s="2" t="s">
        <v>71</v>
      </c>
      <c r="Q107" s="2" t="s">
        <v>720</v>
      </c>
      <c r="R107" s="2">
        <v>725</v>
      </c>
      <c r="S107" s="2">
        <v>5</v>
      </c>
      <c r="T107" s="2" t="s">
        <v>427</v>
      </c>
      <c r="U107" s="2">
        <v>18.221725500000002</v>
      </c>
      <c r="V107" s="2">
        <v>-66.370590199999995</v>
      </c>
      <c r="W107" s="2" t="s">
        <v>582</v>
      </c>
      <c r="X107" s="2" t="s">
        <v>721</v>
      </c>
      <c r="Y107" s="2" t="s">
        <v>632</v>
      </c>
      <c r="Z107" s="2">
        <v>9554</v>
      </c>
      <c r="AA107" s="2" t="s">
        <v>722</v>
      </c>
      <c r="AB107" s="2">
        <v>60386</v>
      </c>
      <c r="AC107" s="2">
        <v>502</v>
      </c>
      <c r="AD107" s="2">
        <v>37.5</v>
      </c>
      <c r="AE107" s="2">
        <v>0.15</v>
      </c>
      <c r="AF107" s="2" t="str" cm="1">
        <f t="array" ref="AF107">_xlfn.IFS(AE107=0, "No Discount ", AE107&lt;=0.08,"Low Discount", AE107&lt;=0.16,"Medium Discount", AE107&gt;0.16, "High Discount")</f>
        <v>Medium Discount</v>
      </c>
      <c r="AG107" s="2">
        <v>151122</v>
      </c>
      <c r="AH107" s="2">
        <v>50</v>
      </c>
      <c r="AI107" s="2">
        <v>0.04</v>
      </c>
      <c r="AJ107" s="2" t="str" cm="1">
        <f t="array" ref="AJ107">_xlfn.IFS(AI107&lt;=0, "No Profit", AI107&lt;=0.16,"Low Profit",AI107&lt;=0.32,"Medium Profit",AI107&gt;0.32,"High Profit")</f>
        <v>Low Profit</v>
      </c>
      <c r="AK107" s="2">
        <v>5</v>
      </c>
      <c r="AL107" s="2">
        <v>250</v>
      </c>
      <c r="AM107" s="2">
        <v>212.5</v>
      </c>
      <c r="AN107" s="2">
        <v>8.5</v>
      </c>
      <c r="AO107" s="2" t="s">
        <v>607</v>
      </c>
      <c r="AP107" s="2" t="s">
        <v>723</v>
      </c>
      <c r="AQ107" s="2" t="s">
        <v>97</v>
      </c>
      <c r="AR107" s="2" t="s">
        <v>81</v>
      </c>
      <c r="AS107" s="2">
        <v>502</v>
      </c>
      <c r="AT107" s="2">
        <v>24</v>
      </c>
      <c r="AU107" s="2" t="s">
        <v>442</v>
      </c>
      <c r="AV107" s="2">
        <v>50</v>
      </c>
      <c r="AW107" s="2">
        <v>0</v>
      </c>
      <c r="AX107" s="3">
        <v>42772.481249999997</v>
      </c>
      <c r="AY107" s="2" t="s">
        <v>83</v>
      </c>
      <c r="AZ107" s="4">
        <v>42886</v>
      </c>
      <c r="BA107" s="5">
        <v>0.48125000000000001</v>
      </c>
      <c r="BB107" s="2">
        <v>2017</v>
      </c>
      <c r="BC107" s="2" t="s">
        <v>443</v>
      </c>
      <c r="BD107" s="2">
        <v>31</v>
      </c>
      <c r="BE107" s="4">
        <v>42772</v>
      </c>
      <c r="BF107" s="5">
        <v>0.48125000000000001</v>
      </c>
      <c r="BG107" s="2" t="str" cm="1">
        <f t="array" ref="BG107">_xlfn.IFS(BF107&lt;TIMEVALUE("06:00"),"Night", BF107&gt;=TIMEVALUE("21:00"),"Night",BF107&gt;=TIMEVALUE("17:00"),"Evening",BF107&gt;=TIMEVALUE("12:00"),"Afternoon", BF107&gt;=TIMEVALUE("06:00"),"Morning")</f>
        <v>Morning</v>
      </c>
      <c r="BH107" s="2">
        <v>2017</v>
      </c>
      <c r="BI107" s="2" t="s">
        <v>423</v>
      </c>
      <c r="BJ107" s="2">
        <v>6</v>
      </c>
    </row>
    <row r="108" spans="1:62" x14ac:dyDescent="0.3">
      <c r="A108" s="2" t="s">
        <v>86</v>
      </c>
      <c r="B108" s="2">
        <v>4</v>
      </c>
      <c r="C108" s="2">
        <v>4</v>
      </c>
      <c r="D108" s="2">
        <v>83.98</v>
      </c>
      <c r="E108" s="2">
        <v>167.96</v>
      </c>
      <c r="F108" s="2" t="s">
        <v>100</v>
      </c>
      <c r="G108" s="2" t="s">
        <v>64</v>
      </c>
      <c r="H108" s="2">
        <v>29</v>
      </c>
      <c r="I108" s="2" t="s">
        <v>424</v>
      </c>
      <c r="J108" s="2" t="s">
        <v>66</v>
      </c>
      <c r="K108" s="2" t="s">
        <v>67</v>
      </c>
      <c r="L108" s="2" t="s">
        <v>414</v>
      </c>
      <c r="M108" s="2">
        <v>5118</v>
      </c>
      <c r="N108" s="2" t="s">
        <v>425</v>
      </c>
      <c r="O108" s="2" t="s">
        <v>70</v>
      </c>
      <c r="P108" s="2" t="s">
        <v>71</v>
      </c>
      <c r="Q108" s="2" t="s">
        <v>724</v>
      </c>
      <c r="R108" s="2">
        <v>725</v>
      </c>
      <c r="S108" s="2">
        <v>5</v>
      </c>
      <c r="T108" s="2" t="s">
        <v>427</v>
      </c>
      <c r="U108" s="2">
        <v>18.253332100000002</v>
      </c>
      <c r="V108" s="2">
        <v>-66.370513900000006</v>
      </c>
      <c r="W108" s="2" t="s">
        <v>582</v>
      </c>
      <c r="X108" s="2" t="s">
        <v>725</v>
      </c>
      <c r="Y108" s="2" t="s">
        <v>684</v>
      </c>
      <c r="Z108" s="2">
        <v>5118</v>
      </c>
      <c r="AA108" s="2" t="s">
        <v>726</v>
      </c>
      <c r="AB108" s="2">
        <v>973</v>
      </c>
      <c r="AC108" s="2">
        <v>627</v>
      </c>
      <c r="AD108" s="2">
        <v>31.99</v>
      </c>
      <c r="AE108" s="2">
        <v>0.16</v>
      </c>
      <c r="AF108" s="2" t="str" cm="1">
        <f t="array" ref="AF108">_xlfn.IFS(AE108=0, "No Discount ", AE108&lt;=0.08,"Low Discount", AE108&lt;=0.16,"Medium Discount", AE108&gt;0.16, "High Discount")</f>
        <v>Medium Discount</v>
      </c>
      <c r="AG108" s="2">
        <v>2420</v>
      </c>
      <c r="AH108" s="2">
        <v>39.99</v>
      </c>
      <c r="AI108" s="2">
        <v>0.5</v>
      </c>
      <c r="AJ108" s="2" t="str" cm="1">
        <f t="array" ref="AJ108">_xlfn.IFS(AI108&lt;=0, "No Profit", AI108&lt;=0.16,"Low Profit",AI108&lt;=0.32,"Medium Profit",AI108&gt;0.32,"High Profit")</f>
        <v>High Profit</v>
      </c>
      <c r="AK108" s="2">
        <v>5</v>
      </c>
      <c r="AL108" s="2">
        <v>199.95</v>
      </c>
      <c r="AM108" s="2">
        <v>167.96</v>
      </c>
      <c r="AN108" s="2">
        <v>83.98</v>
      </c>
      <c r="AO108" s="2" t="s">
        <v>601</v>
      </c>
      <c r="AP108" s="2" t="s">
        <v>725</v>
      </c>
      <c r="AQ108" s="2" t="s">
        <v>97</v>
      </c>
      <c r="AR108" s="2" t="s">
        <v>81</v>
      </c>
      <c r="AS108" s="2">
        <v>627</v>
      </c>
      <c r="AT108" s="2">
        <v>29</v>
      </c>
      <c r="AU108" s="2" t="s">
        <v>432</v>
      </c>
      <c r="AV108" s="2">
        <v>39.99</v>
      </c>
      <c r="AW108" s="2">
        <v>0</v>
      </c>
      <c r="AX108" s="2" t="s">
        <v>727</v>
      </c>
      <c r="AY108" s="2" t="s">
        <v>83</v>
      </c>
      <c r="AZ108" s="4">
        <v>42019</v>
      </c>
      <c r="BA108" s="5">
        <v>0.18888888888888888</v>
      </c>
      <c r="BB108" s="2">
        <v>2015</v>
      </c>
      <c r="BC108" s="2" t="s">
        <v>84</v>
      </c>
      <c r="BD108" s="2">
        <v>15</v>
      </c>
      <c r="BE108" s="4">
        <v>42023</v>
      </c>
      <c r="BF108" s="5">
        <v>0.18888888888888888</v>
      </c>
      <c r="BG108" s="2" t="str" cm="1">
        <f t="array" ref="BG108">_xlfn.IFS(BF108&lt;TIMEVALUE("06:00"),"Night", BF108&gt;=TIMEVALUE("21:00"),"Night",BF108&gt;=TIMEVALUE("17:00"),"Evening",BF108&gt;=TIMEVALUE("12:00"),"Afternoon", BF108&gt;=TIMEVALUE("06:00"),"Morning")</f>
        <v>Night</v>
      </c>
      <c r="BH108" s="2">
        <v>2015</v>
      </c>
      <c r="BI108" s="2" t="s">
        <v>84</v>
      </c>
      <c r="BJ108" s="2">
        <v>19</v>
      </c>
    </row>
    <row r="109" spans="1:62" x14ac:dyDescent="0.3">
      <c r="A109" s="2" t="s">
        <v>86</v>
      </c>
      <c r="B109" s="2">
        <v>5</v>
      </c>
      <c r="C109" s="2">
        <v>4</v>
      </c>
      <c r="D109" s="2">
        <v>70.14</v>
      </c>
      <c r="E109" s="2">
        <v>207.5</v>
      </c>
      <c r="F109" s="2" t="s">
        <v>87</v>
      </c>
      <c r="G109" s="2" t="s">
        <v>88</v>
      </c>
      <c r="H109" s="2">
        <v>24</v>
      </c>
      <c r="I109" s="2" t="s">
        <v>435</v>
      </c>
      <c r="J109" s="2" t="s">
        <v>66</v>
      </c>
      <c r="K109" s="2" t="s">
        <v>67</v>
      </c>
      <c r="L109" s="2" t="s">
        <v>570</v>
      </c>
      <c r="M109" s="2">
        <v>5506</v>
      </c>
      <c r="N109" s="2" t="s">
        <v>425</v>
      </c>
      <c r="O109" s="2" t="s">
        <v>70</v>
      </c>
      <c r="P109" s="2" t="s">
        <v>71</v>
      </c>
      <c r="Q109" s="2" t="s">
        <v>728</v>
      </c>
      <c r="R109" s="2">
        <v>725</v>
      </c>
      <c r="S109" s="2">
        <v>5</v>
      </c>
      <c r="T109" s="2" t="s">
        <v>427</v>
      </c>
      <c r="U109" s="2">
        <v>18.229768799999999</v>
      </c>
      <c r="V109" s="2">
        <v>-66.370529199999993</v>
      </c>
      <c r="W109" s="2" t="s">
        <v>582</v>
      </c>
      <c r="X109" s="2" t="s">
        <v>729</v>
      </c>
      <c r="Y109" s="2" t="s">
        <v>627</v>
      </c>
      <c r="Z109" s="2">
        <v>5506</v>
      </c>
      <c r="AA109" s="2" t="s">
        <v>730</v>
      </c>
      <c r="AB109" s="2">
        <v>57999</v>
      </c>
      <c r="AC109" s="2">
        <v>502</v>
      </c>
      <c r="AD109" s="2">
        <v>42.5</v>
      </c>
      <c r="AE109" s="2">
        <v>0.17</v>
      </c>
      <c r="AF109" s="2" t="str" cm="1">
        <f t="array" ref="AF109">_xlfn.IFS(AE109=0, "No Discount ", AE109&lt;=0.08,"Low Discount", AE109&lt;=0.16,"Medium Discount", AE109&gt;0.16, "High Discount")</f>
        <v>High Discount</v>
      </c>
      <c r="AG109" s="2">
        <v>145119</v>
      </c>
      <c r="AH109" s="2">
        <v>50</v>
      </c>
      <c r="AI109" s="2">
        <v>0.34</v>
      </c>
      <c r="AJ109" s="2" t="str" cm="1">
        <f t="array" ref="AJ109">_xlfn.IFS(AI109&lt;=0, "No Profit", AI109&lt;=0.16,"Low Profit",AI109&lt;=0.32,"Medium Profit",AI109&gt;0.32,"High Profit")</f>
        <v>High Profit</v>
      </c>
      <c r="AK109" s="2">
        <v>5</v>
      </c>
      <c r="AL109" s="2">
        <v>250</v>
      </c>
      <c r="AM109" s="2">
        <v>207.5</v>
      </c>
      <c r="AN109" s="2">
        <v>70.14</v>
      </c>
      <c r="AO109" s="2" t="s">
        <v>586</v>
      </c>
      <c r="AP109" s="2" t="s">
        <v>731</v>
      </c>
      <c r="AQ109" s="2" t="s">
        <v>97</v>
      </c>
      <c r="AR109" s="2" t="s">
        <v>81</v>
      </c>
      <c r="AS109" s="2">
        <v>502</v>
      </c>
      <c r="AT109" s="2">
        <v>24</v>
      </c>
      <c r="AU109" s="2" t="s">
        <v>442</v>
      </c>
      <c r="AV109" s="2">
        <v>50</v>
      </c>
      <c r="AW109" s="2">
        <v>0</v>
      </c>
      <c r="AX109" s="3">
        <v>42740.636111111111</v>
      </c>
      <c r="AY109" s="2" t="s">
        <v>83</v>
      </c>
      <c r="AZ109" s="4">
        <v>42851</v>
      </c>
      <c r="BA109" s="5">
        <v>0.63611111111111107</v>
      </c>
      <c r="BB109" s="2">
        <v>2017</v>
      </c>
      <c r="BC109" s="2" t="s">
        <v>487</v>
      </c>
      <c r="BD109" s="2">
        <v>26</v>
      </c>
      <c r="BE109" s="4">
        <v>42740</v>
      </c>
      <c r="BF109" s="5">
        <v>0.63611111111111107</v>
      </c>
      <c r="BG109" s="2" t="str" cm="1">
        <f t="array" ref="BG109">_xlfn.IFS(BF109&lt;TIMEVALUE("06:00"),"Night", BF109&gt;=TIMEVALUE("21:00"),"Night",BF109&gt;=TIMEVALUE("17:00"),"Evening",BF109&gt;=TIMEVALUE("12:00"),"Afternoon", BF109&gt;=TIMEVALUE("06:00"),"Morning")</f>
        <v>Afternoon</v>
      </c>
      <c r="BH109" s="2">
        <v>2017</v>
      </c>
      <c r="BI109" s="2" t="s">
        <v>84</v>
      </c>
      <c r="BJ109" s="2">
        <v>5</v>
      </c>
    </row>
    <row r="110" spans="1:62" x14ac:dyDescent="0.3">
      <c r="A110" s="2" t="s">
        <v>86</v>
      </c>
      <c r="B110" s="2">
        <v>6</v>
      </c>
      <c r="C110" s="2">
        <v>4</v>
      </c>
      <c r="D110" s="2">
        <v>72.63</v>
      </c>
      <c r="E110" s="2">
        <v>207.5</v>
      </c>
      <c r="F110" s="2" t="s">
        <v>87</v>
      </c>
      <c r="G110" s="2" t="s">
        <v>88</v>
      </c>
      <c r="H110" s="2">
        <v>24</v>
      </c>
      <c r="I110" s="2" t="s">
        <v>435</v>
      </c>
      <c r="J110" s="2" t="s">
        <v>66</v>
      </c>
      <c r="K110" s="2" t="s">
        <v>67</v>
      </c>
      <c r="L110" s="2" t="s">
        <v>414</v>
      </c>
      <c r="M110" s="2">
        <v>1423</v>
      </c>
      <c r="N110" s="2" t="s">
        <v>732</v>
      </c>
      <c r="O110" s="2" t="s">
        <v>70</v>
      </c>
      <c r="P110" s="2" t="s">
        <v>71</v>
      </c>
      <c r="Q110" s="2" t="s">
        <v>733</v>
      </c>
      <c r="R110" s="2">
        <v>725</v>
      </c>
      <c r="S110" s="2">
        <v>5</v>
      </c>
      <c r="T110" s="2" t="s">
        <v>427</v>
      </c>
      <c r="U110" s="2">
        <v>18.229783999999999</v>
      </c>
      <c r="V110" s="2">
        <v>-66.3705444</v>
      </c>
      <c r="W110" s="2" t="s">
        <v>582</v>
      </c>
      <c r="X110" s="2" t="s">
        <v>734</v>
      </c>
      <c r="Y110" s="2" t="s">
        <v>735</v>
      </c>
      <c r="Z110" s="2">
        <v>1423</v>
      </c>
      <c r="AA110" s="3">
        <v>42919.8</v>
      </c>
      <c r="AB110" s="2">
        <v>54585</v>
      </c>
      <c r="AC110" s="2">
        <v>502</v>
      </c>
      <c r="AD110" s="2">
        <v>42.5</v>
      </c>
      <c r="AE110" s="2">
        <v>0.17</v>
      </c>
      <c r="AF110" s="2" t="str" cm="1">
        <f t="array" ref="AF110">_xlfn.IFS(AE110=0, "No Discount ", AE110&lt;=0.08,"Low Discount", AE110&lt;=0.16,"Medium Discount", AE110&gt;0.16, "High Discount")</f>
        <v>High Discount</v>
      </c>
      <c r="AG110" s="2">
        <v>136527</v>
      </c>
      <c r="AH110" s="2">
        <v>50</v>
      </c>
      <c r="AI110" s="2">
        <v>0.35</v>
      </c>
      <c r="AJ110" s="2" t="str" cm="1">
        <f t="array" ref="AJ110">_xlfn.IFS(AI110&lt;=0, "No Profit", AI110&lt;=0.16,"Low Profit",AI110&lt;=0.32,"Medium Profit",AI110&gt;0.32,"High Profit")</f>
        <v>High Profit</v>
      </c>
      <c r="AK110" s="2">
        <v>5</v>
      </c>
      <c r="AL110" s="2">
        <v>250</v>
      </c>
      <c r="AM110" s="2">
        <v>207.5</v>
      </c>
      <c r="AN110" s="2">
        <v>72.63</v>
      </c>
      <c r="AO110" s="2" t="s">
        <v>607</v>
      </c>
      <c r="AP110" s="2" t="s">
        <v>736</v>
      </c>
      <c r="AQ110" s="2" t="s">
        <v>97</v>
      </c>
      <c r="AR110" s="2" t="s">
        <v>81</v>
      </c>
      <c r="AS110" s="2">
        <v>502</v>
      </c>
      <c r="AT110" s="2">
        <v>24</v>
      </c>
      <c r="AU110" s="2" t="s">
        <v>442</v>
      </c>
      <c r="AV110" s="2">
        <v>50</v>
      </c>
      <c r="AW110" s="2">
        <v>0</v>
      </c>
      <c r="AX110" s="2" t="s">
        <v>737</v>
      </c>
      <c r="AY110" s="2" t="s">
        <v>83</v>
      </c>
      <c r="AZ110" s="4">
        <v>42919</v>
      </c>
      <c r="BA110" s="5">
        <v>0.8</v>
      </c>
      <c r="BB110" s="2">
        <v>2017</v>
      </c>
      <c r="BC110" s="2" t="s">
        <v>533</v>
      </c>
      <c r="BD110" s="2">
        <v>3</v>
      </c>
      <c r="BE110" s="4">
        <v>42807</v>
      </c>
      <c r="BF110" s="5">
        <v>0.8</v>
      </c>
      <c r="BG110" s="2" t="str" cm="1">
        <f t="array" ref="BG110">_xlfn.IFS(BF110&lt;TIMEVALUE("06:00"),"Night", BF110&gt;=TIMEVALUE("21:00"),"Night",BF110&gt;=TIMEVALUE("17:00"),"Evening",BF110&gt;=TIMEVALUE("12:00"),"Afternoon", BF110&gt;=TIMEVALUE("06:00"),"Morning")</f>
        <v>Evening</v>
      </c>
      <c r="BH110" s="2">
        <v>2017</v>
      </c>
      <c r="BI110" s="2" t="s">
        <v>85</v>
      </c>
      <c r="BJ110" s="2">
        <v>13</v>
      </c>
    </row>
    <row r="111" spans="1:62" x14ac:dyDescent="0.3">
      <c r="A111" s="2" t="s">
        <v>86</v>
      </c>
      <c r="B111" s="2">
        <v>4</v>
      </c>
      <c r="C111" s="2">
        <v>4</v>
      </c>
      <c r="D111" s="2">
        <v>-140</v>
      </c>
      <c r="E111" s="2">
        <v>200</v>
      </c>
      <c r="F111" s="2" t="s">
        <v>100</v>
      </c>
      <c r="G111" s="2" t="s">
        <v>64</v>
      </c>
      <c r="H111" s="2">
        <v>24</v>
      </c>
      <c r="I111" s="2" t="s">
        <v>435</v>
      </c>
      <c r="J111" s="2" t="s">
        <v>66</v>
      </c>
      <c r="K111" s="2" t="s">
        <v>67</v>
      </c>
      <c r="L111" s="2" t="s">
        <v>414</v>
      </c>
      <c r="M111" s="2">
        <v>138</v>
      </c>
      <c r="N111" s="2" t="s">
        <v>738</v>
      </c>
      <c r="O111" s="2" t="s">
        <v>70</v>
      </c>
      <c r="P111" s="2" t="s">
        <v>71</v>
      </c>
      <c r="Q111" s="2" t="s">
        <v>739</v>
      </c>
      <c r="R111" s="2">
        <v>725</v>
      </c>
      <c r="S111" s="2">
        <v>5</v>
      </c>
      <c r="T111" s="2" t="s">
        <v>427</v>
      </c>
      <c r="U111" s="2">
        <v>18.227581000000001</v>
      </c>
      <c r="V111" s="2">
        <v>-66.043571499999999</v>
      </c>
      <c r="W111" s="2" t="s">
        <v>582</v>
      </c>
      <c r="X111" s="2" t="s">
        <v>740</v>
      </c>
      <c r="Y111" s="2" t="s">
        <v>684</v>
      </c>
      <c r="Z111" s="2">
        <v>138</v>
      </c>
      <c r="AA111" s="2" t="s">
        <v>741</v>
      </c>
      <c r="AB111" s="2">
        <v>57598</v>
      </c>
      <c r="AC111" s="2">
        <v>502</v>
      </c>
      <c r="AD111" s="2">
        <v>50</v>
      </c>
      <c r="AE111" s="2">
        <v>0.2</v>
      </c>
      <c r="AF111" s="2" t="str" cm="1">
        <f t="array" ref="AF111">_xlfn.IFS(AE111=0, "No Discount ", AE111&lt;=0.08,"Low Discount", AE111&lt;=0.16,"Medium Discount", AE111&gt;0.16, "High Discount")</f>
        <v>High Discount</v>
      </c>
      <c r="AG111" s="2">
        <v>144075</v>
      </c>
      <c r="AH111" s="2">
        <v>50</v>
      </c>
      <c r="AI111" s="2">
        <v>-0.7</v>
      </c>
      <c r="AJ111" s="2" t="str" cm="1">
        <f t="array" ref="AJ111">_xlfn.IFS(AI111&lt;=0, "No Profit", AI111&lt;=0.16,"Low Profit",AI111&lt;=0.32,"Medium Profit",AI111&gt;0.32,"High Profit")</f>
        <v>No Profit</v>
      </c>
      <c r="AK111" s="2">
        <v>5</v>
      </c>
      <c r="AL111" s="2">
        <v>250</v>
      </c>
      <c r="AM111" s="2">
        <v>200</v>
      </c>
      <c r="AN111" s="2">
        <v>-140</v>
      </c>
      <c r="AO111" s="2" t="s">
        <v>601</v>
      </c>
      <c r="AP111" s="2" t="s">
        <v>740</v>
      </c>
      <c r="AQ111" s="2" t="s">
        <v>97</v>
      </c>
      <c r="AR111" s="2" t="s">
        <v>81</v>
      </c>
      <c r="AS111" s="2">
        <v>502</v>
      </c>
      <c r="AT111" s="2">
        <v>24</v>
      </c>
      <c r="AU111" s="2" t="s">
        <v>442</v>
      </c>
      <c r="AV111" s="2">
        <v>50</v>
      </c>
      <c r="AW111" s="2">
        <v>0</v>
      </c>
      <c r="AX111" s="2" t="s">
        <v>742</v>
      </c>
      <c r="AY111" s="2" t="s">
        <v>83</v>
      </c>
      <c r="AZ111" s="4">
        <v>42845</v>
      </c>
      <c r="BA111" s="5">
        <v>0.78263888888888888</v>
      </c>
      <c r="BB111" s="2">
        <v>2017</v>
      </c>
      <c r="BC111" s="2" t="s">
        <v>487</v>
      </c>
      <c r="BD111" s="2">
        <v>20</v>
      </c>
      <c r="BE111" s="4">
        <v>42849</v>
      </c>
      <c r="BF111" s="5">
        <v>0.78263888888888888</v>
      </c>
      <c r="BG111" s="2" t="str" cm="1">
        <f t="array" ref="BG111">_xlfn.IFS(BF111&lt;TIMEVALUE("06:00"),"Night", BF111&gt;=TIMEVALUE("21:00"),"Night",BF111&gt;=TIMEVALUE("17:00"),"Evening",BF111&gt;=TIMEVALUE("12:00"),"Afternoon", BF111&gt;=TIMEVALUE("06:00"),"Morning")</f>
        <v>Evening</v>
      </c>
      <c r="BH111" s="2">
        <v>2017</v>
      </c>
      <c r="BI111" s="2" t="s">
        <v>487</v>
      </c>
      <c r="BJ111" s="2">
        <v>24</v>
      </c>
    </row>
    <row r="112" spans="1:62" x14ac:dyDescent="0.3">
      <c r="A112" s="2" t="s">
        <v>86</v>
      </c>
      <c r="B112" s="2">
        <v>5</v>
      </c>
      <c r="C112" s="2">
        <v>4</v>
      </c>
      <c r="D112" s="2">
        <v>-32.6</v>
      </c>
      <c r="E112" s="2">
        <v>200</v>
      </c>
      <c r="F112" s="2" t="s">
        <v>87</v>
      </c>
      <c r="G112" s="2" t="s">
        <v>88</v>
      </c>
      <c r="H112" s="2">
        <v>24</v>
      </c>
      <c r="I112" s="2" t="s">
        <v>435</v>
      </c>
      <c r="J112" s="2" t="s">
        <v>66</v>
      </c>
      <c r="K112" s="2" t="s">
        <v>67</v>
      </c>
      <c r="L112" s="2" t="s">
        <v>414</v>
      </c>
      <c r="M112" s="2">
        <v>6360</v>
      </c>
      <c r="N112" s="2" t="s">
        <v>743</v>
      </c>
      <c r="O112" s="2" t="s">
        <v>70</v>
      </c>
      <c r="P112" s="2" t="s">
        <v>71</v>
      </c>
      <c r="Q112" s="2" t="s">
        <v>744</v>
      </c>
      <c r="R112" s="2">
        <v>725</v>
      </c>
      <c r="S112" s="2">
        <v>5</v>
      </c>
      <c r="T112" s="2" t="s">
        <v>427</v>
      </c>
      <c r="U112" s="2">
        <v>18.222972899999998</v>
      </c>
      <c r="V112" s="2">
        <v>-66.370590199999995</v>
      </c>
      <c r="W112" s="2" t="s">
        <v>582</v>
      </c>
      <c r="X112" s="2" t="s">
        <v>745</v>
      </c>
      <c r="Y112" s="2" t="s">
        <v>638</v>
      </c>
      <c r="Z112" s="2">
        <v>6360</v>
      </c>
      <c r="AA112" s="3">
        <v>42797.259722222225</v>
      </c>
      <c r="AB112" s="2">
        <v>54274</v>
      </c>
      <c r="AC112" s="2">
        <v>502</v>
      </c>
      <c r="AD112" s="2">
        <v>50</v>
      </c>
      <c r="AE112" s="2">
        <v>0.2</v>
      </c>
      <c r="AF112" s="2" t="str" cm="1">
        <f t="array" ref="AF112">_xlfn.IFS(AE112=0, "No Discount ", AE112&lt;=0.08,"Low Discount", AE112&lt;=0.16,"Medium Discount", AE112&gt;0.16, "High Discount")</f>
        <v>High Discount</v>
      </c>
      <c r="AG112" s="2">
        <v>135699</v>
      </c>
      <c r="AH112" s="2">
        <v>50</v>
      </c>
      <c r="AI112" s="2">
        <v>-0.16</v>
      </c>
      <c r="AJ112" s="2" t="str" cm="1">
        <f t="array" ref="AJ112">_xlfn.IFS(AI112&lt;=0, "No Profit", AI112&lt;=0.16,"Low Profit",AI112&lt;=0.32,"Medium Profit",AI112&gt;0.32,"High Profit")</f>
        <v>No Profit</v>
      </c>
      <c r="AK112" s="2">
        <v>5</v>
      </c>
      <c r="AL112" s="2">
        <v>250</v>
      </c>
      <c r="AM112" s="2">
        <v>200</v>
      </c>
      <c r="AN112" s="2">
        <v>-32.6</v>
      </c>
      <c r="AO112" s="2" t="s">
        <v>586</v>
      </c>
      <c r="AP112" s="2" t="s">
        <v>746</v>
      </c>
      <c r="AQ112" s="2" t="s">
        <v>97</v>
      </c>
      <c r="AR112" s="2" t="s">
        <v>81</v>
      </c>
      <c r="AS112" s="2">
        <v>502</v>
      </c>
      <c r="AT112" s="2">
        <v>24</v>
      </c>
      <c r="AU112" s="2" t="s">
        <v>442</v>
      </c>
      <c r="AV112" s="2">
        <v>50</v>
      </c>
      <c r="AW112" s="2">
        <v>0</v>
      </c>
      <c r="AX112" s="3">
        <v>42950.259722222225</v>
      </c>
      <c r="AY112" s="2" t="s">
        <v>83</v>
      </c>
      <c r="AZ112" s="4">
        <v>42797</v>
      </c>
      <c r="BA112" s="5">
        <v>0.25972222222222224</v>
      </c>
      <c r="BB112" s="2">
        <v>2017</v>
      </c>
      <c r="BC112" s="2" t="s">
        <v>85</v>
      </c>
      <c r="BD112" s="2">
        <v>3</v>
      </c>
      <c r="BE112" s="4">
        <v>42950</v>
      </c>
      <c r="BF112" s="5">
        <v>0.25972222222222224</v>
      </c>
      <c r="BG112" s="2" t="str" cm="1">
        <f t="array" ref="BG112">_xlfn.IFS(BF112&lt;TIMEVALUE("06:00"),"Night", BF112&gt;=TIMEVALUE("21:00"),"Night",BF112&gt;=TIMEVALUE("17:00"),"Evening",BF112&gt;=TIMEVALUE("12:00"),"Afternoon", BF112&gt;=TIMEVALUE("06:00"),"Morning")</f>
        <v>Morning</v>
      </c>
      <c r="BH112" s="2">
        <v>2017</v>
      </c>
      <c r="BI112" s="2" t="s">
        <v>482</v>
      </c>
      <c r="BJ112" s="2">
        <v>3</v>
      </c>
    </row>
    <row r="113" spans="1:62" x14ac:dyDescent="0.3">
      <c r="A113" s="2" t="s">
        <v>86</v>
      </c>
      <c r="B113" s="2">
        <v>4</v>
      </c>
      <c r="C113" s="2">
        <v>4</v>
      </c>
      <c r="D113" s="2">
        <v>68.98</v>
      </c>
      <c r="E113" s="2">
        <v>149.96</v>
      </c>
      <c r="F113" s="2" t="s">
        <v>100</v>
      </c>
      <c r="G113" s="2" t="s">
        <v>64</v>
      </c>
      <c r="H113" s="2">
        <v>29</v>
      </c>
      <c r="I113" s="2" t="s">
        <v>424</v>
      </c>
      <c r="J113" s="2" t="s">
        <v>66</v>
      </c>
      <c r="K113" s="2" t="s">
        <v>67</v>
      </c>
      <c r="L113" s="2" t="s">
        <v>655</v>
      </c>
      <c r="M113" s="2">
        <v>2053</v>
      </c>
      <c r="N113" s="2" t="s">
        <v>425</v>
      </c>
      <c r="O113" s="2" t="s">
        <v>70</v>
      </c>
      <c r="P113" s="2" t="s">
        <v>71</v>
      </c>
      <c r="Q113" s="2" t="s">
        <v>747</v>
      </c>
      <c r="R113" s="2">
        <v>725</v>
      </c>
      <c r="S113" s="2">
        <v>5</v>
      </c>
      <c r="T113" s="2" t="s">
        <v>427</v>
      </c>
      <c r="U113" s="2">
        <v>18.2412071</v>
      </c>
      <c r="V113" s="2">
        <v>-66.370506300000002</v>
      </c>
      <c r="W113" s="2" t="s">
        <v>582</v>
      </c>
      <c r="X113" s="2" t="s">
        <v>748</v>
      </c>
      <c r="Y113" s="2" t="s">
        <v>749</v>
      </c>
      <c r="Z113" s="2">
        <v>2053</v>
      </c>
      <c r="AA113" s="3">
        <v>42831.67083333333</v>
      </c>
      <c r="AB113" s="2">
        <v>60673</v>
      </c>
      <c r="AC113" s="2">
        <v>627</v>
      </c>
      <c r="AD113" s="2">
        <v>49.99</v>
      </c>
      <c r="AE113" s="2">
        <v>0.25</v>
      </c>
      <c r="AF113" s="2" t="str" cm="1">
        <f t="array" ref="AF113">_xlfn.IFS(AE113=0, "No Discount ", AE113&lt;=0.08,"Low Discount", AE113&lt;=0.16,"Medium Discount", AE113&gt;0.16, "High Discount")</f>
        <v>High Discount</v>
      </c>
      <c r="AG113" s="2">
        <v>151869</v>
      </c>
      <c r="AH113" s="2">
        <v>39.99</v>
      </c>
      <c r="AI113" s="2">
        <v>0.46</v>
      </c>
      <c r="AJ113" s="2" t="str" cm="1">
        <f t="array" ref="AJ113">_xlfn.IFS(AI113&lt;=0, "No Profit", AI113&lt;=0.16,"Low Profit",AI113&lt;=0.32,"Medium Profit",AI113&gt;0.32,"High Profit")</f>
        <v>High Profit</v>
      </c>
      <c r="AK113" s="2">
        <v>5</v>
      </c>
      <c r="AL113" s="2">
        <v>199.95</v>
      </c>
      <c r="AM113" s="2">
        <v>149.96</v>
      </c>
      <c r="AN113" s="2">
        <v>68.98</v>
      </c>
      <c r="AO113" s="2" t="s">
        <v>586</v>
      </c>
      <c r="AP113" s="2" t="s">
        <v>748</v>
      </c>
      <c r="AQ113" s="2" t="s">
        <v>97</v>
      </c>
      <c r="AR113" s="2" t="s">
        <v>81</v>
      </c>
      <c r="AS113" s="2">
        <v>627</v>
      </c>
      <c r="AT113" s="2">
        <v>29</v>
      </c>
      <c r="AU113" s="2" t="s">
        <v>432</v>
      </c>
      <c r="AV113" s="2">
        <v>39.99</v>
      </c>
      <c r="AW113" s="2">
        <v>0</v>
      </c>
      <c r="AX113" s="3">
        <v>42953.67083333333</v>
      </c>
      <c r="AY113" s="2" t="s">
        <v>83</v>
      </c>
      <c r="AZ113" s="4">
        <v>42831</v>
      </c>
      <c r="BA113" s="5">
        <v>0.67083333333333328</v>
      </c>
      <c r="BB113" s="2">
        <v>2017</v>
      </c>
      <c r="BC113" s="2" t="s">
        <v>487</v>
      </c>
      <c r="BD113" s="2">
        <v>6</v>
      </c>
      <c r="BE113" s="4">
        <v>42953</v>
      </c>
      <c r="BF113" s="5">
        <v>0.67083333333333328</v>
      </c>
      <c r="BG113" s="2" t="str" cm="1">
        <f t="array" ref="BG113">_xlfn.IFS(BF113&lt;TIMEVALUE("06:00"),"Night", BF113&gt;=TIMEVALUE("21:00"),"Night",BF113&gt;=TIMEVALUE("17:00"),"Evening",BF113&gt;=TIMEVALUE("12:00"),"Afternoon", BF113&gt;=TIMEVALUE("06:00"),"Morning")</f>
        <v>Afternoon</v>
      </c>
      <c r="BH113" s="2">
        <v>2017</v>
      </c>
      <c r="BI113" s="2" t="s">
        <v>482</v>
      </c>
      <c r="BJ113" s="2">
        <v>6</v>
      </c>
    </row>
    <row r="114" spans="1:62" x14ac:dyDescent="0.3">
      <c r="A114" s="2" t="s">
        <v>86</v>
      </c>
      <c r="B114" s="2">
        <v>3</v>
      </c>
      <c r="C114" s="2">
        <v>4</v>
      </c>
      <c r="D114" s="2">
        <v>-11.81</v>
      </c>
      <c r="E114" s="2">
        <v>187.5</v>
      </c>
      <c r="F114" s="2" t="s">
        <v>63</v>
      </c>
      <c r="G114" s="2" t="s">
        <v>64</v>
      </c>
      <c r="H114" s="2">
        <v>24</v>
      </c>
      <c r="I114" s="2" t="s">
        <v>435</v>
      </c>
      <c r="J114" s="2" t="s">
        <v>750</v>
      </c>
      <c r="K114" s="2" t="s">
        <v>67</v>
      </c>
      <c r="L114" s="2" t="s">
        <v>414</v>
      </c>
      <c r="M114" s="2">
        <v>10344</v>
      </c>
      <c r="N114" s="2" t="s">
        <v>425</v>
      </c>
      <c r="O114" s="2" t="s">
        <v>70</v>
      </c>
      <c r="P114" s="2" t="s">
        <v>71</v>
      </c>
      <c r="Q114" s="2" t="s">
        <v>751</v>
      </c>
      <c r="R114" s="2">
        <v>795</v>
      </c>
      <c r="S114" s="2">
        <v>5</v>
      </c>
      <c r="T114" s="2" t="s">
        <v>427</v>
      </c>
      <c r="U114" s="2">
        <v>18.051990499999999</v>
      </c>
      <c r="V114" s="2">
        <v>-66.501846299999997</v>
      </c>
      <c r="W114" s="2" t="s">
        <v>582</v>
      </c>
      <c r="X114" s="2" t="s">
        <v>752</v>
      </c>
      <c r="Y114" s="2" t="s">
        <v>638</v>
      </c>
      <c r="Z114" s="2">
        <v>10344</v>
      </c>
      <c r="AA114" s="2" t="s">
        <v>753</v>
      </c>
      <c r="AB114" s="2">
        <v>59387</v>
      </c>
      <c r="AC114" s="2">
        <v>502</v>
      </c>
      <c r="AD114" s="2">
        <v>62.5</v>
      </c>
      <c r="AE114" s="2">
        <v>0.25</v>
      </c>
      <c r="AF114" s="2" t="str" cm="1">
        <f t="array" ref="AF114">_xlfn.IFS(AE114=0, "No Discount ", AE114&lt;=0.08,"Low Discount", AE114&lt;=0.16,"Medium Discount", AE114&gt;0.16, "High Discount")</f>
        <v>High Discount</v>
      </c>
      <c r="AG114" s="2">
        <v>148673</v>
      </c>
      <c r="AH114" s="2">
        <v>50</v>
      </c>
      <c r="AI114" s="2">
        <v>-0.06</v>
      </c>
      <c r="AJ114" s="2" t="str" cm="1">
        <f t="array" ref="AJ114">_xlfn.IFS(AI114&lt;=0, "No Profit", AI114&lt;=0.16,"Low Profit",AI114&lt;=0.32,"Medium Profit",AI114&gt;0.32,"High Profit")</f>
        <v>No Profit</v>
      </c>
      <c r="AK114" s="2">
        <v>5</v>
      </c>
      <c r="AL114" s="2">
        <v>250</v>
      </c>
      <c r="AM114" s="2">
        <v>187.5</v>
      </c>
      <c r="AN114" s="2">
        <v>-11.81</v>
      </c>
      <c r="AO114" s="2" t="s">
        <v>586</v>
      </c>
      <c r="AP114" s="2" t="s">
        <v>754</v>
      </c>
      <c r="AQ114" s="2" t="s">
        <v>97</v>
      </c>
      <c r="AR114" s="2" t="s">
        <v>81</v>
      </c>
      <c r="AS114" s="2">
        <v>502</v>
      </c>
      <c r="AT114" s="2">
        <v>24</v>
      </c>
      <c r="AU114" s="2" t="s">
        <v>442</v>
      </c>
      <c r="AV114" s="2">
        <v>50</v>
      </c>
      <c r="AW114" s="2">
        <v>0</v>
      </c>
      <c r="AX114" s="2" t="s">
        <v>755</v>
      </c>
      <c r="AY114" s="2" t="s">
        <v>83</v>
      </c>
      <c r="AZ114" s="4">
        <v>42871</v>
      </c>
      <c r="BA114" s="5">
        <v>0.8979166666666667</v>
      </c>
      <c r="BB114" s="2">
        <v>2017</v>
      </c>
      <c r="BC114" s="2" t="s">
        <v>443</v>
      </c>
      <c r="BD114" s="2">
        <v>16</v>
      </c>
      <c r="BE114" s="4">
        <v>42874</v>
      </c>
      <c r="BF114" s="5">
        <v>0.8979166666666667</v>
      </c>
      <c r="BG114" s="2" t="str" cm="1">
        <f t="array" ref="BG114">_xlfn.IFS(BF114&lt;TIMEVALUE("06:00"),"Night", BF114&gt;=TIMEVALUE("21:00"),"Night",BF114&gt;=TIMEVALUE("17:00"),"Evening",BF114&gt;=TIMEVALUE("12:00"),"Afternoon", BF114&gt;=TIMEVALUE("06:00"),"Morning")</f>
        <v>Night</v>
      </c>
      <c r="BH114" s="2">
        <v>2017</v>
      </c>
      <c r="BI114" s="2" t="s">
        <v>443</v>
      </c>
      <c r="BJ114" s="2">
        <v>19</v>
      </c>
    </row>
    <row r="115" spans="1:62" x14ac:dyDescent="0.3">
      <c r="A115" s="2" t="s">
        <v>86</v>
      </c>
      <c r="B115" s="2">
        <v>6</v>
      </c>
      <c r="C115" s="2">
        <v>4</v>
      </c>
      <c r="D115" s="2">
        <v>52.5</v>
      </c>
      <c r="E115" s="2">
        <v>187.5</v>
      </c>
      <c r="F115" s="2" t="s">
        <v>87</v>
      </c>
      <c r="G115" s="2" t="s">
        <v>88</v>
      </c>
      <c r="H115" s="2">
        <v>24</v>
      </c>
      <c r="I115" s="2" t="s">
        <v>435</v>
      </c>
      <c r="J115" s="2" t="s">
        <v>66</v>
      </c>
      <c r="K115" s="2" t="s">
        <v>67</v>
      </c>
      <c r="L115" s="2" t="s">
        <v>667</v>
      </c>
      <c r="M115" s="2">
        <v>6398</v>
      </c>
      <c r="N115" s="2" t="s">
        <v>425</v>
      </c>
      <c r="O115" s="2" t="s">
        <v>70</v>
      </c>
      <c r="P115" s="2" t="s">
        <v>71</v>
      </c>
      <c r="Q115" s="2" t="s">
        <v>668</v>
      </c>
      <c r="R115" s="2">
        <v>725</v>
      </c>
      <c r="S115" s="2">
        <v>5</v>
      </c>
      <c r="T115" s="2" t="s">
        <v>427</v>
      </c>
      <c r="U115" s="2">
        <v>18.2637882</v>
      </c>
      <c r="V115" s="2">
        <v>-66.370529199999993</v>
      </c>
      <c r="W115" s="2" t="s">
        <v>582</v>
      </c>
      <c r="X115" s="2" t="s">
        <v>669</v>
      </c>
      <c r="Y115" s="2" t="s">
        <v>670</v>
      </c>
      <c r="Z115" s="2">
        <v>6398</v>
      </c>
      <c r="AA115" s="3">
        <v>42918.407638888886</v>
      </c>
      <c r="AB115" s="2">
        <v>52640</v>
      </c>
      <c r="AC115" s="2">
        <v>502</v>
      </c>
      <c r="AD115" s="2">
        <v>62.5</v>
      </c>
      <c r="AE115" s="2">
        <v>0.25</v>
      </c>
      <c r="AF115" s="2" t="str" cm="1">
        <f t="array" ref="AF115">_xlfn.IFS(AE115=0, "No Discount ", AE115&lt;=0.08,"Low Discount", AE115&lt;=0.16,"Medium Discount", AE115&gt;0.16, "High Discount")</f>
        <v>High Discount</v>
      </c>
      <c r="AG115" s="2">
        <v>131577</v>
      </c>
      <c r="AH115" s="2">
        <v>50</v>
      </c>
      <c r="AI115" s="2">
        <v>0.28000000000000003</v>
      </c>
      <c r="AJ115" s="2" t="str" cm="1">
        <f t="array" ref="AJ115">_xlfn.IFS(AI115&lt;=0, "No Profit", AI115&lt;=0.16,"Low Profit",AI115&lt;=0.32,"Medium Profit",AI115&gt;0.32,"High Profit")</f>
        <v>Medium Profit</v>
      </c>
      <c r="AK115" s="2">
        <v>5</v>
      </c>
      <c r="AL115" s="2">
        <v>250</v>
      </c>
      <c r="AM115" s="2">
        <v>187.5</v>
      </c>
      <c r="AN115" s="2">
        <v>52.5</v>
      </c>
      <c r="AO115" s="2" t="s">
        <v>607</v>
      </c>
      <c r="AP115" s="2" t="s">
        <v>669</v>
      </c>
      <c r="AQ115" s="2" t="s">
        <v>97</v>
      </c>
      <c r="AR115" s="2" t="s">
        <v>81</v>
      </c>
      <c r="AS115" s="2">
        <v>502</v>
      </c>
      <c r="AT115" s="2">
        <v>24</v>
      </c>
      <c r="AU115" s="2" t="s">
        <v>442</v>
      </c>
      <c r="AV115" s="2">
        <v>50</v>
      </c>
      <c r="AW115" s="2">
        <v>0</v>
      </c>
      <c r="AX115" s="2" t="s">
        <v>671</v>
      </c>
      <c r="AY115" s="2" t="s">
        <v>83</v>
      </c>
      <c r="AZ115" s="4">
        <v>42918</v>
      </c>
      <c r="BA115" s="5">
        <v>0.40763888888888888</v>
      </c>
      <c r="BB115" s="2">
        <v>2017</v>
      </c>
      <c r="BC115" s="2" t="s">
        <v>533</v>
      </c>
      <c r="BD115" s="2">
        <v>2</v>
      </c>
      <c r="BE115" s="4">
        <v>42779</v>
      </c>
      <c r="BF115" s="5">
        <v>0.40763888888888888</v>
      </c>
      <c r="BG115" s="2" t="str" cm="1">
        <f t="array" ref="BG115">_xlfn.IFS(BF115&lt;TIMEVALUE("06:00"),"Night", BF115&gt;=TIMEVALUE("21:00"),"Night",BF115&gt;=TIMEVALUE("17:00"),"Evening",BF115&gt;=TIMEVALUE("12:00"),"Afternoon", BF115&gt;=TIMEVALUE("06:00"),"Morning")</f>
        <v>Morning</v>
      </c>
      <c r="BH115" s="2">
        <v>2017</v>
      </c>
      <c r="BI115" s="2" t="s">
        <v>423</v>
      </c>
      <c r="BJ115" s="2">
        <v>13</v>
      </c>
    </row>
    <row r="116" spans="1:62" x14ac:dyDescent="0.3">
      <c r="A116" s="2" t="s">
        <v>86</v>
      </c>
      <c r="B116" s="2">
        <v>3</v>
      </c>
      <c r="C116" s="2">
        <v>4</v>
      </c>
      <c r="D116" s="2">
        <v>91.88</v>
      </c>
      <c r="E116" s="2">
        <v>187.5</v>
      </c>
      <c r="F116" s="2" t="s">
        <v>63</v>
      </c>
      <c r="G116" s="2" t="s">
        <v>64</v>
      </c>
      <c r="H116" s="2">
        <v>24</v>
      </c>
      <c r="I116" s="2" t="s">
        <v>435</v>
      </c>
      <c r="J116" s="2" t="s">
        <v>66</v>
      </c>
      <c r="K116" s="2" t="s">
        <v>67</v>
      </c>
      <c r="L116" s="2" t="s">
        <v>414</v>
      </c>
      <c r="M116" s="2">
        <v>3375</v>
      </c>
      <c r="N116" s="2" t="s">
        <v>612</v>
      </c>
      <c r="O116" s="2" t="s">
        <v>70</v>
      </c>
      <c r="P116" s="2" t="s">
        <v>71</v>
      </c>
      <c r="Q116" s="2" t="s">
        <v>756</v>
      </c>
      <c r="R116" s="2">
        <v>725</v>
      </c>
      <c r="S116" s="2">
        <v>5</v>
      </c>
      <c r="T116" s="2" t="s">
        <v>427</v>
      </c>
      <c r="U116" s="2">
        <v>18.206642200000001</v>
      </c>
      <c r="V116" s="2">
        <v>-66.370529199999993</v>
      </c>
      <c r="W116" s="2" t="s">
        <v>582</v>
      </c>
      <c r="X116" s="2" t="s">
        <v>757</v>
      </c>
      <c r="Y116" s="2" t="s">
        <v>632</v>
      </c>
      <c r="Z116" s="2">
        <v>3375</v>
      </c>
      <c r="AA116" s="2" t="s">
        <v>758</v>
      </c>
      <c r="AB116" s="2">
        <v>10007</v>
      </c>
      <c r="AC116" s="2">
        <v>502</v>
      </c>
      <c r="AD116" s="2">
        <v>62.5</v>
      </c>
      <c r="AE116" s="2">
        <v>0.25</v>
      </c>
      <c r="AF116" s="2" t="str" cm="1">
        <f t="array" ref="AF116">_xlfn.IFS(AE116=0, "No Discount ", AE116&lt;=0.08,"Low Discount", AE116&lt;=0.16,"Medium Discount", AE116&gt;0.16, "High Discount")</f>
        <v>High Discount</v>
      </c>
      <c r="AG116" s="2">
        <v>24992</v>
      </c>
      <c r="AH116" s="2">
        <v>50</v>
      </c>
      <c r="AI116" s="2">
        <v>0.49</v>
      </c>
      <c r="AJ116" s="2" t="str" cm="1">
        <f t="array" ref="AJ116">_xlfn.IFS(AI116&lt;=0, "No Profit", AI116&lt;=0.16,"Low Profit",AI116&lt;=0.32,"Medium Profit",AI116&gt;0.32,"High Profit")</f>
        <v>High Profit</v>
      </c>
      <c r="AK116" s="2">
        <v>5</v>
      </c>
      <c r="AL116" s="2">
        <v>250</v>
      </c>
      <c r="AM116" s="2">
        <v>187.5</v>
      </c>
      <c r="AN116" s="2">
        <v>91.88</v>
      </c>
      <c r="AO116" s="2" t="s">
        <v>607</v>
      </c>
      <c r="AP116" s="2" t="s">
        <v>759</v>
      </c>
      <c r="AQ116" s="2" t="s">
        <v>97</v>
      </c>
      <c r="AR116" s="2" t="s">
        <v>81</v>
      </c>
      <c r="AS116" s="2">
        <v>502</v>
      </c>
      <c r="AT116" s="2">
        <v>24</v>
      </c>
      <c r="AU116" s="2" t="s">
        <v>442</v>
      </c>
      <c r="AV116" s="2">
        <v>50</v>
      </c>
      <c r="AW116" s="2">
        <v>0</v>
      </c>
      <c r="AX116" s="2" t="s">
        <v>760</v>
      </c>
      <c r="AY116" s="2" t="s">
        <v>83</v>
      </c>
      <c r="AZ116" s="4">
        <v>42151</v>
      </c>
      <c r="BA116" s="5">
        <v>6.3888888888888884E-2</v>
      </c>
      <c r="BB116" s="2">
        <v>2015</v>
      </c>
      <c r="BC116" s="2" t="s">
        <v>443</v>
      </c>
      <c r="BD116" s="2">
        <v>27</v>
      </c>
      <c r="BE116" s="4">
        <v>42154</v>
      </c>
      <c r="BF116" s="5">
        <v>6.3888888888888884E-2</v>
      </c>
      <c r="BG116" s="2" t="str" cm="1">
        <f t="array" ref="BG116">_xlfn.IFS(BF116&lt;TIMEVALUE("06:00"),"Night", BF116&gt;=TIMEVALUE("21:00"),"Night",BF116&gt;=TIMEVALUE("17:00"),"Evening",BF116&gt;=TIMEVALUE("12:00"),"Afternoon", BF116&gt;=TIMEVALUE("06:00"),"Morning")</f>
        <v>Night</v>
      </c>
      <c r="BH116" s="2">
        <v>2015</v>
      </c>
      <c r="BI116" s="2" t="s">
        <v>443</v>
      </c>
      <c r="BJ116" s="2">
        <v>30</v>
      </c>
    </row>
    <row r="117" spans="1:62" x14ac:dyDescent="0.3">
      <c r="A117" s="2" t="s">
        <v>86</v>
      </c>
      <c r="B117" s="2">
        <v>5</v>
      </c>
      <c r="C117" s="2">
        <v>4</v>
      </c>
      <c r="D117" s="2">
        <v>29.69</v>
      </c>
      <c r="E117" s="2">
        <v>237.55</v>
      </c>
      <c r="F117" s="2" t="s">
        <v>87</v>
      </c>
      <c r="G117" s="2" t="s">
        <v>88</v>
      </c>
      <c r="H117" s="2">
        <v>37</v>
      </c>
      <c r="I117" s="2" t="s">
        <v>464</v>
      </c>
      <c r="J117" s="2" t="s">
        <v>66</v>
      </c>
      <c r="K117" s="2" t="s">
        <v>67</v>
      </c>
      <c r="L117" s="2" t="s">
        <v>761</v>
      </c>
      <c r="M117" s="2">
        <v>1339</v>
      </c>
      <c r="N117" s="2" t="s">
        <v>762</v>
      </c>
      <c r="O117" s="2" t="s">
        <v>70</v>
      </c>
      <c r="P117" s="2" t="s">
        <v>71</v>
      </c>
      <c r="Q117" s="2" t="s">
        <v>763</v>
      </c>
      <c r="R117" s="2">
        <v>725</v>
      </c>
      <c r="S117" s="2">
        <v>6</v>
      </c>
      <c r="T117" s="2" t="s">
        <v>515</v>
      </c>
      <c r="U117" s="2">
        <v>18.278251699999998</v>
      </c>
      <c r="V117" s="2">
        <v>-66.370597799999999</v>
      </c>
      <c r="W117" s="2" t="s">
        <v>582</v>
      </c>
      <c r="X117" s="2" t="s">
        <v>590</v>
      </c>
      <c r="Y117" s="2" t="s">
        <v>591</v>
      </c>
      <c r="Z117" s="2">
        <v>1339</v>
      </c>
      <c r="AA117" s="2" t="s">
        <v>764</v>
      </c>
      <c r="AB117" s="2">
        <v>55984</v>
      </c>
      <c r="AC117" s="2">
        <v>818</v>
      </c>
      <c r="AD117" s="2">
        <v>2.4</v>
      </c>
      <c r="AE117" s="2">
        <v>0.01</v>
      </c>
      <c r="AF117" s="2" t="str" cm="1">
        <f t="array" ref="AF117">_xlfn.IFS(AE117=0, "No Discount ", AE117&lt;=0.08,"Low Discount", AE117&lt;=0.16,"Medium Discount", AE117&gt;0.16, "High Discount")</f>
        <v>Low Discount</v>
      </c>
      <c r="AG117" s="2">
        <v>139976</v>
      </c>
      <c r="AH117" s="2">
        <v>47.99</v>
      </c>
      <c r="AI117" s="2">
        <v>0.13</v>
      </c>
      <c r="AJ117" s="2" t="str" cm="1">
        <f t="array" ref="AJ117">_xlfn.IFS(AI117&lt;=0, "No Profit", AI117&lt;=0.16,"Low Profit",AI117&lt;=0.32,"Medium Profit",AI117&gt;0.32,"High Profit")</f>
        <v>Low Profit</v>
      </c>
      <c r="AK117" s="2">
        <v>5</v>
      </c>
      <c r="AL117" s="2">
        <v>239.95</v>
      </c>
      <c r="AM117" s="2">
        <v>237.55</v>
      </c>
      <c r="AN117" s="2">
        <v>29.69</v>
      </c>
      <c r="AO117" s="2" t="s">
        <v>586</v>
      </c>
      <c r="AP117" s="2" t="s">
        <v>592</v>
      </c>
      <c r="AQ117" s="2" t="s">
        <v>97</v>
      </c>
      <c r="AR117" s="2" t="s">
        <v>81</v>
      </c>
      <c r="AS117" s="2">
        <v>818</v>
      </c>
      <c r="AT117" s="2">
        <v>37</v>
      </c>
      <c r="AU117" s="2" t="s">
        <v>765</v>
      </c>
      <c r="AV117" s="2">
        <v>47.99</v>
      </c>
      <c r="AW117" s="2">
        <v>0</v>
      </c>
      <c r="AX117" s="3">
        <v>42770.222222222219</v>
      </c>
      <c r="AY117" s="2" t="s">
        <v>83</v>
      </c>
      <c r="AZ117" s="4">
        <v>42822</v>
      </c>
      <c r="BA117" s="5">
        <v>0.22222222222222221</v>
      </c>
      <c r="BB117" s="2">
        <v>2017</v>
      </c>
      <c r="BC117" s="2" t="s">
        <v>85</v>
      </c>
      <c r="BD117" s="2">
        <v>28</v>
      </c>
      <c r="BE117" s="4">
        <v>42770</v>
      </c>
      <c r="BF117" s="5">
        <v>0.22222222222222221</v>
      </c>
      <c r="BG117" s="2" t="str" cm="1">
        <f t="array" ref="BG117">_xlfn.IFS(BF117&lt;TIMEVALUE("06:00"),"Night", BF117&gt;=TIMEVALUE("21:00"),"Night",BF117&gt;=TIMEVALUE("17:00"),"Evening",BF117&gt;=TIMEVALUE("12:00"),"Afternoon", BF117&gt;=TIMEVALUE("06:00"),"Morning")</f>
        <v>Night</v>
      </c>
      <c r="BH117" s="2">
        <v>2017</v>
      </c>
      <c r="BI117" s="2" t="s">
        <v>423</v>
      </c>
      <c r="BJ117" s="2">
        <v>4</v>
      </c>
    </row>
    <row r="118" spans="1:62" x14ac:dyDescent="0.3">
      <c r="A118" s="2" t="s">
        <v>86</v>
      </c>
      <c r="B118" s="2">
        <v>4</v>
      </c>
      <c r="C118" s="2">
        <v>4</v>
      </c>
      <c r="D118" s="2">
        <v>73.7</v>
      </c>
      <c r="E118" s="2">
        <v>153.55000000000001</v>
      </c>
      <c r="F118" s="2" t="s">
        <v>100</v>
      </c>
      <c r="G118" s="2" t="s">
        <v>64</v>
      </c>
      <c r="H118" s="2">
        <v>37</v>
      </c>
      <c r="I118" s="2" t="s">
        <v>464</v>
      </c>
      <c r="J118" s="2" t="s">
        <v>66</v>
      </c>
      <c r="K118" s="2" t="s">
        <v>67</v>
      </c>
      <c r="L118" s="2" t="s">
        <v>693</v>
      </c>
      <c r="M118" s="2">
        <v>6543</v>
      </c>
      <c r="N118" s="2" t="s">
        <v>425</v>
      </c>
      <c r="O118" s="2" t="s">
        <v>70</v>
      </c>
      <c r="P118" s="2" t="s">
        <v>71</v>
      </c>
      <c r="Q118" s="2" t="s">
        <v>694</v>
      </c>
      <c r="R118" s="2">
        <v>725</v>
      </c>
      <c r="S118" s="2">
        <v>6</v>
      </c>
      <c r="T118" s="2" t="s">
        <v>515</v>
      </c>
      <c r="U118" s="2">
        <v>18.279205300000001</v>
      </c>
      <c r="V118" s="2">
        <v>-66.370552099999998</v>
      </c>
      <c r="W118" s="2" t="s">
        <v>582</v>
      </c>
      <c r="X118" s="2" t="s">
        <v>695</v>
      </c>
      <c r="Y118" s="2" t="s">
        <v>638</v>
      </c>
      <c r="Z118" s="2">
        <v>6543</v>
      </c>
      <c r="AA118" s="3">
        <v>42857.042361111111</v>
      </c>
      <c r="AB118" s="2">
        <v>52478</v>
      </c>
      <c r="AC118" s="2">
        <v>825</v>
      </c>
      <c r="AD118" s="2">
        <v>6.4</v>
      </c>
      <c r="AE118" s="2">
        <v>0.04</v>
      </c>
      <c r="AF118" s="2" t="str" cm="1">
        <f t="array" ref="AF118">_xlfn.IFS(AE118=0, "No Discount ", AE118&lt;=0.08,"Low Discount", AE118&lt;=0.16,"Medium Discount", AE118&gt;0.16, "High Discount")</f>
        <v>Low Discount</v>
      </c>
      <c r="AG118" s="2">
        <v>131164</v>
      </c>
      <c r="AH118" s="2">
        <v>31.99</v>
      </c>
      <c r="AI118" s="2">
        <v>0.48</v>
      </c>
      <c r="AJ118" s="2" t="str" cm="1">
        <f t="array" ref="AJ118">_xlfn.IFS(AI118&lt;=0, "No Profit", AI118&lt;=0.16,"Low Profit",AI118&lt;=0.32,"Medium Profit",AI118&gt;0.32,"High Profit")</f>
        <v>High Profit</v>
      </c>
      <c r="AK118" s="2">
        <v>5</v>
      </c>
      <c r="AL118" s="2">
        <v>159.94999999999999</v>
      </c>
      <c r="AM118" s="2">
        <v>153.55000000000001</v>
      </c>
      <c r="AN118" s="2">
        <v>73.7</v>
      </c>
      <c r="AO118" s="2" t="s">
        <v>586</v>
      </c>
      <c r="AP118" s="2" t="s">
        <v>696</v>
      </c>
      <c r="AQ118" s="2" t="s">
        <v>97</v>
      </c>
      <c r="AR118" s="2" t="s">
        <v>81</v>
      </c>
      <c r="AS118" s="2">
        <v>825</v>
      </c>
      <c r="AT118" s="2">
        <v>37</v>
      </c>
      <c r="AU118" s="2" t="s">
        <v>766</v>
      </c>
      <c r="AV118" s="2">
        <v>31.99</v>
      </c>
      <c r="AW118" s="2">
        <v>0</v>
      </c>
      <c r="AX118" s="3">
        <v>42980.042361111111</v>
      </c>
      <c r="AY118" s="2" t="s">
        <v>83</v>
      </c>
      <c r="AZ118" s="4">
        <v>42857</v>
      </c>
      <c r="BA118" s="5">
        <v>4.2361111111111113E-2</v>
      </c>
      <c r="BB118" s="2">
        <v>2017</v>
      </c>
      <c r="BC118" s="2" t="s">
        <v>443</v>
      </c>
      <c r="BD118" s="2">
        <v>2</v>
      </c>
      <c r="BE118" s="4">
        <v>42980</v>
      </c>
      <c r="BF118" s="5">
        <v>4.2361111111111113E-2</v>
      </c>
      <c r="BG118" s="2" t="str" cm="1">
        <f t="array" ref="BG118">_xlfn.IFS(BF118&lt;TIMEVALUE("06:00"),"Night", BF118&gt;=TIMEVALUE("21:00"),"Night",BF118&gt;=TIMEVALUE("17:00"),"Evening",BF118&gt;=TIMEVALUE("12:00"),"Afternoon", BF118&gt;=TIMEVALUE("06:00"),"Morning")</f>
        <v>Night</v>
      </c>
      <c r="BH118" s="2">
        <v>2017</v>
      </c>
      <c r="BI118" s="2" t="s">
        <v>552</v>
      </c>
      <c r="BJ118" s="2">
        <v>2</v>
      </c>
    </row>
    <row r="119" spans="1:62" x14ac:dyDescent="0.3">
      <c r="A119" s="2" t="s">
        <v>86</v>
      </c>
      <c r="B119" s="2">
        <v>6</v>
      </c>
      <c r="C119" s="2">
        <v>4</v>
      </c>
      <c r="D119" s="2">
        <v>-79.19</v>
      </c>
      <c r="E119" s="2">
        <v>395.96</v>
      </c>
      <c r="F119" s="2" t="s">
        <v>87</v>
      </c>
      <c r="G119" s="2" t="s">
        <v>88</v>
      </c>
      <c r="H119" s="2">
        <v>38</v>
      </c>
      <c r="I119" s="2" t="s">
        <v>767</v>
      </c>
      <c r="J119" s="2" t="s">
        <v>697</v>
      </c>
      <c r="K119" s="2" t="s">
        <v>67</v>
      </c>
      <c r="L119" s="2" t="s">
        <v>698</v>
      </c>
      <c r="M119" s="2">
        <v>3990</v>
      </c>
      <c r="N119" s="2" t="s">
        <v>425</v>
      </c>
      <c r="O119" s="2" t="s">
        <v>70</v>
      </c>
      <c r="P119" s="2" t="s">
        <v>71</v>
      </c>
      <c r="Q119" s="2" t="s">
        <v>699</v>
      </c>
      <c r="R119" s="2">
        <v>784</v>
      </c>
      <c r="S119" s="2">
        <v>6</v>
      </c>
      <c r="T119" s="2" t="s">
        <v>515</v>
      </c>
      <c r="U119" s="2">
        <v>17.982490500000001</v>
      </c>
      <c r="V119" s="2">
        <v>-66.112670899999998</v>
      </c>
      <c r="W119" s="2" t="s">
        <v>582</v>
      </c>
      <c r="X119" s="2" t="s">
        <v>768</v>
      </c>
      <c r="Y119" s="2" t="s">
        <v>584</v>
      </c>
      <c r="Z119" s="2">
        <v>3990</v>
      </c>
      <c r="AA119" s="3">
        <v>42771.125</v>
      </c>
      <c r="AB119" s="2">
        <v>58375</v>
      </c>
      <c r="AC119" s="2">
        <v>306</v>
      </c>
      <c r="AD119" s="2">
        <v>53.99</v>
      </c>
      <c r="AE119" s="2">
        <v>0.12</v>
      </c>
      <c r="AF119" s="2" t="str" cm="1">
        <f t="array" ref="AF119">_xlfn.IFS(AE119=0, "No Discount ", AE119&lt;=0.08,"Low Discount", AE119&lt;=0.16,"Medium Discount", AE119&gt;0.16, "High Discount")</f>
        <v>Medium Discount</v>
      </c>
      <c r="AG119" s="2">
        <v>146090</v>
      </c>
      <c r="AH119" s="2">
        <v>89.99</v>
      </c>
      <c r="AI119" s="2">
        <v>-0.2</v>
      </c>
      <c r="AJ119" s="2" t="str" cm="1">
        <f t="array" ref="AJ119">_xlfn.IFS(AI119&lt;=0, "No Profit", AI119&lt;=0.16,"Low Profit",AI119&lt;=0.32,"Medium Profit",AI119&gt;0.32,"High Profit")</f>
        <v>No Profit</v>
      </c>
      <c r="AK119" s="2">
        <v>5</v>
      </c>
      <c r="AL119" s="2">
        <v>449.95</v>
      </c>
      <c r="AM119" s="2">
        <v>395.96</v>
      </c>
      <c r="AN119" s="2">
        <v>-79.19</v>
      </c>
      <c r="AO119" s="2" t="s">
        <v>586</v>
      </c>
      <c r="AP119" s="2" t="s">
        <v>584</v>
      </c>
      <c r="AQ119" s="2" t="s">
        <v>97</v>
      </c>
      <c r="AR119" s="2" t="s">
        <v>81</v>
      </c>
      <c r="AS119" s="2">
        <v>306</v>
      </c>
      <c r="AT119" s="2">
        <v>38</v>
      </c>
      <c r="AU119" s="2" t="s">
        <v>769</v>
      </c>
      <c r="AV119" s="2">
        <v>89.99</v>
      </c>
      <c r="AW119" s="2">
        <v>0</v>
      </c>
      <c r="AX119" s="3">
        <v>42952.125</v>
      </c>
      <c r="AY119" s="2" t="s">
        <v>83</v>
      </c>
      <c r="AZ119" s="4">
        <v>42771</v>
      </c>
      <c r="BA119" s="5">
        <v>0.125</v>
      </c>
      <c r="BB119" s="2">
        <v>2017</v>
      </c>
      <c r="BC119" s="2" t="s">
        <v>423</v>
      </c>
      <c r="BD119" s="2">
        <v>5</v>
      </c>
      <c r="BE119" s="4">
        <v>42952</v>
      </c>
      <c r="BF119" s="5">
        <v>0.125</v>
      </c>
      <c r="BG119" s="2" t="str" cm="1">
        <f t="array" ref="BG119">_xlfn.IFS(BF119&lt;TIMEVALUE("06:00"),"Night", BF119&gt;=TIMEVALUE("21:00"),"Night",BF119&gt;=TIMEVALUE("17:00"),"Evening",BF119&gt;=TIMEVALUE("12:00"),"Afternoon", BF119&gt;=TIMEVALUE("06:00"),"Morning")</f>
        <v>Night</v>
      </c>
      <c r="BH119" s="2">
        <v>2017</v>
      </c>
      <c r="BI119" s="2" t="s">
        <v>482</v>
      </c>
      <c r="BJ119" s="2">
        <v>5</v>
      </c>
    </row>
    <row r="120" spans="1:62" x14ac:dyDescent="0.3">
      <c r="A120" s="2" t="s">
        <v>86</v>
      </c>
      <c r="B120" s="2">
        <v>4</v>
      </c>
      <c r="C120" s="2">
        <v>4</v>
      </c>
      <c r="D120" s="2">
        <v>34.85</v>
      </c>
      <c r="E120" s="2">
        <v>124.46</v>
      </c>
      <c r="F120" s="2" t="s">
        <v>100</v>
      </c>
      <c r="G120" s="2" t="s">
        <v>64</v>
      </c>
      <c r="H120" s="2">
        <v>44</v>
      </c>
      <c r="I120" s="2" t="s">
        <v>770</v>
      </c>
      <c r="J120" s="2" t="s">
        <v>66</v>
      </c>
      <c r="K120" s="2" t="s">
        <v>67</v>
      </c>
      <c r="L120" s="2" t="s">
        <v>414</v>
      </c>
      <c r="M120" s="2">
        <v>7247</v>
      </c>
      <c r="N120" s="2" t="s">
        <v>425</v>
      </c>
      <c r="O120" s="2" t="s">
        <v>70</v>
      </c>
      <c r="P120" s="2" t="s">
        <v>71</v>
      </c>
      <c r="Q120" s="2" t="s">
        <v>771</v>
      </c>
      <c r="R120" s="2">
        <v>725</v>
      </c>
      <c r="S120" s="2">
        <v>7</v>
      </c>
      <c r="T120" s="2" t="s">
        <v>772</v>
      </c>
      <c r="U120" s="2">
        <v>18.2277603</v>
      </c>
      <c r="V120" s="2">
        <v>-66.370590199999995</v>
      </c>
      <c r="W120" s="2" t="s">
        <v>582</v>
      </c>
      <c r="X120" s="2" t="s">
        <v>773</v>
      </c>
      <c r="Y120" s="2" t="s">
        <v>684</v>
      </c>
      <c r="Z120" s="2">
        <v>7247</v>
      </c>
      <c r="AA120" s="3">
        <v>42798.995138888888</v>
      </c>
      <c r="AB120" s="2">
        <v>56448</v>
      </c>
      <c r="AC120" s="2">
        <v>977</v>
      </c>
      <c r="AD120" s="2">
        <v>25.49</v>
      </c>
      <c r="AE120" s="2">
        <v>0.17</v>
      </c>
      <c r="AF120" s="2" t="str" cm="1">
        <f t="array" ref="AF120">_xlfn.IFS(AE120=0, "No Discount ", AE120&lt;=0.08,"Low Discount", AE120&lt;=0.16,"Medium Discount", AE120&gt;0.16, "High Discount")</f>
        <v>High Discount</v>
      </c>
      <c r="AG120" s="2">
        <v>141192</v>
      </c>
      <c r="AH120" s="2">
        <v>29.99</v>
      </c>
      <c r="AI120" s="2">
        <v>0.28000000000000003</v>
      </c>
      <c r="AJ120" s="2" t="str" cm="1">
        <f t="array" ref="AJ120">_xlfn.IFS(AI120&lt;=0, "No Profit", AI120&lt;=0.16,"Low Profit",AI120&lt;=0.32,"Medium Profit",AI120&gt;0.32,"High Profit")</f>
        <v>Medium Profit</v>
      </c>
      <c r="AK120" s="2">
        <v>5</v>
      </c>
      <c r="AL120" s="2">
        <v>149.94999999999999</v>
      </c>
      <c r="AM120" s="2">
        <v>124.46</v>
      </c>
      <c r="AN120" s="2">
        <v>34.85</v>
      </c>
      <c r="AO120" s="2" t="s">
        <v>601</v>
      </c>
      <c r="AP120" s="2" t="s">
        <v>774</v>
      </c>
      <c r="AQ120" s="2" t="s">
        <v>97</v>
      </c>
      <c r="AR120" s="2" t="s">
        <v>81</v>
      </c>
      <c r="AS120" s="2">
        <v>977</v>
      </c>
      <c r="AT120" s="2">
        <v>44</v>
      </c>
      <c r="AU120" s="2" t="s">
        <v>775</v>
      </c>
      <c r="AV120" s="2">
        <v>29.99</v>
      </c>
      <c r="AW120" s="2">
        <v>0</v>
      </c>
      <c r="AX120" s="3">
        <v>42920.995138888888</v>
      </c>
      <c r="AY120" s="2" t="s">
        <v>83</v>
      </c>
      <c r="AZ120" s="4">
        <v>42798</v>
      </c>
      <c r="BA120" s="5">
        <v>0.99513888888888891</v>
      </c>
      <c r="BB120" s="2">
        <v>2017</v>
      </c>
      <c r="BC120" s="2" t="s">
        <v>85</v>
      </c>
      <c r="BD120" s="2">
        <v>4</v>
      </c>
      <c r="BE120" s="4">
        <v>42920</v>
      </c>
      <c r="BF120" s="5">
        <v>0.99513888888888891</v>
      </c>
      <c r="BG120" s="2" t="str" cm="1">
        <f t="array" ref="BG120">_xlfn.IFS(BF120&lt;TIMEVALUE("06:00"),"Night", BF120&gt;=TIMEVALUE("21:00"),"Night",BF120&gt;=TIMEVALUE("17:00"),"Evening",BF120&gt;=TIMEVALUE("12:00"),"Afternoon", BF120&gt;=TIMEVALUE("06:00"),"Morning")</f>
        <v>Night</v>
      </c>
      <c r="BH120" s="2">
        <v>2017</v>
      </c>
      <c r="BI120" s="2" t="s">
        <v>533</v>
      </c>
      <c r="BJ120" s="2">
        <v>4</v>
      </c>
    </row>
    <row r="121" spans="1:62" x14ac:dyDescent="0.3">
      <c r="A121" s="2" t="s">
        <v>86</v>
      </c>
      <c r="B121" s="2">
        <v>2</v>
      </c>
      <c r="C121" s="2">
        <v>4</v>
      </c>
      <c r="D121" s="2">
        <v>74.09</v>
      </c>
      <c r="E121" s="2">
        <v>284.95</v>
      </c>
      <c r="F121" s="2" t="s">
        <v>63</v>
      </c>
      <c r="G121" s="2" t="s">
        <v>64</v>
      </c>
      <c r="H121" s="2">
        <v>3</v>
      </c>
      <c r="I121" s="2" t="s">
        <v>776</v>
      </c>
      <c r="J121" s="2" t="s">
        <v>66</v>
      </c>
      <c r="K121" s="2" t="s">
        <v>67</v>
      </c>
      <c r="L121" s="2" t="s">
        <v>777</v>
      </c>
      <c r="M121" s="2">
        <v>1273</v>
      </c>
      <c r="N121" s="2" t="s">
        <v>778</v>
      </c>
      <c r="O121" s="2" t="s">
        <v>70</v>
      </c>
      <c r="P121" s="2" t="s">
        <v>71</v>
      </c>
      <c r="Q121" s="2" t="s">
        <v>779</v>
      </c>
      <c r="R121" s="2">
        <v>725</v>
      </c>
      <c r="S121" s="2">
        <v>2</v>
      </c>
      <c r="T121" s="2" t="s">
        <v>73</v>
      </c>
      <c r="U121" s="2">
        <v>18.236244200000002</v>
      </c>
      <c r="V121" s="2">
        <v>-66.370620700000003</v>
      </c>
      <c r="W121" s="2" t="s">
        <v>582</v>
      </c>
      <c r="X121" s="2" t="s">
        <v>669</v>
      </c>
      <c r="Y121" s="2" t="s">
        <v>670</v>
      </c>
      <c r="Z121" s="2">
        <v>1273</v>
      </c>
      <c r="AA121" s="2" t="s">
        <v>780</v>
      </c>
      <c r="AB121" s="2">
        <v>8221</v>
      </c>
      <c r="AC121" s="2">
        <v>44</v>
      </c>
      <c r="AD121" s="2">
        <v>15</v>
      </c>
      <c r="AE121" s="2">
        <v>0.05</v>
      </c>
      <c r="AF121" s="2" t="str" cm="1">
        <f t="array" ref="AF121">_xlfn.IFS(AE121=0, "No Discount ", AE121&lt;=0.08,"Low Discount", AE121&lt;=0.16,"Medium Discount", AE121&gt;0.16, "High Discount")</f>
        <v>Low Discount</v>
      </c>
      <c r="AG121" s="2">
        <v>20537</v>
      </c>
      <c r="AH121" s="2">
        <v>59.99</v>
      </c>
      <c r="AI121" s="2">
        <v>0.26</v>
      </c>
      <c r="AJ121" s="2" t="str" cm="1">
        <f t="array" ref="AJ121">_xlfn.IFS(AI121&lt;=0, "No Profit", AI121&lt;=0.16,"Low Profit",AI121&lt;=0.32,"Medium Profit",AI121&gt;0.32,"High Profit")</f>
        <v>Medium Profit</v>
      </c>
      <c r="AK121" s="2">
        <v>5</v>
      </c>
      <c r="AL121" s="2">
        <v>299.95</v>
      </c>
      <c r="AM121" s="2">
        <v>284.95</v>
      </c>
      <c r="AN121" s="2">
        <v>74.09</v>
      </c>
      <c r="AO121" s="2" t="s">
        <v>607</v>
      </c>
      <c r="AP121" s="2" t="s">
        <v>669</v>
      </c>
      <c r="AQ121" s="2" t="s">
        <v>155</v>
      </c>
      <c r="AR121" s="2" t="s">
        <v>81</v>
      </c>
      <c r="AS121" s="2">
        <v>44</v>
      </c>
      <c r="AT121" s="2">
        <v>3</v>
      </c>
      <c r="AU121" s="2" t="s">
        <v>781</v>
      </c>
      <c r="AV121" s="2">
        <v>59.99</v>
      </c>
      <c r="AW121" s="2">
        <v>0</v>
      </c>
      <c r="AX121" s="3">
        <v>42040.992361111108</v>
      </c>
      <c r="AY121" s="2" t="s">
        <v>83</v>
      </c>
      <c r="AZ121" s="4">
        <v>42124</v>
      </c>
      <c r="BA121" s="5">
        <v>0.99236111111111114</v>
      </c>
      <c r="BB121" s="2">
        <v>2015</v>
      </c>
      <c r="BC121" s="2" t="s">
        <v>487</v>
      </c>
      <c r="BD121" s="2">
        <v>30</v>
      </c>
      <c r="BE121" s="4">
        <v>42040</v>
      </c>
      <c r="BF121" s="5">
        <v>0.99236111111111114</v>
      </c>
      <c r="BG121" s="2" t="str" cm="1">
        <f t="array" ref="BG121">_xlfn.IFS(BF121&lt;TIMEVALUE("06:00"),"Night", BF121&gt;=TIMEVALUE("21:00"),"Night",BF121&gt;=TIMEVALUE("17:00"),"Evening",BF121&gt;=TIMEVALUE("12:00"),"Afternoon", BF121&gt;=TIMEVALUE("06:00"),"Morning")</f>
        <v>Night</v>
      </c>
      <c r="BH121" s="2">
        <v>2015</v>
      </c>
      <c r="BI121" s="2" t="s">
        <v>423</v>
      </c>
      <c r="BJ121" s="2">
        <v>5</v>
      </c>
    </row>
    <row r="122" spans="1:62" x14ac:dyDescent="0.3">
      <c r="A122" s="2" t="s">
        <v>86</v>
      </c>
      <c r="B122" s="2">
        <v>5</v>
      </c>
      <c r="C122" s="2">
        <v>4</v>
      </c>
      <c r="D122" s="2">
        <v>149.99</v>
      </c>
      <c r="E122" s="2">
        <v>499.95</v>
      </c>
      <c r="F122" s="2" t="s">
        <v>87</v>
      </c>
      <c r="G122" s="2" t="s">
        <v>88</v>
      </c>
      <c r="H122" s="2">
        <v>9</v>
      </c>
      <c r="I122" s="2" t="s">
        <v>496</v>
      </c>
      <c r="J122" s="2" t="s">
        <v>66</v>
      </c>
      <c r="K122" s="2" t="s">
        <v>67</v>
      </c>
      <c r="L122" s="2" t="s">
        <v>782</v>
      </c>
      <c r="M122" s="2">
        <v>6277</v>
      </c>
      <c r="N122" s="2" t="s">
        <v>425</v>
      </c>
      <c r="O122" s="2" t="s">
        <v>70</v>
      </c>
      <c r="P122" s="2" t="s">
        <v>71</v>
      </c>
      <c r="Q122" s="2" t="s">
        <v>783</v>
      </c>
      <c r="R122" s="2">
        <v>725</v>
      </c>
      <c r="S122" s="2">
        <v>3</v>
      </c>
      <c r="T122" s="2" t="s">
        <v>466</v>
      </c>
      <c r="U122" s="2">
        <v>18.219491999999999</v>
      </c>
      <c r="V122" s="2">
        <v>-66.370529199999993</v>
      </c>
      <c r="W122" s="2" t="s">
        <v>582</v>
      </c>
      <c r="X122" s="2" t="s">
        <v>784</v>
      </c>
      <c r="Y122" s="2" t="s">
        <v>584</v>
      </c>
      <c r="Z122" s="2">
        <v>6277</v>
      </c>
      <c r="AA122" s="2" t="s">
        <v>785</v>
      </c>
      <c r="AB122" s="2">
        <v>58034</v>
      </c>
      <c r="AC122" s="2">
        <v>191</v>
      </c>
      <c r="AD122" s="2">
        <v>0</v>
      </c>
      <c r="AE122" s="2">
        <v>0</v>
      </c>
      <c r="AF122" s="2" t="str" cm="1">
        <f t="array" ref="AF122">_xlfn.IFS(AE122=0, "No Discount ", AE122&lt;=0.08,"Low Discount", AE122&lt;=0.16,"Medium Discount", AE122&gt;0.16, "High Discount")</f>
        <v xml:space="preserve">No Discount </v>
      </c>
      <c r="AG122" s="2">
        <v>145203</v>
      </c>
      <c r="AH122" s="2">
        <v>99.99</v>
      </c>
      <c r="AI122" s="2">
        <v>0.3</v>
      </c>
      <c r="AJ122" s="2" t="str" cm="1">
        <f t="array" ref="AJ122">_xlfn.IFS(AI122&lt;=0, "No Profit", AI122&lt;=0.16,"Low Profit",AI122&lt;=0.32,"Medium Profit",AI122&gt;0.32,"High Profit")</f>
        <v>Medium Profit</v>
      </c>
      <c r="AK122" s="2">
        <v>5</v>
      </c>
      <c r="AL122" s="2">
        <v>499.95</v>
      </c>
      <c r="AM122" s="2">
        <v>499.95</v>
      </c>
      <c r="AN122" s="2">
        <v>149.99</v>
      </c>
      <c r="AO122" s="2" t="s">
        <v>586</v>
      </c>
      <c r="AP122" s="2" t="s">
        <v>784</v>
      </c>
      <c r="AQ122" s="2" t="s">
        <v>155</v>
      </c>
      <c r="AR122" s="2" t="s">
        <v>81</v>
      </c>
      <c r="AS122" s="2">
        <v>191</v>
      </c>
      <c r="AT122" s="2">
        <v>9</v>
      </c>
      <c r="AU122" s="2" t="s">
        <v>505</v>
      </c>
      <c r="AV122" s="2">
        <v>99.99</v>
      </c>
      <c r="AW122" s="2">
        <v>0</v>
      </c>
      <c r="AX122" s="3">
        <v>42771.147222222222</v>
      </c>
      <c r="AY122" s="2" t="s">
        <v>83</v>
      </c>
      <c r="AZ122" s="4">
        <v>42852</v>
      </c>
      <c r="BA122" s="5">
        <v>0.14722222222222223</v>
      </c>
      <c r="BB122" s="2">
        <v>2017</v>
      </c>
      <c r="BC122" s="2" t="s">
        <v>487</v>
      </c>
      <c r="BD122" s="2">
        <v>27</v>
      </c>
      <c r="BE122" s="4">
        <v>42771</v>
      </c>
      <c r="BF122" s="5">
        <v>0.14722222222222223</v>
      </c>
      <c r="BG122" s="2" t="str" cm="1">
        <f t="array" ref="BG122">_xlfn.IFS(BF122&lt;TIMEVALUE("06:00"),"Night", BF122&gt;=TIMEVALUE("21:00"),"Night",BF122&gt;=TIMEVALUE("17:00"),"Evening",BF122&gt;=TIMEVALUE("12:00"),"Afternoon", BF122&gt;=TIMEVALUE("06:00"),"Morning")</f>
        <v>Night</v>
      </c>
      <c r="BH122" s="2">
        <v>2017</v>
      </c>
      <c r="BI122" s="2" t="s">
        <v>423</v>
      </c>
      <c r="BJ122" s="2">
        <v>5</v>
      </c>
    </row>
    <row r="123" spans="1:62" x14ac:dyDescent="0.3">
      <c r="A123" s="2" t="s">
        <v>86</v>
      </c>
      <c r="B123" s="2">
        <v>4</v>
      </c>
      <c r="C123" s="2">
        <v>4</v>
      </c>
      <c r="D123" s="2">
        <v>-18.809999999999999</v>
      </c>
      <c r="E123" s="2">
        <v>494.95</v>
      </c>
      <c r="F123" s="2" t="s">
        <v>100</v>
      </c>
      <c r="G123" s="2" t="s">
        <v>64</v>
      </c>
      <c r="H123" s="2">
        <v>9</v>
      </c>
      <c r="I123" s="2" t="s">
        <v>496</v>
      </c>
      <c r="J123" s="2" t="s">
        <v>66</v>
      </c>
      <c r="K123" s="2" t="s">
        <v>67</v>
      </c>
      <c r="L123" s="2" t="s">
        <v>786</v>
      </c>
      <c r="M123" s="2">
        <v>7701</v>
      </c>
      <c r="N123" s="2" t="s">
        <v>787</v>
      </c>
      <c r="O123" s="2" t="s">
        <v>70</v>
      </c>
      <c r="P123" s="2" t="s">
        <v>71</v>
      </c>
      <c r="Q123" s="2" t="s">
        <v>788</v>
      </c>
      <c r="R123" s="2">
        <v>725</v>
      </c>
      <c r="S123" s="2">
        <v>3</v>
      </c>
      <c r="T123" s="2" t="s">
        <v>466</v>
      </c>
      <c r="U123" s="2">
        <v>18.2528915</v>
      </c>
      <c r="V123" s="2">
        <v>-66.370582600000006</v>
      </c>
      <c r="W123" s="2" t="s">
        <v>582</v>
      </c>
      <c r="X123" s="2" t="s">
        <v>789</v>
      </c>
      <c r="Y123" s="2" t="s">
        <v>584</v>
      </c>
      <c r="Z123" s="2">
        <v>7701</v>
      </c>
      <c r="AA123" s="3">
        <v>42037.143750000003</v>
      </c>
      <c r="AB123" s="2">
        <v>2203</v>
      </c>
      <c r="AC123" s="2">
        <v>191</v>
      </c>
      <c r="AD123" s="2">
        <v>5</v>
      </c>
      <c r="AE123" s="2">
        <v>0.01</v>
      </c>
      <c r="AF123" s="2" t="str" cm="1">
        <f t="array" ref="AF123">_xlfn.IFS(AE123=0, "No Discount ", AE123&lt;=0.08,"Low Discount", AE123&lt;=0.16,"Medium Discount", AE123&gt;0.16, "High Discount")</f>
        <v>Low Discount</v>
      </c>
      <c r="AG123" s="2">
        <v>5525</v>
      </c>
      <c r="AH123" s="2">
        <v>99.99</v>
      </c>
      <c r="AI123" s="2">
        <v>-0.04</v>
      </c>
      <c r="AJ123" s="2" t="str" cm="1">
        <f t="array" ref="AJ123">_xlfn.IFS(AI123&lt;=0, "No Profit", AI123&lt;=0.16,"Low Profit",AI123&lt;=0.32,"Medium Profit",AI123&gt;0.32,"High Profit")</f>
        <v>No Profit</v>
      </c>
      <c r="AK123" s="2">
        <v>5</v>
      </c>
      <c r="AL123" s="2">
        <v>499.95</v>
      </c>
      <c r="AM123" s="2">
        <v>494.95</v>
      </c>
      <c r="AN123" s="2">
        <v>-18.809999999999999</v>
      </c>
      <c r="AO123" s="2" t="s">
        <v>586</v>
      </c>
      <c r="AP123" s="2" t="s">
        <v>584</v>
      </c>
      <c r="AQ123" s="2" t="s">
        <v>155</v>
      </c>
      <c r="AR123" s="2" t="s">
        <v>81</v>
      </c>
      <c r="AS123" s="2">
        <v>191</v>
      </c>
      <c r="AT123" s="2">
        <v>9</v>
      </c>
      <c r="AU123" s="2" t="s">
        <v>505</v>
      </c>
      <c r="AV123" s="2">
        <v>99.99</v>
      </c>
      <c r="AW123" s="2">
        <v>0</v>
      </c>
      <c r="AX123" s="3">
        <v>42157.143750000003</v>
      </c>
      <c r="AY123" s="2" t="s">
        <v>83</v>
      </c>
      <c r="AZ123" s="4">
        <v>42037</v>
      </c>
      <c r="BA123" s="5">
        <v>0.14374999999999999</v>
      </c>
      <c r="BB123" s="2">
        <v>2015</v>
      </c>
      <c r="BC123" s="2" t="s">
        <v>423</v>
      </c>
      <c r="BD123" s="2">
        <v>2</v>
      </c>
      <c r="BE123" s="4">
        <v>42157</v>
      </c>
      <c r="BF123" s="5">
        <v>0.14374999999999999</v>
      </c>
      <c r="BG123" s="2" t="str" cm="1">
        <f t="array" ref="BG123">_xlfn.IFS(BF123&lt;TIMEVALUE("06:00"),"Night", BF123&gt;=TIMEVALUE("21:00"),"Night",BF123&gt;=TIMEVALUE("17:00"),"Evening",BF123&gt;=TIMEVALUE("12:00"),"Afternoon", BF123&gt;=TIMEVALUE("06:00"),"Morning")</f>
        <v>Night</v>
      </c>
      <c r="BH123" s="2">
        <v>2015</v>
      </c>
      <c r="BI123" s="2" t="s">
        <v>474</v>
      </c>
      <c r="BJ123" s="2">
        <v>2</v>
      </c>
    </row>
    <row r="124" spans="1:62" x14ac:dyDescent="0.3">
      <c r="A124" s="2" t="s">
        <v>86</v>
      </c>
      <c r="B124" s="2">
        <v>5</v>
      </c>
      <c r="C124" s="2">
        <v>4</v>
      </c>
      <c r="D124" s="2">
        <v>140.63999999999999</v>
      </c>
      <c r="E124" s="2">
        <v>484.95</v>
      </c>
      <c r="F124" s="2" t="s">
        <v>87</v>
      </c>
      <c r="G124" s="2" t="s">
        <v>88</v>
      </c>
      <c r="H124" s="2">
        <v>9</v>
      </c>
      <c r="I124" s="2" t="s">
        <v>496</v>
      </c>
      <c r="J124" s="2" t="s">
        <v>66</v>
      </c>
      <c r="K124" s="2" t="s">
        <v>67</v>
      </c>
      <c r="L124" s="2" t="s">
        <v>790</v>
      </c>
      <c r="M124" s="2">
        <v>4126</v>
      </c>
      <c r="N124" s="2" t="s">
        <v>791</v>
      </c>
      <c r="O124" s="2" t="s">
        <v>70</v>
      </c>
      <c r="P124" s="2" t="s">
        <v>71</v>
      </c>
      <c r="Q124" s="2" t="s">
        <v>792</v>
      </c>
      <c r="R124" s="2">
        <v>725</v>
      </c>
      <c r="S124" s="2">
        <v>3</v>
      </c>
      <c r="T124" s="2" t="s">
        <v>466</v>
      </c>
      <c r="U124" s="2">
        <v>18.229850800000001</v>
      </c>
      <c r="V124" s="2">
        <v>-66.370620700000003</v>
      </c>
      <c r="W124" s="2" t="s">
        <v>582</v>
      </c>
      <c r="X124" s="2" t="s">
        <v>793</v>
      </c>
      <c r="Y124" s="2" t="s">
        <v>794</v>
      </c>
      <c r="Z124" s="2">
        <v>4126</v>
      </c>
      <c r="AA124" s="2" t="s">
        <v>795</v>
      </c>
      <c r="AB124" s="2">
        <v>53069</v>
      </c>
      <c r="AC124" s="2">
        <v>191</v>
      </c>
      <c r="AD124" s="2">
        <v>15</v>
      </c>
      <c r="AE124" s="2">
        <v>0.03</v>
      </c>
      <c r="AF124" s="2" t="str" cm="1">
        <f t="array" ref="AF124">_xlfn.IFS(AE124=0, "No Discount ", AE124&lt;=0.08,"Low Discount", AE124&lt;=0.16,"Medium Discount", AE124&gt;0.16, "High Discount")</f>
        <v>Low Discount</v>
      </c>
      <c r="AG124" s="2">
        <v>132642</v>
      </c>
      <c r="AH124" s="2">
        <v>99.99</v>
      </c>
      <c r="AI124" s="2">
        <v>0.28999999999999998</v>
      </c>
      <c r="AJ124" s="2" t="str" cm="1">
        <f t="array" ref="AJ124">_xlfn.IFS(AI124&lt;=0, "No Profit", AI124&lt;=0.16,"Low Profit",AI124&lt;=0.32,"Medium Profit",AI124&gt;0.32,"High Profit")</f>
        <v>Medium Profit</v>
      </c>
      <c r="AK124" s="2">
        <v>5</v>
      </c>
      <c r="AL124" s="2">
        <v>499.95</v>
      </c>
      <c r="AM124" s="2">
        <v>484.95</v>
      </c>
      <c r="AN124" s="2">
        <v>140.63999999999999</v>
      </c>
      <c r="AO124" s="2" t="s">
        <v>607</v>
      </c>
      <c r="AP124" s="2" t="s">
        <v>796</v>
      </c>
      <c r="AQ124" s="2" t="s">
        <v>155</v>
      </c>
      <c r="AR124" s="2" t="s">
        <v>81</v>
      </c>
      <c r="AS124" s="2">
        <v>191</v>
      </c>
      <c r="AT124" s="2">
        <v>9</v>
      </c>
      <c r="AU124" s="2" t="s">
        <v>505</v>
      </c>
      <c r="AV124" s="2">
        <v>99.99</v>
      </c>
      <c r="AW124" s="2">
        <v>0</v>
      </c>
      <c r="AX124" s="2" t="s">
        <v>797</v>
      </c>
      <c r="AY124" s="2" t="s">
        <v>83</v>
      </c>
      <c r="AZ124" s="4">
        <v>42779</v>
      </c>
      <c r="BA124" s="5">
        <v>0.67013888888888884</v>
      </c>
      <c r="BB124" s="2">
        <v>2017</v>
      </c>
      <c r="BC124" s="2" t="s">
        <v>423</v>
      </c>
      <c r="BD124" s="2">
        <v>13</v>
      </c>
      <c r="BE124" s="4">
        <v>42784</v>
      </c>
      <c r="BF124" s="5">
        <v>0.67013888888888884</v>
      </c>
      <c r="BG124" s="2" t="str" cm="1">
        <f t="array" ref="BG124">_xlfn.IFS(BF124&lt;TIMEVALUE("06:00"),"Night", BF124&gt;=TIMEVALUE("21:00"),"Night",BF124&gt;=TIMEVALUE("17:00"),"Evening",BF124&gt;=TIMEVALUE("12:00"),"Afternoon", BF124&gt;=TIMEVALUE("06:00"),"Morning")</f>
        <v>Afternoon</v>
      </c>
      <c r="BH124" s="2">
        <v>2017</v>
      </c>
      <c r="BI124" s="2" t="s">
        <v>423</v>
      </c>
      <c r="BJ124" s="2">
        <v>18</v>
      </c>
    </row>
    <row r="125" spans="1:62" x14ac:dyDescent="0.3">
      <c r="A125" s="2" t="s">
        <v>86</v>
      </c>
      <c r="B125" s="2">
        <v>2</v>
      </c>
      <c r="C125" s="2">
        <v>4</v>
      </c>
      <c r="D125" s="2">
        <v>36</v>
      </c>
      <c r="E125" s="2">
        <v>479.95</v>
      </c>
      <c r="F125" s="2" t="s">
        <v>63</v>
      </c>
      <c r="G125" s="2" t="s">
        <v>64</v>
      </c>
      <c r="H125" s="2">
        <v>9</v>
      </c>
      <c r="I125" s="2" t="s">
        <v>496</v>
      </c>
      <c r="J125" s="2" t="s">
        <v>66</v>
      </c>
      <c r="K125" s="2" t="s">
        <v>67</v>
      </c>
      <c r="L125" s="2" t="s">
        <v>414</v>
      </c>
      <c r="M125" s="2">
        <v>9528</v>
      </c>
      <c r="N125" s="2" t="s">
        <v>798</v>
      </c>
      <c r="O125" s="2" t="s">
        <v>70</v>
      </c>
      <c r="P125" s="2" t="s">
        <v>71</v>
      </c>
      <c r="Q125" s="2" t="s">
        <v>799</v>
      </c>
      <c r="R125" s="2">
        <v>725</v>
      </c>
      <c r="S125" s="2">
        <v>3</v>
      </c>
      <c r="T125" s="2" t="s">
        <v>466</v>
      </c>
      <c r="U125" s="2">
        <v>18.221900900000001</v>
      </c>
      <c r="V125" s="2">
        <v>-66.370521600000004</v>
      </c>
      <c r="W125" s="2" t="s">
        <v>582</v>
      </c>
      <c r="X125" s="2" t="s">
        <v>748</v>
      </c>
      <c r="Y125" s="2" t="s">
        <v>749</v>
      </c>
      <c r="Z125" s="2">
        <v>9528</v>
      </c>
      <c r="AA125" s="2" t="s">
        <v>800</v>
      </c>
      <c r="AB125" s="2">
        <v>60146</v>
      </c>
      <c r="AC125" s="2">
        <v>191</v>
      </c>
      <c r="AD125" s="2">
        <v>20</v>
      </c>
      <c r="AE125" s="2">
        <v>0.04</v>
      </c>
      <c r="AF125" s="2" t="str" cm="1">
        <f t="array" ref="AF125">_xlfn.IFS(AE125=0, "No Discount ", AE125&lt;=0.08,"Low Discount", AE125&lt;=0.16,"Medium Discount", AE125&gt;0.16, "High Discount")</f>
        <v>Low Discount</v>
      </c>
      <c r="AG125" s="2">
        <v>150522</v>
      </c>
      <c r="AH125" s="2">
        <v>99.99</v>
      </c>
      <c r="AI125" s="2">
        <v>0.08</v>
      </c>
      <c r="AJ125" s="2" t="str" cm="1">
        <f t="array" ref="AJ125">_xlfn.IFS(AI125&lt;=0, "No Profit", AI125&lt;=0.16,"Low Profit",AI125&lt;=0.32,"Medium Profit",AI125&gt;0.32,"High Profit")</f>
        <v>Low Profit</v>
      </c>
      <c r="AK125" s="2">
        <v>5</v>
      </c>
      <c r="AL125" s="2">
        <v>499.95</v>
      </c>
      <c r="AM125" s="2">
        <v>479.95</v>
      </c>
      <c r="AN125" s="2">
        <v>36</v>
      </c>
      <c r="AO125" s="2" t="s">
        <v>586</v>
      </c>
      <c r="AP125" s="2" t="s">
        <v>748</v>
      </c>
      <c r="AQ125" s="2" t="s">
        <v>155</v>
      </c>
      <c r="AR125" s="2" t="s">
        <v>81</v>
      </c>
      <c r="AS125" s="2">
        <v>191</v>
      </c>
      <c r="AT125" s="2">
        <v>9</v>
      </c>
      <c r="AU125" s="2" t="s">
        <v>505</v>
      </c>
      <c r="AV125" s="2">
        <v>99.99</v>
      </c>
      <c r="AW125" s="2">
        <v>0</v>
      </c>
      <c r="AX125" s="2" t="s">
        <v>801</v>
      </c>
      <c r="AY125" s="2" t="s">
        <v>83</v>
      </c>
      <c r="AZ125" s="4">
        <v>42882</v>
      </c>
      <c r="BA125" s="5">
        <v>0.97777777777777775</v>
      </c>
      <c r="BB125" s="2">
        <v>2017</v>
      </c>
      <c r="BC125" s="2" t="s">
        <v>443</v>
      </c>
      <c r="BD125" s="2">
        <v>27</v>
      </c>
      <c r="BE125" s="4">
        <v>42884</v>
      </c>
      <c r="BF125" s="5">
        <v>0.97777777777777775</v>
      </c>
      <c r="BG125" s="2" t="str" cm="1">
        <f t="array" ref="BG125">_xlfn.IFS(BF125&lt;TIMEVALUE("06:00"),"Night", BF125&gt;=TIMEVALUE("21:00"),"Night",BF125&gt;=TIMEVALUE("17:00"),"Evening",BF125&gt;=TIMEVALUE("12:00"),"Afternoon", BF125&gt;=TIMEVALUE("06:00"),"Morning")</f>
        <v>Night</v>
      </c>
      <c r="BH125" s="2">
        <v>2017</v>
      </c>
      <c r="BI125" s="2" t="s">
        <v>443</v>
      </c>
      <c r="BJ125" s="2">
        <v>29</v>
      </c>
    </row>
    <row r="126" spans="1:62" x14ac:dyDescent="0.3">
      <c r="A126" s="2" t="s">
        <v>86</v>
      </c>
      <c r="B126" s="2">
        <v>5</v>
      </c>
      <c r="C126" s="2">
        <v>4</v>
      </c>
      <c r="D126" s="2">
        <v>179.98</v>
      </c>
      <c r="E126" s="2">
        <v>479.95</v>
      </c>
      <c r="F126" s="2" t="s">
        <v>87</v>
      </c>
      <c r="G126" s="2" t="s">
        <v>88</v>
      </c>
      <c r="H126" s="2">
        <v>9</v>
      </c>
      <c r="I126" s="2" t="s">
        <v>496</v>
      </c>
      <c r="J126" s="2" t="s">
        <v>66</v>
      </c>
      <c r="K126" s="2" t="s">
        <v>67</v>
      </c>
      <c r="L126" s="2" t="s">
        <v>414</v>
      </c>
      <c r="M126" s="2">
        <v>1853</v>
      </c>
      <c r="N126" s="2" t="s">
        <v>545</v>
      </c>
      <c r="O126" s="2" t="s">
        <v>70</v>
      </c>
      <c r="P126" s="2" t="s">
        <v>71</v>
      </c>
      <c r="Q126" s="2" t="s">
        <v>802</v>
      </c>
      <c r="R126" s="2">
        <v>725</v>
      </c>
      <c r="S126" s="2">
        <v>3</v>
      </c>
      <c r="T126" s="2" t="s">
        <v>466</v>
      </c>
      <c r="U126" s="2">
        <v>18.260190999999999</v>
      </c>
      <c r="V126" s="2">
        <v>-66.370529199999993</v>
      </c>
      <c r="W126" s="2" t="s">
        <v>582</v>
      </c>
      <c r="X126" s="2" t="s">
        <v>803</v>
      </c>
      <c r="Y126" s="2" t="s">
        <v>605</v>
      </c>
      <c r="Z126" s="2">
        <v>1853</v>
      </c>
      <c r="AA126" s="2" t="s">
        <v>804</v>
      </c>
      <c r="AB126" s="2">
        <v>55409</v>
      </c>
      <c r="AC126" s="2">
        <v>191</v>
      </c>
      <c r="AD126" s="2">
        <v>20</v>
      </c>
      <c r="AE126" s="2">
        <v>0.04</v>
      </c>
      <c r="AF126" s="2" t="str" cm="1">
        <f t="array" ref="AF126">_xlfn.IFS(AE126=0, "No Discount ", AE126&lt;=0.08,"Low Discount", AE126&lt;=0.16,"Medium Discount", AE126&gt;0.16, "High Discount")</f>
        <v>Low Discount</v>
      </c>
      <c r="AG126" s="2">
        <v>138585</v>
      </c>
      <c r="AH126" s="2">
        <v>99.99</v>
      </c>
      <c r="AI126" s="2">
        <v>0.38</v>
      </c>
      <c r="AJ126" s="2" t="str" cm="1">
        <f t="array" ref="AJ126">_xlfn.IFS(AI126&lt;=0, "No Profit", AI126&lt;=0.16,"Low Profit",AI126&lt;=0.32,"Medium Profit",AI126&gt;0.32,"High Profit")</f>
        <v>High Profit</v>
      </c>
      <c r="AK126" s="2">
        <v>5</v>
      </c>
      <c r="AL126" s="2">
        <v>499.95</v>
      </c>
      <c r="AM126" s="2">
        <v>479.95</v>
      </c>
      <c r="AN126" s="2">
        <v>179.98</v>
      </c>
      <c r="AO126" s="2" t="s">
        <v>607</v>
      </c>
      <c r="AP126" s="2" t="s">
        <v>805</v>
      </c>
      <c r="AQ126" s="2" t="s">
        <v>155</v>
      </c>
      <c r="AR126" s="2" t="s">
        <v>81</v>
      </c>
      <c r="AS126" s="2">
        <v>191</v>
      </c>
      <c r="AT126" s="2">
        <v>9</v>
      </c>
      <c r="AU126" s="2" t="s">
        <v>505</v>
      </c>
      <c r="AV126" s="2">
        <v>99.99</v>
      </c>
      <c r="AW126" s="2">
        <v>0</v>
      </c>
      <c r="AX126" s="2" t="s">
        <v>806</v>
      </c>
      <c r="AY126" s="2" t="s">
        <v>83</v>
      </c>
      <c r="AZ126" s="4">
        <v>42813</v>
      </c>
      <c r="BA126" s="5">
        <v>0.82847222222222228</v>
      </c>
      <c r="BB126" s="2">
        <v>2017</v>
      </c>
      <c r="BC126" s="2" t="s">
        <v>85</v>
      </c>
      <c r="BD126" s="2">
        <v>19</v>
      </c>
      <c r="BE126" s="4">
        <v>42818</v>
      </c>
      <c r="BF126" s="5">
        <v>0.82847222222222228</v>
      </c>
      <c r="BG126" s="2" t="str" cm="1">
        <f t="array" ref="BG126">_xlfn.IFS(BF126&lt;TIMEVALUE("06:00"),"Night", BF126&gt;=TIMEVALUE("21:00"),"Night",BF126&gt;=TIMEVALUE("17:00"),"Evening",BF126&gt;=TIMEVALUE("12:00"),"Afternoon", BF126&gt;=TIMEVALUE("06:00"),"Morning")</f>
        <v>Evening</v>
      </c>
      <c r="BH126" s="2">
        <v>2017</v>
      </c>
      <c r="BI126" s="2" t="s">
        <v>85</v>
      </c>
      <c r="BJ126" s="2">
        <v>24</v>
      </c>
    </row>
    <row r="127" spans="1:62" x14ac:dyDescent="0.3">
      <c r="A127" s="2" t="s">
        <v>86</v>
      </c>
      <c r="B127" s="2">
        <v>4</v>
      </c>
      <c r="C127" s="2">
        <v>4</v>
      </c>
      <c r="D127" s="2">
        <v>-783.67</v>
      </c>
      <c r="E127" s="2">
        <v>474.95</v>
      </c>
      <c r="F127" s="2" t="s">
        <v>100</v>
      </c>
      <c r="G127" s="2" t="s">
        <v>64</v>
      </c>
      <c r="H127" s="2">
        <v>9</v>
      </c>
      <c r="I127" s="2" t="s">
        <v>496</v>
      </c>
      <c r="J127" s="2" t="s">
        <v>66</v>
      </c>
      <c r="K127" s="2" t="s">
        <v>67</v>
      </c>
      <c r="L127" s="2" t="s">
        <v>807</v>
      </c>
      <c r="M127" s="2">
        <v>11149</v>
      </c>
      <c r="N127" s="2" t="s">
        <v>425</v>
      </c>
      <c r="O127" s="2" t="s">
        <v>70</v>
      </c>
      <c r="P127" s="2" t="s">
        <v>71</v>
      </c>
      <c r="Q127" s="2" t="s">
        <v>808</v>
      </c>
      <c r="R127" s="2">
        <v>725</v>
      </c>
      <c r="S127" s="2">
        <v>3</v>
      </c>
      <c r="T127" s="2" t="s">
        <v>466</v>
      </c>
      <c r="U127" s="2">
        <v>18.2812862</v>
      </c>
      <c r="V127" s="2">
        <v>-66.370506300000002</v>
      </c>
      <c r="W127" s="2" t="s">
        <v>582</v>
      </c>
      <c r="X127" s="2" t="s">
        <v>700</v>
      </c>
      <c r="Y127" s="2" t="s">
        <v>595</v>
      </c>
      <c r="Z127" s="2">
        <v>11149</v>
      </c>
      <c r="AA127" s="3">
        <v>42190.663888888892</v>
      </c>
      <c r="AB127" s="2">
        <v>8678</v>
      </c>
      <c r="AC127" s="2">
        <v>191</v>
      </c>
      <c r="AD127" s="2">
        <v>25</v>
      </c>
      <c r="AE127" s="2">
        <v>0.05</v>
      </c>
      <c r="AF127" s="2" t="str" cm="1">
        <f t="array" ref="AF127">_xlfn.IFS(AE127=0, "No Discount ", AE127&lt;=0.08,"Low Discount", AE127&lt;=0.16,"Medium Discount", AE127&gt;0.16, "High Discount")</f>
        <v>Low Discount</v>
      </c>
      <c r="AG127" s="2">
        <v>21674</v>
      </c>
      <c r="AH127" s="2">
        <v>99.99</v>
      </c>
      <c r="AI127" s="2">
        <v>-1.65</v>
      </c>
      <c r="AJ127" s="2" t="str" cm="1">
        <f t="array" ref="AJ127">_xlfn.IFS(AI127&lt;=0, "No Profit", AI127&lt;=0.16,"Low Profit",AI127&lt;=0.32,"Medium Profit",AI127&gt;0.32,"High Profit")</f>
        <v>No Profit</v>
      </c>
      <c r="AK127" s="2">
        <v>5</v>
      </c>
      <c r="AL127" s="2">
        <v>499.95</v>
      </c>
      <c r="AM127" s="2">
        <v>474.95</v>
      </c>
      <c r="AN127" s="2">
        <v>-783.67</v>
      </c>
      <c r="AO127" s="2" t="s">
        <v>586</v>
      </c>
      <c r="AP127" s="2" t="s">
        <v>595</v>
      </c>
      <c r="AQ127" s="2" t="s">
        <v>155</v>
      </c>
      <c r="AR127" s="2" t="s">
        <v>81</v>
      </c>
      <c r="AS127" s="2">
        <v>191</v>
      </c>
      <c r="AT127" s="2">
        <v>9</v>
      </c>
      <c r="AU127" s="2" t="s">
        <v>505</v>
      </c>
      <c r="AV127" s="2">
        <v>99.99</v>
      </c>
      <c r="AW127" s="2">
        <v>0</v>
      </c>
      <c r="AX127" s="3">
        <v>42313.663888888892</v>
      </c>
      <c r="AY127" s="2" t="s">
        <v>83</v>
      </c>
      <c r="AZ127" s="4">
        <v>42190</v>
      </c>
      <c r="BA127" s="5">
        <v>0.66388888888888886</v>
      </c>
      <c r="BB127" s="2">
        <v>2015</v>
      </c>
      <c r="BC127" s="2" t="s">
        <v>533</v>
      </c>
      <c r="BD127" s="2">
        <v>5</v>
      </c>
      <c r="BE127" s="4">
        <v>42313</v>
      </c>
      <c r="BF127" s="5">
        <v>0.66388888888888886</v>
      </c>
      <c r="BG127" s="2" t="str" cm="1">
        <f t="array" ref="BG127">_xlfn.IFS(BF127&lt;TIMEVALUE("06:00"),"Night", BF127&gt;=TIMEVALUE("21:00"),"Night",BF127&gt;=TIMEVALUE("17:00"),"Evening",BF127&gt;=TIMEVALUE("12:00"),"Afternoon", BF127&gt;=TIMEVALUE("06:00"),"Morning")</f>
        <v>Afternoon</v>
      </c>
      <c r="BH127" s="2">
        <v>2015</v>
      </c>
      <c r="BI127" s="2" t="s">
        <v>455</v>
      </c>
      <c r="BJ127" s="2">
        <v>5</v>
      </c>
    </row>
    <row r="128" spans="1:62" x14ac:dyDescent="0.3">
      <c r="A128" s="2" t="s">
        <v>86</v>
      </c>
      <c r="B128" s="2">
        <v>6</v>
      </c>
      <c r="C128" s="2">
        <v>4</v>
      </c>
      <c r="D128" s="2">
        <v>199.48</v>
      </c>
      <c r="E128" s="2">
        <v>474.95</v>
      </c>
      <c r="F128" s="2" t="s">
        <v>87</v>
      </c>
      <c r="G128" s="2" t="s">
        <v>88</v>
      </c>
      <c r="H128" s="2">
        <v>9</v>
      </c>
      <c r="I128" s="2" t="s">
        <v>496</v>
      </c>
      <c r="J128" s="2" t="s">
        <v>66</v>
      </c>
      <c r="K128" s="2" t="s">
        <v>67</v>
      </c>
      <c r="L128" s="2" t="s">
        <v>444</v>
      </c>
      <c r="M128" s="2">
        <v>5828</v>
      </c>
      <c r="N128" s="2" t="s">
        <v>809</v>
      </c>
      <c r="O128" s="2" t="s">
        <v>70</v>
      </c>
      <c r="P128" s="2" t="s">
        <v>71</v>
      </c>
      <c r="Q128" s="2" t="s">
        <v>810</v>
      </c>
      <c r="R128" s="2">
        <v>725</v>
      </c>
      <c r="S128" s="2">
        <v>3</v>
      </c>
      <c r="T128" s="2" t="s">
        <v>466</v>
      </c>
      <c r="U128" s="2">
        <v>18.211017600000002</v>
      </c>
      <c r="V128" s="2">
        <v>-66.370529199999993</v>
      </c>
      <c r="W128" s="2" t="s">
        <v>582</v>
      </c>
      <c r="X128" s="2" t="s">
        <v>700</v>
      </c>
      <c r="Y128" s="2" t="s">
        <v>595</v>
      </c>
      <c r="Z128" s="2">
        <v>5828</v>
      </c>
      <c r="AA128" s="2" t="s">
        <v>811</v>
      </c>
      <c r="AB128" s="2">
        <v>7980</v>
      </c>
      <c r="AC128" s="2">
        <v>191</v>
      </c>
      <c r="AD128" s="2">
        <v>25</v>
      </c>
      <c r="AE128" s="2">
        <v>0.05</v>
      </c>
      <c r="AF128" s="2" t="str" cm="1">
        <f t="array" ref="AF128">_xlfn.IFS(AE128=0, "No Discount ", AE128&lt;=0.08,"Low Discount", AE128&lt;=0.16,"Medium Discount", AE128&gt;0.16, "High Discount")</f>
        <v>Low Discount</v>
      </c>
      <c r="AG128" s="2">
        <v>19945</v>
      </c>
      <c r="AH128" s="2">
        <v>99.99</v>
      </c>
      <c r="AI128" s="2">
        <v>0.42</v>
      </c>
      <c r="AJ128" s="2" t="str" cm="1">
        <f t="array" ref="AJ128">_xlfn.IFS(AI128&lt;=0, "No Profit", AI128&lt;=0.16,"Low Profit",AI128&lt;=0.32,"Medium Profit",AI128&gt;0.32,"High Profit")</f>
        <v>High Profit</v>
      </c>
      <c r="AK128" s="2">
        <v>5</v>
      </c>
      <c r="AL128" s="2">
        <v>499.95</v>
      </c>
      <c r="AM128" s="2">
        <v>474.95</v>
      </c>
      <c r="AN128" s="2">
        <v>199.48</v>
      </c>
      <c r="AO128" s="2" t="s">
        <v>586</v>
      </c>
      <c r="AP128" s="2" t="s">
        <v>595</v>
      </c>
      <c r="AQ128" s="2" t="s">
        <v>155</v>
      </c>
      <c r="AR128" s="2" t="s">
        <v>81</v>
      </c>
      <c r="AS128" s="2">
        <v>191</v>
      </c>
      <c r="AT128" s="2">
        <v>9</v>
      </c>
      <c r="AU128" s="2" t="s">
        <v>505</v>
      </c>
      <c r="AV128" s="2">
        <v>99.99</v>
      </c>
      <c r="AW128" s="2">
        <v>0</v>
      </c>
      <c r="AX128" s="3">
        <v>42068.474305555559</v>
      </c>
      <c r="AY128" s="2" t="s">
        <v>83</v>
      </c>
      <c r="AZ128" s="4">
        <v>42121</v>
      </c>
      <c r="BA128" s="5">
        <v>0.47430555555555554</v>
      </c>
      <c r="BB128" s="2">
        <v>2015</v>
      </c>
      <c r="BC128" s="2" t="s">
        <v>487</v>
      </c>
      <c r="BD128" s="2">
        <v>27</v>
      </c>
      <c r="BE128" s="4">
        <v>42068</v>
      </c>
      <c r="BF128" s="5">
        <v>0.47430555555555554</v>
      </c>
      <c r="BG128" s="2" t="str" cm="1">
        <f t="array" ref="BG128">_xlfn.IFS(BF128&lt;TIMEVALUE("06:00"),"Night", BF128&gt;=TIMEVALUE("21:00"),"Night",BF128&gt;=TIMEVALUE("17:00"),"Evening",BF128&gt;=TIMEVALUE("12:00"),"Afternoon", BF128&gt;=TIMEVALUE("06:00"),"Morning")</f>
        <v>Morning</v>
      </c>
      <c r="BH128" s="2">
        <v>2015</v>
      </c>
      <c r="BI128" s="2" t="s">
        <v>85</v>
      </c>
      <c r="BJ128" s="2">
        <v>5</v>
      </c>
    </row>
    <row r="129" spans="1:62" x14ac:dyDescent="0.3">
      <c r="A129" s="2" t="s">
        <v>86</v>
      </c>
      <c r="B129" s="2">
        <v>6</v>
      </c>
      <c r="C129" s="2">
        <v>4</v>
      </c>
      <c r="D129" s="2">
        <v>-269.97000000000003</v>
      </c>
      <c r="E129" s="2">
        <v>449.96</v>
      </c>
      <c r="F129" s="2" t="s">
        <v>87</v>
      </c>
      <c r="G129" s="2" t="s">
        <v>88</v>
      </c>
      <c r="H129" s="2">
        <v>9</v>
      </c>
      <c r="I129" s="2" t="s">
        <v>496</v>
      </c>
      <c r="J129" s="2" t="s">
        <v>66</v>
      </c>
      <c r="K129" s="2" t="s">
        <v>67</v>
      </c>
      <c r="L129" s="2" t="s">
        <v>414</v>
      </c>
      <c r="M129" s="2">
        <v>6887</v>
      </c>
      <c r="N129" s="2" t="s">
        <v>425</v>
      </c>
      <c r="O129" s="2" t="s">
        <v>70</v>
      </c>
      <c r="P129" s="2" t="s">
        <v>71</v>
      </c>
      <c r="Q129" s="2" t="s">
        <v>812</v>
      </c>
      <c r="R129" s="2">
        <v>725</v>
      </c>
      <c r="S129" s="2">
        <v>3</v>
      </c>
      <c r="T129" s="2" t="s">
        <v>466</v>
      </c>
      <c r="U129" s="2">
        <v>18.2201977</v>
      </c>
      <c r="V129" s="2">
        <v>-66.370582600000006</v>
      </c>
      <c r="W129" s="2" t="s">
        <v>582</v>
      </c>
      <c r="X129" s="2" t="s">
        <v>583</v>
      </c>
      <c r="Y129" s="2" t="s">
        <v>584</v>
      </c>
      <c r="Z129" s="2">
        <v>6887</v>
      </c>
      <c r="AA129" s="2" t="s">
        <v>813</v>
      </c>
      <c r="AB129" s="2">
        <v>57185</v>
      </c>
      <c r="AC129" s="2">
        <v>191</v>
      </c>
      <c r="AD129" s="2">
        <v>50</v>
      </c>
      <c r="AE129" s="2">
        <v>0.1</v>
      </c>
      <c r="AF129" s="2" t="str" cm="1">
        <f t="array" ref="AF129">_xlfn.IFS(AE129=0, "No Discount ", AE129&lt;=0.08,"Low Discount", AE129&lt;=0.16,"Medium Discount", AE129&gt;0.16, "High Discount")</f>
        <v>Medium Discount</v>
      </c>
      <c r="AG129" s="2">
        <v>143043</v>
      </c>
      <c r="AH129" s="2">
        <v>99.99</v>
      </c>
      <c r="AI129" s="2">
        <v>-0.6</v>
      </c>
      <c r="AJ129" s="2" t="str" cm="1">
        <f t="array" ref="AJ129">_xlfn.IFS(AI129&lt;=0, "No Profit", AI129&lt;=0.16,"Low Profit",AI129&lt;=0.32,"Medium Profit",AI129&gt;0.32,"High Profit")</f>
        <v>No Profit</v>
      </c>
      <c r="AK129" s="2">
        <v>5</v>
      </c>
      <c r="AL129" s="2">
        <v>499.95</v>
      </c>
      <c r="AM129" s="2">
        <v>449.96</v>
      </c>
      <c r="AN129" s="2">
        <v>-269.97000000000003</v>
      </c>
      <c r="AO129" s="2" t="s">
        <v>586</v>
      </c>
      <c r="AP129" s="2" t="s">
        <v>584</v>
      </c>
      <c r="AQ129" s="2" t="s">
        <v>155</v>
      </c>
      <c r="AR129" s="2" t="s">
        <v>81</v>
      </c>
      <c r="AS129" s="2">
        <v>191</v>
      </c>
      <c r="AT129" s="2">
        <v>9</v>
      </c>
      <c r="AU129" s="2" t="s">
        <v>505</v>
      </c>
      <c r="AV129" s="2">
        <v>99.99</v>
      </c>
      <c r="AW129" s="2">
        <v>0</v>
      </c>
      <c r="AX129" s="2" t="s">
        <v>814</v>
      </c>
      <c r="AY129" s="2" t="s">
        <v>83</v>
      </c>
      <c r="AZ129" s="4">
        <v>42839</v>
      </c>
      <c r="BA129" s="5">
        <v>0.75416666666666665</v>
      </c>
      <c r="BB129" s="2">
        <v>2017</v>
      </c>
      <c r="BC129" s="2" t="s">
        <v>487</v>
      </c>
      <c r="BD129" s="2">
        <v>14</v>
      </c>
      <c r="BE129" s="4">
        <v>42845</v>
      </c>
      <c r="BF129" s="5">
        <v>0.75416666666666665</v>
      </c>
      <c r="BG129" s="2" t="str" cm="1">
        <f t="array" ref="BG129">_xlfn.IFS(BF129&lt;TIMEVALUE("06:00"),"Night", BF129&gt;=TIMEVALUE("21:00"),"Night",BF129&gt;=TIMEVALUE("17:00"),"Evening",BF129&gt;=TIMEVALUE("12:00"),"Afternoon", BF129&gt;=TIMEVALUE("06:00"),"Morning")</f>
        <v>Evening</v>
      </c>
      <c r="BH129" s="2">
        <v>2017</v>
      </c>
      <c r="BI129" s="2" t="s">
        <v>487</v>
      </c>
      <c r="BJ129" s="2">
        <v>20</v>
      </c>
    </row>
    <row r="130" spans="1:62" x14ac:dyDescent="0.3">
      <c r="A130" s="2" t="s">
        <v>86</v>
      </c>
      <c r="B130" s="2">
        <v>2</v>
      </c>
      <c r="C130" s="2">
        <v>4</v>
      </c>
      <c r="D130" s="2">
        <v>-22.5</v>
      </c>
      <c r="E130" s="2">
        <v>449.96</v>
      </c>
      <c r="F130" s="2" t="s">
        <v>63</v>
      </c>
      <c r="G130" s="2" t="s">
        <v>64</v>
      </c>
      <c r="H130" s="2">
        <v>9</v>
      </c>
      <c r="I130" s="2" t="s">
        <v>496</v>
      </c>
      <c r="J130" s="2" t="s">
        <v>66</v>
      </c>
      <c r="K130" s="2" t="s">
        <v>67</v>
      </c>
      <c r="L130" s="2" t="s">
        <v>815</v>
      </c>
      <c r="M130" s="2">
        <v>4781</v>
      </c>
      <c r="N130" s="2" t="s">
        <v>425</v>
      </c>
      <c r="O130" s="2" t="s">
        <v>70</v>
      </c>
      <c r="P130" s="2" t="s">
        <v>71</v>
      </c>
      <c r="Q130" s="2" t="s">
        <v>816</v>
      </c>
      <c r="R130" s="2">
        <v>725</v>
      </c>
      <c r="S130" s="2">
        <v>3</v>
      </c>
      <c r="T130" s="2" t="s">
        <v>466</v>
      </c>
      <c r="U130" s="2">
        <v>18.2553406</v>
      </c>
      <c r="V130" s="2">
        <v>-66.370506300000002</v>
      </c>
      <c r="W130" s="2" t="s">
        <v>582</v>
      </c>
      <c r="X130" s="2" t="s">
        <v>817</v>
      </c>
      <c r="Y130" s="2" t="s">
        <v>632</v>
      </c>
      <c r="Z130" s="2">
        <v>4781</v>
      </c>
      <c r="AA130" s="3">
        <v>42190.050694444442</v>
      </c>
      <c r="AB130" s="2">
        <v>8636</v>
      </c>
      <c r="AC130" s="2">
        <v>191</v>
      </c>
      <c r="AD130" s="2">
        <v>50</v>
      </c>
      <c r="AE130" s="2">
        <v>0.1</v>
      </c>
      <c r="AF130" s="2" t="str" cm="1">
        <f t="array" ref="AF130">_xlfn.IFS(AE130=0, "No Discount ", AE130&lt;=0.08,"Low Discount", AE130&lt;=0.16,"Medium Discount", AE130&gt;0.16, "High Discount")</f>
        <v>Medium Discount</v>
      </c>
      <c r="AG130" s="2">
        <v>21551</v>
      </c>
      <c r="AH130" s="2">
        <v>99.99</v>
      </c>
      <c r="AI130" s="2">
        <v>-0.05</v>
      </c>
      <c r="AJ130" s="2" t="str" cm="1">
        <f t="array" ref="AJ130">_xlfn.IFS(AI130&lt;=0, "No Profit", AI130&lt;=0.16,"Low Profit",AI130&lt;=0.32,"Medium Profit",AI130&gt;0.32,"High Profit")</f>
        <v>No Profit</v>
      </c>
      <c r="AK130" s="2">
        <v>5</v>
      </c>
      <c r="AL130" s="2">
        <v>499.95</v>
      </c>
      <c r="AM130" s="2">
        <v>449.96</v>
      </c>
      <c r="AN130" s="2">
        <v>-22.5</v>
      </c>
      <c r="AO130" s="2" t="s">
        <v>607</v>
      </c>
      <c r="AP130" s="2" t="s">
        <v>658</v>
      </c>
      <c r="AQ130" s="2" t="s">
        <v>155</v>
      </c>
      <c r="AR130" s="2" t="s">
        <v>81</v>
      </c>
      <c r="AS130" s="2">
        <v>191</v>
      </c>
      <c r="AT130" s="2">
        <v>9</v>
      </c>
      <c r="AU130" s="2" t="s">
        <v>505</v>
      </c>
      <c r="AV130" s="2">
        <v>99.99</v>
      </c>
      <c r="AW130" s="2">
        <v>0</v>
      </c>
      <c r="AX130" s="3">
        <v>42252.050694444442</v>
      </c>
      <c r="AY130" s="2" t="s">
        <v>83</v>
      </c>
      <c r="AZ130" s="4">
        <v>42190</v>
      </c>
      <c r="BA130" s="5">
        <v>5.0694444444444445E-2</v>
      </c>
      <c r="BB130" s="2">
        <v>2015</v>
      </c>
      <c r="BC130" s="2" t="s">
        <v>533</v>
      </c>
      <c r="BD130" s="2">
        <v>5</v>
      </c>
      <c r="BE130" s="4">
        <v>42252</v>
      </c>
      <c r="BF130" s="5">
        <v>5.0694444444444445E-2</v>
      </c>
      <c r="BG130" s="2" t="str" cm="1">
        <f t="array" ref="BG130">_xlfn.IFS(BF130&lt;TIMEVALUE("06:00"),"Night", BF130&gt;=TIMEVALUE("21:00"),"Night",BF130&gt;=TIMEVALUE("17:00"),"Evening",BF130&gt;=TIMEVALUE("12:00"),"Afternoon", BF130&gt;=TIMEVALUE("06:00"),"Morning")</f>
        <v>Night</v>
      </c>
      <c r="BH130" s="2">
        <v>2015</v>
      </c>
      <c r="BI130" s="2" t="s">
        <v>552</v>
      </c>
      <c r="BJ130" s="2">
        <v>5</v>
      </c>
    </row>
    <row r="131" spans="1:62" x14ac:dyDescent="0.3">
      <c r="A131" s="2" t="s">
        <v>86</v>
      </c>
      <c r="B131" s="2">
        <v>3</v>
      </c>
      <c r="C131" s="2">
        <v>4</v>
      </c>
      <c r="D131" s="2">
        <v>59.06</v>
      </c>
      <c r="E131" s="2">
        <v>337.46</v>
      </c>
      <c r="F131" s="2" t="s">
        <v>63</v>
      </c>
      <c r="G131" s="2" t="s">
        <v>64</v>
      </c>
      <c r="H131" s="2">
        <v>12</v>
      </c>
      <c r="I131" s="2" t="s">
        <v>475</v>
      </c>
      <c r="J131" s="2" t="s">
        <v>66</v>
      </c>
      <c r="K131" s="2" t="s">
        <v>67</v>
      </c>
      <c r="L131" s="2" t="s">
        <v>414</v>
      </c>
      <c r="M131" s="2">
        <v>10668</v>
      </c>
      <c r="N131" s="2" t="s">
        <v>425</v>
      </c>
      <c r="O131" s="2" t="s">
        <v>70</v>
      </c>
      <c r="P131" s="2" t="s">
        <v>71</v>
      </c>
      <c r="Q131" s="2" t="s">
        <v>818</v>
      </c>
      <c r="R131" s="2">
        <v>725</v>
      </c>
      <c r="S131" s="2">
        <v>3</v>
      </c>
      <c r="T131" s="2" t="s">
        <v>466</v>
      </c>
      <c r="U131" s="2">
        <v>18.232158699999999</v>
      </c>
      <c r="V131" s="2">
        <v>-66.370590199999995</v>
      </c>
      <c r="W131" s="2" t="s">
        <v>582</v>
      </c>
      <c r="X131" s="2" t="s">
        <v>819</v>
      </c>
      <c r="Y131" s="2" t="s">
        <v>632</v>
      </c>
      <c r="Z131" s="2">
        <v>10668</v>
      </c>
      <c r="AA131" s="3">
        <v>43075.246527777781</v>
      </c>
      <c r="AB131" s="2">
        <v>61192</v>
      </c>
      <c r="AC131" s="2">
        <v>251</v>
      </c>
      <c r="AD131" s="2">
        <v>112.49</v>
      </c>
      <c r="AE131" s="2">
        <v>0.25</v>
      </c>
      <c r="AF131" s="2" t="str" cm="1">
        <f t="array" ref="AF131">_xlfn.IFS(AE131=0, "No Discount ", AE131&lt;=0.08,"Low Discount", AE131&lt;=0.16,"Medium Discount", AE131&gt;0.16, "High Discount")</f>
        <v>High Discount</v>
      </c>
      <c r="AG131" s="2">
        <v>153077</v>
      </c>
      <c r="AH131" s="2">
        <v>89.99</v>
      </c>
      <c r="AI131" s="2">
        <v>0.18</v>
      </c>
      <c r="AJ131" s="2" t="str" cm="1">
        <f t="array" ref="AJ131">_xlfn.IFS(AI131&lt;=0, "No Profit", AI131&lt;=0.16,"Low Profit",AI131&lt;=0.32,"Medium Profit",AI131&gt;0.32,"High Profit")</f>
        <v>Medium Profit</v>
      </c>
      <c r="AK131" s="2">
        <v>5</v>
      </c>
      <c r="AL131" s="2">
        <v>449.95</v>
      </c>
      <c r="AM131" s="2">
        <v>337.46</v>
      </c>
      <c r="AN131" s="2">
        <v>59.06</v>
      </c>
      <c r="AO131" s="2" t="s">
        <v>607</v>
      </c>
      <c r="AP131" s="2" t="s">
        <v>820</v>
      </c>
      <c r="AQ131" s="2" t="s">
        <v>155</v>
      </c>
      <c r="AR131" s="2" t="s">
        <v>81</v>
      </c>
      <c r="AS131" s="2">
        <v>251</v>
      </c>
      <c r="AT131" s="2">
        <v>12</v>
      </c>
      <c r="AU131" s="2" t="s">
        <v>821</v>
      </c>
      <c r="AV131" s="2">
        <v>89.99</v>
      </c>
      <c r="AW131" s="2">
        <v>0</v>
      </c>
      <c r="AX131" s="2" t="s">
        <v>822</v>
      </c>
      <c r="AY131" s="2" t="s">
        <v>83</v>
      </c>
      <c r="AZ131" s="4">
        <v>43075</v>
      </c>
      <c r="BA131" s="5">
        <v>0.24652777777777779</v>
      </c>
      <c r="BB131" s="2">
        <v>2017</v>
      </c>
      <c r="BC131" s="2" t="s">
        <v>357</v>
      </c>
      <c r="BD131" s="2">
        <v>6</v>
      </c>
      <c r="BE131" s="4">
        <v>42901</v>
      </c>
      <c r="BF131" s="5">
        <v>0.24652777777777779</v>
      </c>
      <c r="BG131" s="2" t="str" cm="1">
        <f t="array" ref="BG131">_xlfn.IFS(BF131&lt;TIMEVALUE("06:00"),"Night", BF131&gt;=TIMEVALUE("21:00"),"Night",BF131&gt;=TIMEVALUE("17:00"),"Evening",BF131&gt;=TIMEVALUE("12:00"),"Afternoon", BF131&gt;=TIMEVALUE("06:00"),"Morning")</f>
        <v>Night</v>
      </c>
      <c r="BH131" s="2">
        <v>2017</v>
      </c>
      <c r="BI131" s="2" t="s">
        <v>474</v>
      </c>
      <c r="BJ131" s="2">
        <v>15</v>
      </c>
    </row>
    <row r="132" spans="1:62" x14ac:dyDescent="0.3">
      <c r="A132" s="2" t="s">
        <v>86</v>
      </c>
      <c r="B132" s="2">
        <v>2</v>
      </c>
      <c r="C132" s="2">
        <v>4</v>
      </c>
      <c r="D132" s="2">
        <v>140.97999999999999</v>
      </c>
      <c r="E132" s="2">
        <v>299.95</v>
      </c>
      <c r="F132" s="2" t="s">
        <v>63</v>
      </c>
      <c r="G132" s="2" t="s">
        <v>64</v>
      </c>
      <c r="H132" s="2">
        <v>17</v>
      </c>
      <c r="I132" s="2" t="s">
        <v>412</v>
      </c>
      <c r="J132" s="2" t="s">
        <v>66</v>
      </c>
      <c r="K132" s="2" t="s">
        <v>67</v>
      </c>
      <c r="L132" s="2" t="s">
        <v>414</v>
      </c>
      <c r="M132" s="2">
        <v>5421</v>
      </c>
      <c r="N132" s="2" t="s">
        <v>823</v>
      </c>
      <c r="O132" s="2" t="s">
        <v>70</v>
      </c>
      <c r="P132" s="2" t="s">
        <v>71</v>
      </c>
      <c r="Q132" s="2" t="s">
        <v>824</v>
      </c>
      <c r="R132" s="2">
        <v>725</v>
      </c>
      <c r="S132" s="2">
        <v>4</v>
      </c>
      <c r="T132" s="2" t="s">
        <v>417</v>
      </c>
      <c r="U132" s="2">
        <v>18.207376499999999</v>
      </c>
      <c r="V132" s="2">
        <v>-66.370552099999998</v>
      </c>
      <c r="W132" s="2" t="s">
        <v>582</v>
      </c>
      <c r="X132" s="2" t="s">
        <v>825</v>
      </c>
      <c r="Y132" s="2" t="s">
        <v>749</v>
      </c>
      <c r="Z132" s="2">
        <v>5421</v>
      </c>
      <c r="AA132" s="2" t="s">
        <v>826</v>
      </c>
      <c r="AB132" s="2">
        <v>55876</v>
      </c>
      <c r="AC132" s="2">
        <v>365</v>
      </c>
      <c r="AD132" s="2">
        <v>0</v>
      </c>
      <c r="AE132" s="2">
        <v>0</v>
      </c>
      <c r="AF132" s="2" t="str" cm="1">
        <f t="array" ref="AF132">_xlfn.IFS(AE132=0, "No Discount ", AE132&lt;=0.08,"Low Discount", AE132&lt;=0.16,"Medium Discount", AE132&gt;0.16, "High Discount")</f>
        <v xml:space="preserve">No Discount </v>
      </c>
      <c r="AG132" s="2">
        <v>139714</v>
      </c>
      <c r="AH132" s="2">
        <v>59.99</v>
      </c>
      <c r="AI132" s="2">
        <v>0.47</v>
      </c>
      <c r="AJ132" s="2" t="str" cm="1">
        <f t="array" ref="AJ132">_xlfn.IFS(AI132&lt;=0, "No Profit", AI132&lt;=0.16,"Low Profit",AI132&lt;=0.32,"Medium Profit",AI132&gt;0.32,"High Profit")</f>
        <v>High Profit</v>
      </c>
      <c r="AK132" s="2">
        <v>5</v>
      </c>
      <c r="AL132" s="2">
        <v>299.95</v>
      </c>
      <c r="AM132" s="2">
        <v>299.95</v>
      </c>
      <c r="AN132" s="2">
        <v>140.97999999999999</v>
      </c>
      <c r="AO132" s="2" t="s">
        <v>586</v>
      </c>
      <c r="AP132" s="2" t="s">
        <v>825</v>
      </c>
      <c r="AQ132" s="2" t="s">
        <v>155</v>
      </c>
      <c r="AR132" s="2" t="s">
        <v>81</v>
      </c>
      <c r="AS132" s="2">
        <v>365</v>
      </c>
      <c r="AT132" s="2">
        <v>17</v>
      </c>
      <c r="AU132" s="2" t="s">
        <v>421</v>
      </c>
      <c r="AV132" s="2">
        <v>59.99</v>
      </c>
      <c r="AW132" s="2">
        <v>0</v>
      </c>
      <c r="AX132" s="2" t="s">
        <v>827</v>
      </c>
      <c r="AY132" s="2" t="s">
        <v>83</v>
      </c>
      <c r="AZ132" s="4">
        <v>42820</v>
      </c>
      <c r="BA132" s="5">
        <v>0.64583333333333337</v>
      </c>
      <c r="BB132" s="2">
        <v>2017</v>
      </c>
      <c r="BC132" s="2" t="s">
        <v>85</v>
      </c>
      <c r="BD132" s="2">
        <v>26</v>
      </c>
      <c r="BE132" s="4">
        <v>42822</v>
      </c>
      <c r="BF132" s="5">
        <v>0.64583333333333337</v>
      </c>
      <c r="BG132" s="2" t="str" cm="1">
        <f t="array" ref="BG132">_xlfn.IFS(BF132&lt;TIMEVALUE("06:00"),"Night", BF132&gt;=TIMEVALUE("21:00"),"Night",BF132&gt;=TIMEVALUE("17:00"),"Evening",BF132&gt;=TIMEVALUE("12:00"),"Afternoon", BF132&gt;=TIMEVALUE("06:00"),"Morning")</f>
        <v>Afternoon</v>
      </c>
      <c r="BH132" s="2">
        <v>2017</v>
      </c>
      <c r="BI132" s="2" t="s">
        <v>85</v>
      </c>
      <c r="BJ132" s="2">
        <v>28</v>
      </c>
    </row>
    <row r="133" spans="1:62" x14ac:dyDescent="0.3">
      <c r="A133" s="2" t="s">
        <v>86</v>
      </c>
      <c r="B133" s="2">
        <v>2</v>
      </c>
      <c r="C133" s="2">
        <v>4</v>
      </c>
      <c r="D133" s="2">
        <v>81.66</v>
      </c>
      <c r="E133" s="2">
        <v>296.95</v>
      </c>
      <c r="F133" s="2" t="s">
        <v>63</v>
      </c>
      <c r="G133" s="2" t="s">
        <v>64</v>
      </c>
      <c r="H133" s="2">
        <v>17</v>
      </c>
      <c r="I133" s="2" t="s">
        <v>412</v>
      </c>
      <c r="J133" s="2" t="s">
        <v>66</v>
      </c>
      <c r="K133" s="2" t="s">
        <v>67</v>
      </c>
      <c r="L133" s="2" t="s">
        <v>828</v>
      </c>
      <c r="M133" s="2">
        <v>10200</v>
      </c>
      <c r="N133" s="2" t="s">
        <v>425</v>
      </c>
      <c r="O133" s="2" t="s">
        <v>70</v>
      </c>
      <c r="P133" s="2" t="s">
        <v>71</v>
      </c>
      <c r="Q133" s="2" t="s">
        <v>829</v>
      </c>
      <c r="R133" s="2">
        <v>725</v>
      </c>
      <c r="S133" s="2">
        <v>4</v>
      </c>
      <c r="T133" s="2" t="s">
        <v>417</v>
      </c>
      <c r="U133" s="2">
        <v>18.273315400000001</v>
      </c>
      <c r="V133" s="2">
        <v>-66.370605499999996</v>
      </c>
      <c r="W133" s="2" t="s">
        <v>582</v>
      </c>
      <c r="X133" s="2" t="s">
        <v>830</v>
      </c>
      <c r="Y133" s="2" t="s">
        <v>638</v>
      </c>
      <c r="Z133" s="2">
        <v>10200</v>
      </c>
      <c r="AA133" s="2" t="s">
        <v>831</v>
      </c>
      <c r="AB133" s="2">
        <v>53331</v>
      </c>
      <c r="AC133" s="2">
        <v>365</v>
      </c>
      <c r="AD133" s="2">
        <v>3</v>
      </c>
      <c r="AE133" s="2">
        <v>0.01</v>
      </c>
      <c r="AF133" s="2" t="str" cm="1">
        <f t="array" ref="AF133">_xlfn.IFS(AE133=0, "No Discount ", AE133&lt;=0.08,"Low Discount", AE133&lt;=0.16,"Medium Discount", AE133&gt;0.16, "High Discount")</f>
        <v>Low Discount</v>
      </c>
      <c r="AG133" s="2">
        <v>133251</v>
      </c>
      <c r="AH133" s="2">
        <v>59.99</v>
      </c>
      <c r="AI133" s="2">
        <v>0.28000000000000003</v>
      </c>
      <c r="AJ133" s="2" t="str" cm="1">
        <f t="array" ref="AJ133">_xlfn.IFS(AI133&lt;=0, "No Profit", AI133&lt;=0.16,"Low Profit",AI133&lt;=0.32,"Medium Profit",AI133&gt;0.32,"High Profit")</f>
        <v>Medium Profit</v>
      </c>
      <c r="AK133" s="2">
        <v>5</v>
      </c>
      <c r="AL133" s="2">
        <v>299.95</v>
      </c>
      <c r="AM133" s="2">
        <v>296.95</v>
      </c>
      <c r="AN133" s="2">
        <v>81.66</v>
      </c>
      <c r="AO133" s="2" t="s">
        <v>586</v>
      </c>
      <c r="AP133" s="2" t="s">
        <v>640</v>
      </c>
      <c r="AQ133" s="2" t="s">
        <v>155</v>
      </c>
      <c r="AR133" s="2" t="s">
        <v>81</v>
      </c>
      <c r="AS133" s="2">
        <v>365</v>
      </c>
      <c r="AT133" s="2">
        <v>17</v>
      </c>
      <c r="AU133" s="2" t="s">
        <v>421</v>
      </c>
      <c r="AV133" s="2">
        <v>59.99</v>
      </c>
      <c r="AW133" s="2">
        <v>0</v>
      </c>
      <c r="AX133" s="2" t="s">
        <v>832</v>
      </c>
      <c r="AY133" s="2" t="s">
        <v>83</v>
      </c>
      <c r="AZ133" s="4">
        <v>42783</v>
      </c>
      <c r="BA133" s="5">
        <v>0.49444444444444446</v>
      </c>
      <c r="BB133" s="2">
        <v>2017</v>
      </c>
      <c r="BC133" s="2" t="s">
        <v>423</v>
      </c>
      <c r="BD133" s="2">
        <v>17</v>
      </c>
      <c r="BE133" s="4">
        <v>42785</v>
      </c>
      <c r="BF133" s="5">
        <v>0.49444444444444446</v>
      </c>
      <c r="BG133" s="2" t="str" cm="1">
        <f t="array" ref="BG133">_xlfn.IFS(BF133&lt;TIMEVALUE("06:00"),"Night", BF133&gt;=TIMEVALUE("21:00"),"Night",BF133&gt;=TIMEVALUE("17:00"),"Evening",BF133&gt;=TIMEVALUE("12:00"),"Afternoon", BF133&gt;=TIMEVALUE("06:00"),"Morning")</f>
        <v>Morning</v>
      </c>
      <c r="BH133" s="2">
        <v>2017</v>
      </c>
      <c r="BI133" s="2" t="s">
        <v>423</v>
      </c>
      <c r="BJ133" s="2">
        <v>19</v>
      </c>
    </row>
    <row r="134" spans="1:62" x14ac:dyDescent="0.3">
      <c r="A134" s="2" t="s">
        <v>86</v>
      </c>
      <c r="B134" s="2">
        <v>6</v>
      </c>
      <c r="C134" s="2">
        <v>4</v>
      </c>
      <c r="D134" s="2">
        <v>18.41</v>
      </c>
      <c r="E134" s="2">
        <v>296.95</v>
      </c>
      <c r="F134" s="2" t="s">
        <v>87</v>
      </c>
      <c r="G134" s="2" t="s">
        <v>88</v>
      </c>
      <c r="H134" s="2">
        <v>17</v>
      </c>
      <c r="I134" s="2" t="s">
        <v>412</v>
      </c>
      <c r="J134" s="2" t="s">
        <v>66</v>
      </c>
      <c r="K134" s="2" t="s">
        <v>67</v>
      </c>
      <c r="L134" s="2" t="s">
        <v>833</v>
      </c>
      <c r="M134" s="2">
        <v>11254</v>
      </c>
      <c r="N134" s="2" t="s">
        <v>425</v>
      </c>
      <c r="O134" s="2" t="s">
        <v>70</v>
      </c>
      <c r="P134" s="2" t="s">
        <v>71</v>
      </c>
      <c r="Q134" s="2" t="s">
        <v>834</v>
      </c>
      <c r="R134" s="2">
        <v>725</v>
      </c>
      <c r="S134" s="2">
        <v>4</v>
      </c>
      <c r="T134" s="2" t="s">
        <v>417</v>
      </c>
      <c r="U134" s="2">
        <v>18.2626648</v>
      </c>
      <c r="V134" s="2">
        <v>-66.3706131</v>
      </c>
      <c r="W134" s="2" t="s">
        <v>582</v>
      </c>
      <c r="X134" s="2" t="s">
        <v>835</v>
      </c>
      <c r="Y134" s="2" t="s">
        <v>591</v>
      </c>
      <c r="Z134" s="2">
        <v>11254</v>
      </c>
      <c r="AA134" s="2" t="s">
        <v>836</v>
      </c>
      <c r="AB134" s="2">
        <v>51725</v>
      </c>
      <c r="AC134" s="2">
        <v>365</v>
      </c>
      <c r="AD134" s="2">
        <v>3</v>
      </c>
      <c r="AE134" s="2">
        <v>0.01</v>
      </c>
      <c r="AF134" s="2" t="str" cm="1">
        <f t="array" ref="AF134">_xlfn.IFS(AE134=0, "No Discount ", AE134&lt;=0.08,"Low Discount", AE134&lt;=0.16,"Medium Discount", AE134&gt;0.16, "High Discount")</f>
        <v>Low Discount</v>
      </c>
      <c r="AG134" s="2">
        <v>129241</v>
      </c>
      <c r="AH134" s="2">
        <v>59.99</v>
      </c>
      <c r="AI134" s="2">
        <v>0.06</v>
      </c>
      <c r="AJ134" s="2" t="str" cm="1">
        <f t="array" ref="AJ134">_xlfn.IFS(AI134&lt;=0, "No Profit", AI134&lt;=0.16,"Low Profit",AI134&lt;=0.32,"Medium Profit",AI134&gt;0.32,"High Profit")</f>
        <v>Low Profit</v>
      </c>
      <c r="AK134" s="2">
        <v>5</v>
      </c>
      <c r="AL134" s="2">
        <v>299.95</v>
      </c>
      <c r="AM134" s="2">
        <v>296.95</v>
      </c>
      <c r="AN134" s="2">
        <v>18.41</v>
      </c>
      <c r="AO134" s="2" t="s">
        <v>586</v>
      </c>
      <c r="AP134" s="2" t="s">
        <v>592</v>
      </c>
      <c r="AQ134" s="2" t="s">
        <v>155</v>
      </c>
      <c r="AR134" s="2" t="s">
        <v>81</v>
      </c>
      <c r="AS134" s="2">
        <v>365</v>
      </c>
      <c r="AT134" s="2">
        <v>17</v>
      </c>
      <c r="AU134" s="2" t="s">
        <v>421</v>
      </c>
      <c r="AV134" s="2">
        <v>59.99</v>
      </c>
      <c r="AW134" s="2">
        <v>0</v>
      </c>
      <c r="AX134" s="2" t="s">
        <v>837</v>
      </c>
      <c r="AY134" s="2" t="s">
        <v>83</v>
      </c>
      <c r="AZ134" s="4">
        <v>42760</v>
      </c>
      <c r="BA134" s="5">
        <v>5.0694444444444445E-2</v>
      </c>
      <c r="BB134" s="2">
        <v>2017</v>
      </c>
      <c r="BC134" s="2" t="s">
        <v>84</v>
      </c>
      <c r="BD134" s="2">
        <v>25</v>
      </c>
      <c r="BE134" s="4">
        <v>42766</v>
      </c>
      <c r="BF134" s="5">
        <v>5.0694444444444445E-2</v>
      </c>
      <c r="BG134" s="2" t="str" cm="1">
        <f t="array" ref="BG134">_xlfn.IFS(BF134&lt;TIMEVALUE("06:00"),"Night", BF134&gt;=TIMEVALUE("21:00"),"Night",BF134&gt;=TIMEVALUE("17:00"),"Evening",BF134&gt;=TIMEVALUE("12:00"),"Afternoon", BF134&gt;=TIMEVALUE("06:00"),"Morning")</f>
        <v>Night</v>
      </c>
      <c r="BH134" s="2">
        <v>2017</v>
      </c>
      <c r="BI134" s="2" t="s">
        <v>84</v>
      </c>
      <c r="BJ134" s="2">
        <v>31</v>
      </c>
    </row>
    <row r="135" spans="1:62" x14ac:dyDescent="0.3">
      <c r="A135" s="2" t="s">
        <v>86</v>
      </c>
      <c r="B135" s="2">
        <v>3</v>
      </c>
      <c r="C135" s="2">
        <v>4</v>
      </c>
      <c r="D135" s="2">
        <v>33.22</v>
      </c>
      <c r="E135" s="2">
        <v>293.95</v>
      </c>
      <c r="F135" s="2" t="s">
        <v>63</v>
      </c>
      <c r="G135" s="2" t="s">
        <v>64</v>
      </c>
      <c r="H135" s="2">
        <v>17</v>
      </c>
      <c r="I135" s="2" t="s">
        <v>412</v>
      </c>
      <c r="J135" s="2" t="s">
        <v>66</v>
      </c>
      <c r="K135" s="2" t="s">
        <v>67</v>
      </c>
      <c r="L135" s="2" t="s">
        <v>414</v>
      </c>
      <c r="M135" s="2">
        <v>11106</v>
      </c>
      <c r="N135" s="2" t="s">
        <v>838</v>
      </c>
      <c r="O135" s="2" t="s">
        <v>70</v>
      </c>
      <c r="P135" s="2" t="s">
        <v>71</v>
      </c>
      <c r="Q135" s="2" t="s">
        <v>839</v>
      </c>
      <c r="R135" s="2">
        <v>725</v>
      </c>
      <c r="S135" s="2">
        <v>4</v>
      </c>
      <c r="T135" s="2" t="s">
        <v>417</v>
      </c>
      <c r="U135" s="2">
        <v>18.2601643</v>
      </c>
      <c r="V135" s="2">
        <v>-66.370590199999995</v>
      </c>
      <c r="W135" s="2" t="s">
        <v>582</v>
      </c>
      <c r="X135" s="2" t="s">
        <v>840</v>
      </c>
      <c r="Y135" s="2" t="s">
        <v>670</v>
      </c>
      <c r="Z135" s="2">
        <v>11106</v>
      </c>
      <c r="AA135" s="3">
        <v>42888.268750000003</v>
      </c>
      <c r="AB135" s="2">
        <v>52562</v>
      </c>
      <c r="AC135" s="2">
        <v>365</v>
      </c>
      <c r="AD135" s="2">
        <v>6</v>
      </c>
      <c r="AE135" s="2">
        <v>0.02</v>
      </c>
      <c r="AF135" s="2" t="str" cm="1">
        <f t="array" ref="AF135">_xlfn.IFS(AE135=0, "No Discount ", AE135&lt;=0.08,"Low Discount", AE135&lt;=0.16,"Medium Discount", AE135&gt;0.16, "High Discount")</f>
        <v>Low Discount</v>
      </c>
      <c r="AG135" s="2">
        <v>131382</v>
      </c>
      <c r="AH135" s="2">
        <v>59.99</v>
      </c>
      <c r="AI135" s="2">
        <v>0.11</v>
      </c>
      <c r="AJ135" s="2" t="str" cm="1">
        <f t="array" ref="AJ135">_xlfn.IFS(AI135&lt;=0, "No Profit", AI135&lt;=0.16,"Low Profit",AI135&lt;=0.32,"Medium Profit",AI135&gt;0.32,"High Profit")</f>
        <v>Low Profit</v>
      </c>
      <c r="AK135" s="2">
        <v>5</v>
      </c>
      <c r="AL135" s="2">
        <v>299.95</v>
      </c>
      <c r="AM135" s="2">
        <v>293.95</v>
      </c>
      <c r="AN135" s="2">
        <v>33.22</v>
      </c>
      <c r="AO135" s="2" t="s">
        <v>607</v>
      </c>
      <c r="AP135" s="2" t="s">
        <v>841</v>
      </c>
      <c r="AQ135" s="2" t="s">
        <v>155</v>
      </c>
      <c r="AR135" s="2" t="s">
        <v>81</v>
      </c>
      <c r="AS135" s="2">
        <v>365</v>
      </c>
      <c r="AT135" s="2">
        <v>17</v>
      </c>
      <c r="AU135" s="2" t="s">
        <v>421</v>
      </c>
      <c r="AV135" s="2">
        <v>59.99</v>
      </c>
      <c r="AW135" s="2">
        <v>0</v>
      </c>
      <c r="AX135" s="3">
        <v>42980.268750000003</v>
      </c>
      <c r="AY135" s="2" t="s">
        <v>83</v>
      </c>
      <c r="AZ135" s="4">
        <v>42888</v>
      </c>
      <c r="BA135" s="5">
        <v>0.26874999999999999</v>
      </c>
      <c r="BB135" s="2">
        <v>2017</v>
      </c>
      <c r="BC135" s="2" t="s">
        <v>474</v>
      </c>
      <c r="BD135" s="2">
        <v>2</v>
      </c>
      <c r="BE135" s="4">
        <v>42980</v>
      </c>
      <c r="BF135" s="5">
        <v>0.26874999999999999</v>
      </c>
      <c r="BG135" s="2" t="str" cm="1">
        <f t="array" ref="BG135">_xlfn.IFS(BF135&lt;TIMEVALUE("06:00"),"Night", BF135&gt;=TIMEVALUE("21:00"),"Night",BF135&gt;=TIMEVALUE("17:00"),"Evening",BF135&gt;=TIMEVALUE("12:00"),"Afternoon", BF135&gt;=TIMEVALUE("06:00"),"Morning")</f>
        <v>Morning</v>
      </c>
      <c r="BH135" s="2">
        <v>2017</v>
      </c>
      <c r="BI135" s="2" t="s">
        <v>552</v>
      </c>
      <c r="BJ135" s="2">
        <v>2</v>
      </c>
    </row>
    <row r="136" spans="1:62" x14ac:dyDescent="0.3">
      <c r="A136" s="2" t="s">
        <v>86</v>
      </c>
      <c r="B136" s="2">
        <v>5</v>
      </c>
      <c r="C136" s="2">
        <v>4</v>
      </c>
      <c r="D136" s="2">
        <v>25.31</v>
      </c>
      <c r="E136" s="2">
        <v>290.95</v>
      </c>
      <c r="F136" s="2" t="s">
        <v>87</v>
      </c>
      <c r="G136" s="2" t="s">
        <v>88</v>
      </c>
      <c r="H136" s="2">
        <v>17</v>
      </c>
      <c r="I136" s="2" t="s">
        <v>412</v>
      </c>
      <c r="J136" s="2" t="s">
        <v>66</v>
      </c>
      <c r="K136" s="2" t="s">
        <v>67</v>
      </c>
      <c r="L136" s="2" t="s">
        <v>414</v>
      </c>
      <c r="M136" s="2">
        <v>8456</v>
      </c>
      <c r="N136" s="2" t="s">
        <v>425</v>
      </c>
      <c r="O136" s="2" t="s">
        <v>70</v>
      </c>
      <c r="P136" s="2" t="s">
        <v>71</v>
      </c>
      <c r="Q136" s="2" t="s">
        <v>842</v>
      </c>
      <c r="R136" s="2">
        <v>725</v>
      </c>
      <c r="S136" s="2">
        <v>4</v>
      </c>
      <c r="T136" s="2" t="s">
        <v>417</v>
      </c>
      <c r="U136" s="2">
        <v>18.245351800000002</v>
      </c>
      <c r="V136" s="2">
        <v>-66.370597799999999</v>
      </c>
      <c r="W136" s="2" t="s">
        <v>582</v>
      </c>
      <c r="X136" s="2" t="s">
        <v>590</v>
      </c>
      <c r="Y136" s="2" t="s">
        <v>591</v>
      </c>
      <c r="Z136" s="2">
        <v>8456</v>
      </c>
      <c r="AA136" s="2" t="s">
        <v>843</v>
      </c>
      <c r="AB136" s="2">
        <v>59754</v>
      </c>
      <c r="AC136" s="2">
        <v>365</v>
      </c>
      <c r="AD136" s="2">
        <v>9</v>
      </c>
      <c r="AE136" s="2">
        <v>0.03</v>
      </c>
      <c r="AF136" s="2" t="str" cm="1">
        <f t="array" ref="AF136">_xlfn.IFS(AE136=0, "No Discount ", AE136&lt;=0.08,"Low Discount", AE136&lt;=0.16,"Medium Discount", AE136&gt;0.16, "High Discount")</f>
        <v>Low Discount</v>
      </c>
      <c r="AG136" s="2">
        <v>149532</v>
      </c>
      <c r="AH136" s="2">
        <v>59.99</v>
      </c>
      <c r="AI136" s="2">
        <v>0.09</v>
      </c>
      <c r="AJ136" s="2" t="str" cm="1">
        <f t="array" ref="AJ136">_xlfn.IFS(AI136&lt;=0, "No Profit", AI136&lt;=0.16,"Low Profit",AI136&lt;=0.32,"Medium Profit",AI136&gt;0.32,"High Profit")</f>
        <v>Low Profit</v>
      </c>
      <c r="AK136" s="2">
        <v>5</v>
      </c>
      <c r="AL136" s="2">
        <v>299.95</v>
      </c>
      <c r="AM136" s="2">
        <v>290.95</v>
      </c>
      <c r="AN136" s="2">
        <v>25.31</v>
      </c>
      <c r="AO136" s="2" t="s">
        <v>586</v>
      </c>
      <c r="AP136" s="2" t="s">
        <v>592</v>
      </c>
      <c r="AQ136" s="2" t="s">
        <v>155</v>
      </c>
      <c r="AR136" s="2" t="s">
        <v>81</v>
      </c>
      <c r="AS136" s="2">
        <v>365</v>
      </c>
      <c r="AT136" s="2">
        <v>17</v>
      </c>
      <c r="AU136" s="2" t="s">
        <v>421</v>
      </c>
      <c r="AV136" s="2">
        <v>59.99</v>
      </c>
      <c r="AW136" s="2">
        <v>0</v>
      </c>
      <c r="AX136" s="2" t="s">
        <v>844</v>
      </c>
      <c r="AY136" s="2" t="s">
        <v>83</v>
      </c>
      <c r="AZ136" s="4">
        <v>42877</v>
      </c>
      <c r="BA136" s="5">
        <v>0.25555555555555554</v>
      </c>
      <c r="BB136" s="2">
        <v>2017</v>
      </c>
      <c r="BC136" s="2" t="s">
        <v>443</v>
      </c>
      <c r="BD136" s="2">
        <v>22</v>
      </c>
      <c r="BE136" s="4">
        <v>42882</v>
      </c>
      <c r="BF136" s="5">
        <v>0.25555555555555554</v>
      </c>
      <c r="BG136" s="2" t="str" cm="1">
        <f t="array" ref="BG136">_xlfn.IFS(BF136&lt;TIMEVALUE("06:00"),"Night", BF136&gt;=TIMEVALUE("21:00"),"Night",BF136&gt;=TIMEVALUE("17:00"),"Evening",BF136&gt;=TIMEVALUE("12:00"),"Afternoon", BF136&gt;=TIMEVALUE("06:00"),"Morning")</f>
        <v>Morning</v>
      </c>
      <c r="BH136" s="2">
        <v>2017</v>
      </c>
      <c r="BI136" s="2" t="s">
        <v>443</v>
      </c>
      <c r="BJ136" s="2">
        <v>27</v>
      </c>
    </row>
    <row r="137" spans="1:62" x14ac:dyDescent="0.3">
      <c r="A137" s="2" t="s">
        <v>86</v>
      </c>
      <c r="B137" s="2">
        <v>5</v>
      </c>
      <c r="C137" s="2">
        <v>4</v>
      </c>
      <c r="D137" s="2">
        <v>-239.86</v>
      </c>
      <c r="E137" s="2">
        <v>287.95</v>
      </c>
      <c r="F137" s="2" t="s">
        <v>87</v>
      </c>
      <c r="G137" s="2" t="s">
        <v>88</v>
      </c>
      <c r="H137" s="2">
        <v>17</v>
      </c>
      <c r="I137" s="2" t="s">
        <v>412</v>
      </c>
      <c r="J137" s="2" t="s">
        <v>66</v>
      </c>
      <c r="K137" s="2" t="s">
        <v>67</v>
      </c>
      <c r="L137" s="2" t="s">
        <v>845</v>
      </c>
      <c r="M137" s="2">
        <v>6149</v>
      </c>
      <c r="N137" s="2" t="s">
        <v>846</v>
      </c>
      <c r="O137" s="2" t="s">
        <v>70</v>
      </c>
      <c r="P137" s="2" t="s">
        <v>71</v>
      </c>
      <c r="Q137" s="2" t="s">
        <v>847</v>
      </c>
      <c r="R137" s="2">
        <v>725</v>
      </c>
      <c r="S137" s="2">
        <v>4</v>
      </c>
      <c r="T137" s="2" t="s">
        <v>417</v>
      </c>
      <c r="U137" s="2">
        <v>18.217750599999999</v>
      </c>
      <c r="V137" s="2">
        <v>-66.370605499999996</v>
      </c>
      <c r="W137" s="2" t="s">
        <v>582</v>
      </c>
      <c r="X137" s="2" t="s">
        <v>848</v>
      </c>
      <c r="Y137" s="2" t="s">
        <v>627</v>
      </c>
      <c r="Z137" s="2">
        <v>6149</v>
      </c>
      <c r="AA137" s="2" t="s">
        <v>849</v>
      </c>
      <c r="AB137" s="2">
        <v>53574</v>
      </c>
      <c r="AC137" s="2">
        <v>365</v>
      </c>
      <c r="AD137" s="2">
        <v>12</v>
      </c>
      <c r="AE137" s="2">
        <v>0.04</v>
      </c>
      <c r="AF137" s="2" t="str" cm="1">
        <f t="array" ref="AF137">_xlfn.IFS(AE137=0, "No Discount ", AE137&lt;=0.08,"Low Discount", AE137&lt;=0.16,"Medium Discount", AE137&gt;0.16, "High Discount")</f>
        <v>Low Discount</v>
      </c>
      <c r="AG137" s="2">
        <v>133893</v>
      </c>
      <c r="AH137" s="2">
        <v>59.99</v>
      </c>
      <c r="AI137" s="2">
        <v>-0.83</v>
      </c>
      <c r="AJ137" s="2" t="str" cm="1">
        <f t="array" ref="AJ137">_xlfn.IFS(AI137&lt;=0, "No Profit", AI137&lt;=0.16,"Low Profit",AI137&lt;=0.32,"Medium Profit",AI137&gt;0.32,"High Profit")</f>
        <v>No Profit</v>
      </c>
      <c r="AK137" s="2">
        <v>5</v>
      </c>
      <c r="AL137" s="2">
        <v>299.95</v>
      </c>
      <c r="AM137" s="2">
        <v>287.95</v>
      </c>
      <c r="AN137" s="2">
        <v>-239.86</v>
      </c>
      <c r="AO137" s="2" t="s">
        <v>586</v>
      </c>
      <c r="AP137" s="2" t="s">
        <v>850</v>
      </c>
      <c r="AQ137" s="2" t="s">
        <v>155</v>
      </c>
      <c r="AR137" s="2" t="s">
        <v>81</v>
      </c>
      <c r="AS137" s="2">
        <v>365</v>
      </c>
      <c r="AT137" s="2">
        <v>17</v>
      </c>
      <c r="AU137" s="2" t="s">
        <v>421</v>
      </c>
      <c r="AV137" s="2">
        <v>59.99</v>
      </c>
      <c r="AW137" s="2">
        <v>0</v>
      </c>
      <c r="AX137" s="2" t="s">
        <v>851</v>
      </c>
      <c r="AY137" s="2" t="s">
        <v>83</v>
      </c>
      <c r="AZ137" s="4">
        <v>42787</v>
      </c>
      <c r="BA137" s="5">
        <v>4.1666666666666664E-2</v>
      </c>
      <c r="BB137" s="2">
        <v>2017</v>
      </c>
      <c r="BC137" s="2" t="s">
        <v>423</v>
      </c>
      <c r="BD137" s="2">
        <v>21</v>
      </c>
      <c r="BE137" s="4">
        <v>42792</v>
      </c>
      <c r="BF137" s="5">
        <v>4.1666666666666664E-2</v>
      </c>
      <c r="BG137" s="2" t="str" cm="1">
        <f t="array" ref="BG137">_xlfn.IFS(BF137&lt;TIMEVALUE("06:00"),"Night", BF137&gt;=TIMEVALUE("21:00"),"Night",BF137&gt;=TIMEVALUE("17:00"),"Evening",BF137&gt;=TIMEVALUE("12:00"),"Afternoon", BF137&gt;=TIMEVALUE("06:00"),"Morning")</f>
        <v>Night</v>
      </c>
      <c r="BH137" s="2">
        <v>2017</v>
      </c>
      <c r="BI137" s="2" t="s">
        <v>423</v>
      </c>
      <c r="BJ137" s="2">
        <v>26</v>
      </c>
    </row>
    <row r="138" spans="1:62" x14ac:dyDescent="0.3">
      <c r="A138" s="2" t="s">
        <v>86</v>
      </c>
      <c r="B138" s="2">
        <v>5</v>
      </c>
      <c r="C138" s="2">
        <v>4</v>
      </c>
      <c r="D138" s="2">
        <v>-155.9</v>
      </c>
      <c r="E138" s="2">
        <v>283.45</v>
      </c>
      <c r="F138" s="2" t="s">
        <v>87</v>
      </c>
      <c r="G138" s="2" t="s">
        <v>88</v>
      </c>
      <c r="H138" s="2">
        <v>17</v>
      </c>
      <c r="I138" s="2" t="s">
        <v>412</v>
      </c>
      <c r="J138" s="2" t="s">
        <v>66</v>
      </c>
      <c r="K138" s="2" t="s">
        <v>67</v>
      </c>
      <c r="L138" s="2" t="s">
        <v>852</v>
      </c>
      <c r="M138" s="2">
        <v>1473</v>
      </c>
      <c r="N138" s="2" t="s">
        <v>853</v>
      </c>
      <c r="O138" s="2" t="s">
        <v>70</v>
      </c>
      <c r="P138" s="2" t="s">
        <v>71</v>
      </c>
      <c r="Q138" s="2" t="s">
        <v>854</v>
      </c>
      <c r="R138" s="2">
        <v>725</v>
      </c>
      <c r="S138" s="2">
        <v>4</v>
      </c>
      <c r="T138" s="2" t="s">
        <v>417</v>
      </c>
      <c r="U138" s="2">
        <v>18.292148600000001</v>
      </c>
      <c r="V138" s="2">
        <v>-66.3706131</v>
      </c>
      <c r="W138" s="2" t="s">
        <v>582</v>
      </c>
      <c r="X138" s="2" t="s">
        <v>855</v>
      </c>
      <c r="Y138" s="2" t="s">
        <v>638</v>
      </c>
      <c r="Z138" s="2">
        <v>1473</v>
      </c>
      <c r="AA138" s="3">
        <v>42156.80972222222</v>
      </c>
      <c r="AB138" s="2">
        <v>399</v>
      </c>
      <c r="AC138" s="2">
        <v>365</v>
      </c>
      <c r="AD138" s="2">
        <v>16.5</v>
      </c>
      <c r="AE138" s="2">
        <v>0.06</v>
      </c>
      <c r="AF138" s="2" t="str" cm="1">
        <f t="array" ref="AF138">_xlfn.IFS(AE138=0, "No Discount ", AE138&lt;=0.08,"Low Discount", AE138&lt;=0.16,"Medium Discount", AE138&gt;0.16, "High Discount")</f>
        <v>Low Discount</v>
      </c>
      <c r="AG138" s="2">
        <v>989</v>
      </c>
      <c r="AH138" s="2">
        <v>59.99</v>
      </c>
      <c r="AI138" s="2">
        <v>-0.55000000000000004</v>
      </c>
      <c r="AJ138" s="2" t="str" cm="1">
        <f t="array" ref="AJ138">_xlfn.IFS(AI138&lt;=0, "No Profit", AI138&lt;=0.16,"Low Profit",AI138&lt;=0.32,"Medium Profit",AI138&gt;0.32,"High Profit")</f>
        <v>No Profit</v>
      </c>
      <c r="AK138" s="2">
        <v>5</v>
      </c>
      <c r="AL138" s="2">
        <v>299.95</v>
      </c>
      <c r="AM138" s="2">
        <v>283.45</v>
      </c>
      <c r="AN138" s="2">
        <v>-155.9</v>
      </c>
      <c r="AO138" s="2" t="s">
        <v>586</v>
      </c>
      <c r="AP138" s="2" t="s">
        <v>746</v>
      </c>
      <c r="AQ138" s="2" t="s">
        <v>155</v>
      </c>
      <c r="AR138" s="2" t="s">
        <v>81</v>
      </c>
      <c r="AS138" s="2">
        <v>365</v>
      </c>
      <c r="AT138" s="2">
        <v>17</v>
      </c>
      <c r="AU138" s="2" t="s">
        <v>421</v>
      </c>
      <c r="AV138" s="2">
        <v>59.99</v>
      </c>
      <c r="AW138" s="2">
        <v>0</v>
      </c>
      <c r="AX138" s="3">
        <v>42309.80972222222</v>
      </c>
      <c r="AY138" s="2" t="s">
        <v>83</v>
      </c>
      <c r="AZ138" s="4">
        <v>42156</v>
      </c>
      <c r="BA138" s="5">
        <v>0.80972222222222223</v>
      </c>
      <c r="BB138" s="2">
        <v>2015</v>
      </c>
      <c r="BC138" s="2" t="s">
        <v>474</v>
      </c>
      <c r="BD138" s="2">
        <v>1</v>
      </c>
      <c r="BE138" s="4">
        <v>42309</v>
      </c>
      <c r="BF138" s="5">
        <v>0.80972222222222223</v>
      </c>
      <c r="BG138" s="2" t="str" cm="1">
        <f t="array" ref="BG138">_xlfn.IFS(BF138&lt;TIMEVALUE("06:00"),"Night", BF138&gt;=TIMEVALUE("21:00"),"Night",BF138&gt;=TIMEVALUE("17:00"),"Evening",BF138&gt;=TIMEVALUE("12:00"),"Afternoon", BF138&gt;=TIMEVALUE("06:00"),"Morning")</f>
        <v>Evening</v>
      </c>
      <c r="BH138" s="2">
        <v>2015</v>
      </c>
      <c r="BI138" s="2" t="s">
        <v>455</v>
      </c>
      <c r="BJ138" s="2">
        <v>1</v>
      </c>
    </row>
    <row r="139" spans="1:62" x14ac:dyDescent="0.3">
      <c r="A139" s="2" t="s">
        <v>62</v>
      </c>
      <c r="B139" s="2">
        <v>6</v>
      </c>
      <c r="C139" s="2">
        <v>2</v>
      </c>
      <c r="D139" s="2">
        <v>40.020000000000003</v>
      </c>
      <c r="E139" s="2">
        <v>86.99</v>
      </c>
      <c r="F139" s="2" t="s">
        <v>87</v>
      </c>
      <c r="G139" s="2" t="s">
        <v>88</v>
      </c>
      <c r="H139" s="2">
        <v>9</v>
      </c>
      <c r="I139" s="2" t="s">
        <v>496</v>
      </c>
      <c r="J139" s="2" t="s">
        <v>66</v>
      </c>
      <c r="K139" s="2" t="s">
        <v>67</v>
      </c>
      <c r="L139" s="2" t="s">
        <v>856</v>
      </c>
      <c r="M139" s="2">
        <v>1840</v>
      </c>
      <c r="N139" s="2" t="s">
        <v>425</v>
      </c>
      <c r="O139" s="2" t="s">
        <v>70</v>
      </c>
      <c r="P139" s="2" t="s">
        <v>71</v>
      </c>
      <c r="Q139" s="2" t="s">
        <v>857</v>
      </c>
      <c r="R139" s="2">
        <v>725</v>
      </c>
      <c r="S139" s="2">
        <v>3</v>
      </c>
      <c r="T139" s="2" t="s">
        <v>466</v>
      </c>
      <c r="U139" s="2">
        <v>18.267374</v>
      </c>
      <c r="V139" s="2">
        <v>-66.370628400000001</v>
      </c>
      <c r="W139" s="2" t="s">
        <v>500</v>
      </c>
      <c r="X139" s="2" t="s">
        <v>858</v>
      </c>
      <c r="Y139" s="2" t="s">
        <v>859</v>
      </c>
      <c r="Z139" s="2">
        <v>1840</v>
      </c>
      <c r="AA139" s="2" t="s">
        <v>860</v>
      </c>
      <c r="AB139" s="2">
        <v>51050</v>
      </c>
      <c r="AC139" s="2">
        <v>191</v>
      </c>
      <c r="AD139" s="2">
        <v>13</v>
      </c>
      <c r="AE139" s="2">
        <v>0.13</v>
      </c>
      <c r="AF139" s="2" t="str" cm="1">
        <f t="array" ref="AF139">_xlfn.IFS(AE139=0, "No Discount ", AE139&lt;=0.08,"Low Discount", AE139&lt;=0.16,"Medium Discount", AE139&gt;0.16, "High Discount")</f>
        <v>Medium Discount</v>
      </c>
      <c r="AG139" s="2">
        <v>127587</v>
      </c>
      <c r="AH139" s="2">
        <v>99.99</v>
      </c>
      <c r="AI139" s="2">
        <v>0.46</v>
      </c>
      <c r="AJ139" s="2" t="str" cm="1">
        <f t="array" ref="AJ139">_xlfn.IFS(AI139&lt;=0, "No Profit", AI139&lt;=0.16,"Low Profit",AI139&lt;=0.32,"Medium Profit",AI139&gt;0.32,"High Profit")</f>
        <v>High Profit</v>
      </c>
      <c r="AK139" s="2">
        <v>1</v>
      </c>
      <c r="AL139" s="2">
        <v>99.99</v>
      </c>
      <c r="AM139" s="2">
        <v>86.99</v>
      </c>
      <c r="AN139" s="2">
        <v>40.020000000000003</v>
      </c>
      <c r="AO139" s="2" t="s">
        <v>510</v>
      </c>
      <c r="AP139" s="2" t="s">
        <v>861</v>
      </c>
      <c r="AQ139" s="2" t="s">
        <v>308</v>
      </c>
      <c r="AR139" s="2" t="s">
        <v>81</v>
      </c>
      <c r="AS139" s="2">
        <v>191</v>
      </c>
      <c r="AT139" s="2">
        <v>9</v>
      </c>
      <c r="AU139" s="2" t="s">
        <v>505</v>
      </c>
      <c r="AV139" s="2">
        <v>99.99</v>
      </c>
      <c r="AW139" s="2">
        <v>0</v>
      </c>
      <c r="AX139" s="2" t="s">
        <v>862</v>
      </c>
      <c r="AY139" s="2" t="s">
        <v>162</v>
      </c>
      <c r="AZ139" s="4">
        <v>42750</v>
      </c>
      <c r="BA139" s="5">
        <v>0.19722222222222222</v>
      </c>
      <c r="BB139" s="2">
        <v>2017</v>
      </c>
      <c r="BC139" s="2" t="s">
        <v>84</v>
      </c>
      <c r="BD139" s="2">
        <v>15</v>
      </c>
      <c r="BE139" s="4">
        <v>42756</v>
      </c>
      <c r="BF139" s="5">
        <v>0.19722222222222222</v>
      </c>
      <c r="BG139" s="2" t="str" cm="1">
        <f t="array" ref="BG139">_xlfn.IFS(BF139&lt;TIMEVALUE("06:00"),"Night", BF139&gt;=TIMEVALUE("21:00"),"Night",BF139&gt;=TIMEVALUE("17:00"),"Evening",BF139&gt;=TIMEVALUE("12:00"),"Afternoon", BF139&gt;=TIMEVALUE("06:00"),"Morning")</f>
        <v>Night</v>
      </c>
      <c r="BH139" s="2">
        <v>2017</v>
      </c>
      <c r="BI139" s="2" t="s">
        <v>84</v>
      </c>
      <c r="BJ139" s="2">
        <v>21</v>
      </c>
    </row>
    <row r="140" spans="1:62" x14ac:dyDescent="0.3">
      <c r="A140" s="2" t="s">
        <v>62</v>
      </c>
      <c r="B140" s="2">
        <v>6</v>
      </c>
      <c r="C140" s="2">
        <v>2</v>
      </c>
      <c r="D140" s="2">
        <v>44.59</v>
      </c>
      <c r="E140" s="2">
        <v>127.39</v>
      </c>
      <c r="F140" s="2" t="s">
        <v>87</v>
      </c>
      <c r="G140" s="2" t="s">
        <v>88</v>
      </c>
      <c r="H140" s="2">
        <v>18</v>
      </c>
      <c r="I140" s="2" t="s">
        <v>863</v>
      </c>
      <c r="J140" s="2" t="s">
        <v>66</v>
      </c>
      <c r="K140" s="2" t="s">
        <v>67</v>
      </c>
      <c r="L140" s="2" t="s">
        <v>414</v>
      </c>
      <c r="M140" s="2">
        <v>6757</v>
      </c>
      <c r="N140" s="2" t="s">
        <v>864</v>
      </c>
      <c r="O140" s="2" t="s">
        <v>70</v>
      </c>
      <c r="P140" s="2" t="s">
        <v>71</v>
      </c>
      <c r="Q140" s="2" t="s">
        <v>865</v>
      </c>
      <c r="R140" s="2">
        <v>725</v>
      </c>
      <c r="S140" s="2">
        <v>4</v>
      </c>
      <c r="T140" s="2" t="s">
        <v>417</v>
      </c>
      <c r="U140" s="2">
        <v>18.296594599999999</v>
      </c>
      <c r="V140" s="2">
        <v>-66.370590199999995</v>
      </c>
      <c r="W140" s="2" t="s">
        <v>500</v>
      </c>
      <c r="X140" s="2" t="s">
        <v>866</v>
      </c>
      <c r="Y140" s="2" t="s">
        <v>867</v>
      </c>
      <c r="Z140" s="2">
        <v>6757</v>
      </c>
      <c r="AA140" s="2" t="s">
        <v>868</v>
      </c>
      <c r="AB140" s="2">
        <v>45680</v>
      </c>
      <c r="AC140" s="2">
        <v>403</v>
      </c>
      <c r="AD140" s="2">
        <v>2.6</v>
      </c>
      <c r="AE140" s="2">
        <v>0.02</v>
      </c>
      <c r="AF140" s="2" t="str" cm="1">
        <f t="array" ref="AF140">_xlfn.IFS(AE140=0, "No Discount ", AE140&lt;=0.08,"Low Discount", AE140&lt;=0.16,"Medium Discount", AE140&gt;0.16, "High Discount")</f>
        <v>Low Discount</v>
      </c>
      <c r="AG140" s="2">
        <v>114171</v>
      </c>
      <c r="AH140" s="2">
        <v>129.99</v>
      </c>
      <c r="AI140" s="2">
        <v>0.35</v>
      </c>
      <c r="AJ140" s="2" t="str" cm="1">
        <f t="array" ref="AJ140">_xlfn.IFS(AI140&lt;=0, "No Profit", AI140&lt;=0.16,"Low Profit",AI140&lt;=0.32,"Medium Profit",AI140&gt;0.32,"High Profit")</f>
        <v>High Profit</v>
      </c>
      <c r="AK140" s="2">
        <v>1</v>
      </c>
      <c r="AL140" s="2">
        <v>129.99</v>
      </c>
      <c r="AM140" s="2">
        <v>127.39</v>
      </c>
      <c r="AN140" s="2">
        <v>44.59</v>
      </c>
      <c r="AO140" s="2" t="s">
        <v>523</v>
      </c>
      <c r="AP140" s="2" t="s">
        <v>866</v>
      </c>
      <c r="AQ140" s="2" t="s">
        <v>308</v>
      </c>
      <c r="AR140" s="2" t="s">
        <v>81</v>
      </c>
      <c r="AS140" s="2">
        <v>403</v>
      </c>
      <c r="AT140" s="2">
        <v>18</v>
      </c>
      <c r="AU140" s="2" t="s">
        <v>869</v>
      </c>
      <c r="AV140" s="2">
        <v>129.99</v>
      </c>
      <c r="AW140" s="2">
        <v>0</v>
      </c>
      <c r="AX140" s="3">
        <v>42440.807638888888</v>
      </c>
      <c r="AY140" s="2" t="s">
        <v>162</v>
      </c>
      <c r="AZ140" s="4">
        <v>42671</v>
      </c>
      <c r="BA140" s="5">
        <v>0.80763888888888891</v>
      </c>
      <c r="BB140" s="2">
        <v>2016</v>
      </c>
      <c r="BC140" s="2" t="s">
        <v>434</v>
      </c>
      <c r="BD140" s="2">
        <v>28</v>
      </c>
      <c r="BE140" s="4">
        <v>42440</v>
      </c>
      <c r="BF140" s="5">
        <v>0.80763888888888891</v>
      </c>
      <c r="BG140" s="2" t="str" cm="1">
        <f t="array" ref="BG140">_xlfn.IFS(BF140&lt;TIMEVALUE("06:00"),"Night", BF140&gt;=TIMEVALUE("21:00"),"Night",BF140&gt;=TIMEVALUE("17:00"),"Evening",BF140&gt;=TIMEVALUE("12:00"),"Afternoon", BF140&gt;=TIMEVALUE("06:00"),"Morning")</f>
        <v>Evening</v>
      </c>
      <c r="BH140" s="2">
        <v>2016</v>
      </c>
      <c r="BI140" s="2" t="s">
        <v>85</v>
      </c>
      <c r="BJ140" s="2">
        <v>11</v>
      </c>
    </row>
    <row r="141" spans="1:62" x14ac:dyDescent="0.3">
      <c r="A141" s="2" t="s">
        <v>62</v>
      </c>
      <c r="B141" s="2">
        <v>3</v>
      </c>
      <c r="C141" s="2">
        <v>2</v>
      </c>
      <c r="D141" s="2">
        <v>57.96</v>
      </c>
      <c r="E141" s="2">
        <v>118.29</v>
      </c>
      <c r="F141" s="2" t="s">
        <v>87</v>
      </c>
      <c r="G141" s="2" t="s">
        <v>88</v>
      </c>
      <c r="H141" s="2">
        <v>18</v>
      </c>
      <c r="I141" s="2" t="s">
        <v>863</v>
      </c>
      <c r="J141" s="2" t="s">
        <v>66</v>
      </c>
      <c r="K141" s="2" t="s">
        <v>67</v>
      </c>
      <c r="L141" s="2" t="s">
        <v>870</v>
      </c>
      <c r="M141" s="2">
        <v>3972</v>
      </c>
      <c r="N141" s="2" t="s">
        <v>871</v>
      </c>
      <c r="O141" s="2" t="s">
        <v>70</v>
      </c>
      <c r="P141" s="2" t="s">
        <v>71</v>
      </c>
      <c r="Q141" s="2" t="s">
        <v>872</v>
      </c>
      <c r="R141" s="2">
        <v>725</v>
      </c>
      <c r="S141" s="2">
        <v>4</v>
      </c>
      <c r="T141" s="2" t="s">
        <v>417</v>
      </c>
      <c r="U141" s="2">
        <v>18.2746849</v>
      </c>
      <c r="V141" s="2">
        <v>-66.370567300000005</v>
      </c>
      <c r="W141" s="2" t="s">
        <v>500</v>
      </c>
      <c r="X141" s="2" t="s">
        <v>873</v>
      </c>
      <c r="Y141" s="2" t="s">
        <v>874</v>
      </c>
      <c r="Z141" s="2">
        <v>3972</v>
      </c>
      <c r="AA141" s="2" t="s">
        <v>875</v>
      </c>
      <c r="AB141" s="2">
        <v>42992</v>
      </c>
      <c r="AC141" s="2">
        <v>403</v>
      </c>
      <c r="AD141" s="2">
        <v>11.7</v>
      </c>
      <c r="AE141" s="2">
        <v>0.09</v>
      </c>
      <c r="AF141" s="2" t="str" cm="1">
        <f t="array" ref="AF141">_xlfn.IFS(AE141=0, "No Discount ", AE141&lt;=0.08,"Low Discount", AE141&lt;=0.16,"Medium Discount", AE141&gt;0.16, "High Discount")</f>
        <v>Medium Discount</v>
      </c>
      <c r="AG141" s="2">
        <v>107395</v>
      </c>
      <c r="AH141" s="2">
        <v>129.99</v>
      </c>
      <c r="AI141" s="2">
        <v>0.49</v>
      </c>
      <c r="AJ141" s="2" t="str" cm="1">
        <f t="array" ref="AJ141">_xlfn.IFS(AI141&lt;=0, "No Profit", AI141&lt;=0.16,"Low Profit",AI141&lt;=0.32,"Medium Profit",AI141&gt;0.32,"High Profit")</f>
        <v>High Profit</v>
      </c>
      <c r="AK141" s="2">
        <v>1</v>
      </c>
      <c r="AL141" s="2">
        <v>129.99</v>
      </c>
      <c r="AM141" s="2">
        <v>118.29</v>
      </c>
      <c r="AN141" s="2">
        <v>57.96</v>
      </c>
      <c r="AO141" s="2" t="s">
        <v>876</v>
      </c>
      <c r="AP141" s="2" t="s">
        <v>877</v>
      </c>
      <c r="AQ141" s="2" t="s">
        <v>308</v>
      </c>
      <c r="AR141" s="2" t="s">
        <v>81</v>
      </c>
      <c r="AS141" s="2">
        <v>403</v>
      </c>
      <c r="AT141" s="2">
        <v>18</v>
      </c>
      <c r="AU141" s="2" t="s">
        <v>869</v>
      </c>
      <c r="AV141" s="2">
        <v>129.99</v>
      </c>
      <c r="AW141" s="2">
        <v>0</v>
      </c>
      <c r="AX141" s="2" t="s">
        <v>878</v>
      </c>
      <c r="AY141" s="2" t="s">
        <v>162</v>
      </c>
      <c r="AZ141" s="4">
        <v>42632</v>
      </c>
      <c r="BA141" s="5">
        <v>0.56874999999999998</v>
      </c>
      <c r="BB141" s="2">
        <v>2016</v>
      </c>
      <c r="BC141" s="2" t="s">
        <v>552</v>
      </c>
      <c r="BD141" s="2">
        <v>19</v>
      </c>
      <c r="BE141" s="4">
        <v>42635</v>
      </c>
      <c r="BF141" s="5">
        <v>0.56874999999999998</v>
      </c>
      <c r="BG141" s="2" t="str" cm="1">
        <f t="array" ref="BG141">_xlfn.IFS(BF141&lt;TIMEVALUE("06:00"),"Night", BF141&gt;=TIMEVALUE("21:00"),"Night",BF141&gt;=TIMEVALUE("17:00"),"Evening",BF141&gt;=TIMEVALUE("12:00"),"Afternoon", BF141&gt;=TIMEVALUE("06:00"),"Morning")</f>
        <v>Afternoon</v>
      </c>
      <c r="BH141" s="2">
        <v>2016</v>
      </c>
      <c r="BI141" s="2" t="s">
        <v>552</v>
      </c>
      <c r="BJ141" s="2">
        <v>22</v>
      </c>
    </row>
    <row r="142" spans="1:62" x14ac:dyDescent="0.3">
      <c r="A142" s="2" t="s">
        <v>62</v>
      </c>
      <c r="B142" s="2">
        <v>5</v>
      </c>
      <c r="C142" s="2">
        <v>2</v>
      </c>
      <c r="D142" s="2">
        <v>30.42</v>
      </c>
      <c r="E142" s="2">
        <v>116.99</v>
      </c>
      <c r="F142" s="2" t="s">
        <v>87</v>
      </c>
      <c r="G142" s="2" t="s">
        <v>88</v>
      </c>
      <c r="H142" s="2">
        <v>18</v>
      </c>
      <c r="I142" s="2" t="s">
        <v>863</v>
      </c>
      <c r="J142" s="2" t="s">
        <v>66</v>
      </c>
      <c r="K142" s="2" t="s">
        <v>67</v>
      </c>
      <c r="L142" s="2" t="s">
        <v>587</v>
      </c>
      <c r="M142" s="2">
        <v>9316</v>
      </c>
      <c r="N142" s="2" t="s">
        <v>879</v>
      </c>
      <c r="O142" s="2" t="s">
        <v>70</v>
      </c>
      <c r="P142" s="2" t="s">
        <v>71</v>
      </c>
      <c r="Q142" s="2" t="s">
        <v>880</v>
      </c>
      <c r="R142" s="2">
        <v>725</v>
      </c>
      <c r="S142" s="2">
        <v>4</v>
      </c>
      <c r="T142" s="2" t="s">
        <v>417</v>
      </c>
      <c r="U142" s="2">
        <v>18.2194462</v>
      </c>
      <c r="V142" s="2">
        <v>-66.370575000000002</v>
      </c>
      <c r="W142" s="2" t="s">
        <v>500</v>
      </c>
      <c r="X142" s="2" t="s">
        <v>881</v>
      </c>
      <c r="Y142" s="2" t="s">
        <v>522</v>
      </c>
      <c r="Z142" s="2">
        <v>9316</v>
      </c>
      <c r="AA142" s="2" t="s">
        <v>882</v>
      </c>
      <c r="AB142" s="2">
        <v>41304</v>
      </c>
      <c r="AC142" s="2">
        <v>403</v>
      </c>
      <c r="AD142" s="2">
        <v>13</v>
      </c>
      <c r="AE142" s="2">
        <v>0.1</v>
      </c>
      <c r="AF142" s="2" t="str" cm="1">
        <f t="array" ref="AF142">_xlfn.IFS(AE142=0, "No Discount ", AE142&lt;=0.08,"Low Discount", AE142&lt;=0.16,"Medium Discount", AE142&gt;0.16, "High Discount")</f>
        <v>Medium Discount</v>
      </c>
      <c r="AG142" s="2">
        <v>103114</v>
      </c>
      <c r="AH142" s="2">
        <v>129.99</v>
      </c>
      <c r="AI142" s="2">
        <v>0.26</v>
      </c>
      <c r="AJ142" s="2" t="str" cm="1">
        <f t="array" ref="AJ142">_xlfn.IFS(AI142&lt;=0, "No Profit", AI142&lt;=0.16,"Low Profit",AI142&lt;=0.32,"Medium Profit",AI142&gt;0.32,"High Profit")</f>
        <v>Medium Profit</v>
      </c>
      <c r="AK142" s="2">
        <v>1</v>
      </c>
      <c r="AL142" s="2">
        <v>129.99</v>
      </c>
      <c r="AM142" s="2">
        <v>116.99</v>
      </c>
      <c r="AN142" s="2">
        <v>30.42</v>
      </c>
      <c r="AO142" s="2" t="s">
        <v>523</v>
      </c>
      <c r="AP142" s="2" t="s">
        <v>883</v>
      </c>
      <c r="AQ142" s="2" t="s">
        <v>308</v>
      </c>
      <c r="AR142" s="2" t="s">
        <v>81</v>
      </c>
      <c r="AS142" s="2">
        <v>403</v>
      </c>
      <c r="AT142" s="2">
        <v>18</v>
      </c>
      <c r="AU142" s="2" t="s">
        <v>869</v>
      </c>
      <c r="AV142" s="2">
        <v>129.99</v>
      </c>
      <c r="AW142" s="2">
        <v>0</v>
      </c>
      <c r="AX142" s="2" t="s">
        <v>884</v>
      </c>
      <c r="AY142" s="2" t="s">
        <v>162</v>
      </c>
      <c r="AZ142" s="4">
        <v>42607</v>
      </c>
      <c r="BA142" s="5">
        <v>0.92777777777777781</v>
      </c>
      <c r="BB142" s="2">
        <v>2016</v>
      </c>
      <c r="BC142" s="2" t="s">
        <v>482</v>
      </c>
      <c r="BD142" s="2">
        <v>25</v>
      </c>
      <c r="BE142" s="4">
        <v>42612</v>
      </c>
      <c r="BF142" s="5">
        <v>0.92777777777777781</v>
      </c>
      <c r="BG142" s="2" t="str" cm="1">
        <f t="array" ref="BG142">_xlfn.IFS(BF142&lt;TIMEVALUE("06:00"),"Night", BF142&gt;=TIMEVALUE("21:00"),"Night",BF142&gt;=TIMEVALUE("17:00"),"Evening",BF142&gt;=TIMEVALUE("12:00"),"Afternoon", BF142&gt;=TIMEVALUE("06:00"),"Morning")</f>
        <v>Night</v>
      </c>
      <c r="BH142" s="2">
        <v>2016</v>
      </c>
      <c r="BI142" s="2" t="s">
        <v>482</v>
      </c>
      <c r="BJ142" s="2">
        <v>30</v>
      </c>
    </row>
    <row r="143" spans="1:62" x14ac:dyDescent="0.3">
      <c r="A143" s="2" t="s">
        <v>62</v>
      </c>
      <c r="B143" s="2">
        <v>6</v>
      </c>
      <c r="C143" s="2">
        <v>2</v>
      </c>
      <c r="D143" s="2">
        <v>24.6</v>
      </c>
      <c r="E143" s="2">
        <v>49.19</v>
      </c>
      <c r="F143" s="2" t="s">
        <v>87</v>
      </c>
      <c r="G143" s="2" t="s">
        <v>88</v>
      </c>
      <c r="H143" s="2">
        <v>17</v>
      </c>
      <c r="I143" s="2" t="s">
        <v>412</v>
      </c>
      <c r="J143" s="2" t="s">
        <v>66</v>
      </c>
      <c r="K143" s="2" t="s">
        <v>67</v>
      </c>
      <c r="L143" s="2" t="s">
        <v>414</v>
      </c>
      <c r="M143" s="2">
        <v>6757</v>
      </c>
      <c r="N143" s="2" t="s">
        <v>864</v>
      </c>
      <c r="O143" s="2" t="s">
        <v>70</v>
      </c>
      <c r="P143" s="2" t="s">
        <v>71</v>
      </c>
      <c r="Q143" s="2" t="s">
        <v>865</v>
      </c>
      <c r="R143" s="2">
        <v>725</v>
      </c>
      <c r="S143" s="2">
        <v>4</v>
      </c>
      <c r="T143" s="2" t="s">
        <v>417</v>
      </c>
      <c r="U143" s="2">
        <v>18.296594599999999</v>
      </c>
      <c r="V143" s="2">
        <v>-66.370590199999995</v>
      </c>
      <c r="W143" s="2" t="s">
        <v>500</v>
      </c>
      <c r="X143" s="2" t="s">
        <v>866</v>
      </c>
      <c r="Y143" s="2" t="s">
        <v>867</v>
      </c>
      <c r="Z143" s="2">
        <v>6757</v>
      </c>
      <c r="AA143" s="2" t="s">
        <v>868</v>
      </c>
      <c r="AB143" s="2">
        <v>45680</v>
      </c>
      <c r="AC143" s="2">
        <v>365</v>
      </c>
      <c r="AD143" s="2">
        <v>10.8</v>
      </c>
      <c r="AE143" s="2">
        <v>0.18</v>
      </c>
      <c r="AF143" s="2" t="str" cm="1">
        <f t="array" ref="AF143">_xlfn.IFS(AE143=0, "No Discount ", AE143&lt;=0.08,"Low Discount", AE143&lt;=0.16,"Medium Discount", AE143&gt;0.16, "High Discount")</f>
        <v>High Discount</v>
      </c>
      <c r="AG143" s="2">
        <v>114173</v>
      </c>
      <c r="AH143" s="2">
        <v>59.99</v>
      </c>
      <c r="AI143" s="2">
        <v>0.5</v>
      </c>
      <c r="AJ143" s="2" t="str" cm="1">
        <f t="array" ref="AJ143">_xlfn.IFS(AI143&lt;=0, "No Profit", AI143&lt;=0.16,"Low Profit",AI143&lt;=0.32,"Medium Profit",AI143&gt;0.32,"High Profit")</f>
        <v>High Profit</v>
      </c>
      <c r="AK143" s="2">
        <v>1</v>
      </c>
      <c r="AL143" s="2">
        <v>59.99</v>
      </c>
      <c r="AM143" s="2">
        <v>49.19</v>
      </c>
      <c r="AN143" s="2">
        <v>24.6</v>
      </c>
      <c r="AO143" s="2" t="s">
        <v>523</v>
      </c>
      <c r="AP143" s="2" t="s">
        <v>866</v>
      </c>
      <c r="AQ143" s="2" t="s">
        <v>308</v>
      </c>
      <c r="AR143" s="2" t="s">
        <v>81</v>
      </c>
      <c r="AS143" s="2">
        <v>365</v>
      </c>
      <c r="AT143" s="2">
        <v>17</v>
      </c>
      <c r="AU143" s="2" t="s">
        <v>421</v>
      </c>
      <c r="AV143" s="2">
        <v>59.99</v>
      </c>
      <c r="AW143" s="2">
        <v>0</v>
      </c>
      <c r="AX143" s="3">
        <v>42440.807638888888</v>
      </c>
      <c r="AY143" s="2" t="s">
        <v>162</v>
      </c>
      <c r="AZ143" s="4">
        <v>42671</v>
      </c>
      <c r="BA143" s="5">
        <v>0.80763888888888891</v>
      </c>
      <c r="BB143" s="2">
        <v>2016</v>
      </c>
      <c r="BC143" s="2" t="s">
        <v>434</v>
      </c>
      <c r="BD143" s="2">
        <v>28</v>
      </c>
      <c r="BE143" s="4">
        <v>42440</v>
      </c>
      <c r="BF143" s="5">
        <v>0.80763888888888891</v>
      </c>
      <c r="BG143" s="2" t="str" cm="1">
        <f t="array" ref="BG143">_xlfn.IFS(BF143&lt;TIMEVALUE("06:00"),"Night", BF143&gt;=TIMEVALUE("21:00"),"Night",BF143&gt;=TIMEVALUE("17:00"),"Evening",BF143&gt;=TIMEVALUE("12:00"),"Afternoon", BF143&gt;=TIMEVALUE("06:00"),"Morning")</f>
        <v>Evening</v>
      </c>
      <c r="BH143" s="2">
        <v>2016</v>
      </c>
      <c r="BI143" s="2" t="s">
        <v>85</v>
      </c>
      <c r="BJ143" s="2">
        <v>11</v>
      </c>
    </row>
    <row r="144" spans="1:62" x14ac:dyDescent="0.3">
      <c r="A144" s="2" t="s">
        <v>62</v>
      </c>
      <c r="B144" s="2">
        <v>4</v>
      </c>
      <c r="C144" s="2">
        <v>2</v>
      </c>
      <c r="D144" s="2">
        <v>48.88</v>
      </c>
      <c r="E144" s="2">
        <v>103.99</v>
      </c>
      <c r="F144" s="2" t="s">
        <v>87</v>
      </c>
      <c r="G144" s="2" t="s">
        <v>88</v>
      </c>
      <c r="H144" s="2">
        <v>18</v>
      </c>
      <c r="I144" s="2" t="s">
        <v>863</v>
      </c>
      <c r="J144" s="2" t="s">
        <v>66</v>
      </c>
      <c r="K144" s="2" t="s">
        <v>67</v>
      </c>
      <c r="L144" s="2" t="s">
        <v>414</v>
      </c>
      <c r="M144" s="2">
        <v>11213</v>
      </c>
      <c r="N144" s="2" t="s">
        <v>885</v>
      </c>
      <c r="O144" s="2" t="s">
        <v>70</v>
      </c>
      <c r="P144" s="2" t="s">
        <v>71</v>
      </c>
      <c r="Q144" s="2" t="s">
        <v>886</v>
      </c>
      <c r="R144" s="2">
        <v>725</v>
      </c>
      <c r="S144" s="2">
        <v>4</v>
      </c>
      <c r="T144" s="2" t="s">
        <v>417</v>
      </c>
      <c r="U144" s="2">
        <v>18.239755599999999</v>
      </c>
      <c r="V144" s="2">
        <v>-66.370590199999995</v>
      </c>
      <c r="W144" s="2" t="s">
        <v>500</v>
      </c>
      <c r="X144" s="2" t="s">
        <v>887</v>
      </c>
      <c r="Y144" s="2" t="s">
        <v>888</v>
      </c>
      <c r="Z144" s="2">
        <v>11213</v>
      </c>
      <c r="AA144" s="3">
        <v>42561.976388888892</v>
      </c>
      <c r="AB144" s="2">
        <v>44253</v>
      </c>
      <c r="AC144" s="2">
        <v>403</v>
      </c>
      <c r="AD144" s="2">
        <v>26</v>
      </c>
      <c r="AE144" s="2">
        <v>0.2</v>
      </c>
      <c r="AF144" s="2" t="str" cm="1">
        <f t="array" ref="AF144">_xlfn.IFS(AE144=0, "No Discount ", AE144&lt;=0.08,"Low Discount", AE144&lt;=0.16,"Medium Discount", AE144&gt;0.16, "High Discount")</f>
        <v>High Discount</v>
      </c>
      <c r="AG144" s="2">
        <v>110494</v>
      </c>
      <c r="AH144" s="2">
        <v>129.99</v>
      </c>
      <c r="AI144" s="2">
        <v>0.47</v>
      </c>
      <c r="AJ144" s="2" t="str" cm="1">
        <f t="array" ref="AJ144">_xlfn.IFS(AI144&lt;=0, "No Profit", AI144&lt;=0.16,"Low Profit",AI144&lt;=0.32,"Medium Profit",AI144&gt;0.32,"High Profit")</f>
        <v>High Profit</v>
      </c>
      <c r="AK144" s="2">
        <v>1</v>
      </c>
      <c r="AL144" s="2">
        <v>129.99</v>
      </c>
      <c r="AM144" s="2">
        <v>103.99</v>
      </c>
      <c r="AN144" s="2">
        <v>48.88</v>
      </c>
      <c r="AO144" s="2" t="s">
        <v>503</v>
      </c>
      <c r="AP144" s="2" t="s">
        <v>889</v>
      </c>
      <c r="AQ144" s="2" t="s">
        <v>308</v>
      </c>
      <c r="AR144" s="2" t="s">
        <v>81</v>
      </c>
      <c r="AS144" s="2">
        <v>403</v>
      </c>
      <c r="AT144" s="2">
        <v>18</v>
      </c>
      <c r="AU144" s="2" t="s">
        <v>869</v>
      </c>
      <c r="AV144" s="2">
        <v>129.99</v>
      </c>
      <c r="AW144" s="2">
        <v>0</v>
      </c>
      <c r="AX144" s="3">
        <v>42684.976388888892</v>
      </c>
      <c r="AY144" s="2" t="s">
        <v>162</v>
      </c>
      <c r="AZ144" s="4">
        <v>42561</v>
      </c>
      <c r="BA144" s="5">
        <v>0.97638888888888886</v>
      </c>
      <c r="BB144" s="2">
        <v>2016</v>
      </c>
      <c r="BC144" s="2" t="s">
        <v>533</v>
      </c>
      <c r="BD144" s="2">
        <v>10</v>
      </c>
      <c r="BE144" s="4">
        <v>42684</v>
      </c>
      <c r="BF144" s="5">
        <v>0.97638888888888886</v>
      </c>
      <c r="BG144" s="2" t="str" cm="1">
        <f t="array" ref="BG144">_xlfn.IFS(BF144&lt;TIMEVALUE("06:00"),"Night", BF144&gt;=TIMEVALUE("21:00"),"Night",BF144&gt;=TIMEVALUE("17:00"),"Evening",BF144&gt;=TIMEVALUE("12:00"),"Afternoon", BF144&gt;=TIMEVALUE("06:00"),"Morning")</f>
        <v>Night</v>
      </c>
      <c r="BH144" s="2">
        <v>2016</v>
      </c>
      <c r="BI144" s="2" t="s">
        <v>455</v>
      </c>
      <c r="BJ144" s="2">
        <v>10</v>
      </c>
    </row>
    <row r="145" spans="1:62" x14ac:dyDescent="0.3">
      <c r="A145" s="2" t="s">
        <v>62</v>
      </c>
      <c r="B145" s="2">
        <v>4</v>
      </c>
      <c r="C145" s="2">
        <v>2</v>
      </c>
      <c r="D145" s="2">
        <v>0</v>
      </c>
      <c r="E145" s="2">
        <v>296.98</v>
      </c>
      <c r="F145" s="2" t="s">
        <v>87</v>
      </c>
      <c r="G145" s="2" t="s">
        <v>88</v>
      </c>
      <c r="H145" s="2">
        <v>43</v>
      </c>
      <c r="I145" s="2" t="s">
        <v>890</v>
      </c>
      <c r="J145" s="2" t="s">
        <v>66</v>
      </c>
      <c r="K145" s="2" t="s">
        <v>67</v>
      </c>
      <c r="L145" s="2" t="s">
        <v>891</v>
      </c>
      <c r="M145" s="2">
        <v>3474</v>
      </c>
      <c r="N145" s="2" t="s">
        <v>892</v>
      </c>
      <c r="O145" s="2" t="s">
        <v>70</v>
      </c>
      <c r="P145" s="2" t="s">
        <v>71</v>
      </c>
      <c r="Q145" s="2" t="s">
        <v>893</v>
      </c>
      <c r="R145" s="2">
        <v>725</v>
      </c>
      <c r="S145" s="2">
        <v>7</v>
      </c>
      <c r="T145" s="2" t="s">
        <v>772</v>
      </c>
      <c r="U145" s="2">
        <v>18.264326100000002</v>
      </c>
      <c r="V145" s="2">
        <v>-66.370605499999996</v>
      </c>
      <c r="W145" s="2" t="s">
        <v>500</v>
      </c>
      <c r="X145" s="2" t="s">
        <v>894</v>
      </c>
      <c r="Y145" s="2" t="s">
        <v>895</v>
      </c>
      <c r="Z145" s="2">
        <v>3474</v>
      </c>
      <c r="AA145" s="3">
        <v>42440.90902777778</v>
      </c>
      <c r="AB145" s="2">
        <v>46098</v>
      </c>
      <c r="AC145" s="2">
        <v>957</v>
      </c>
      <c r="AD145" s="2">
        <v>3</v>
      </c>
      <c r="AE145" s="2">
        <v>0.01</v>
      </c>
      <c r="AF145" s="2" t="str" cm="1">
        <f t="array" ref="AF145">_xlfn.IFS(AE145=0, "No Discount ", AE145&lt;=0.08,"Low Discount", AE145&lt;=0.16,"Medium Discount", AE145&gt;0.16, "High Discount")</f>
        <v>Low Discount</v>
      </c>
      <c r="AG145" s="2">
        <v>115235</v>
      </c>
      <c r="AH145" s="2">
        <v>299.98</v>
      </c>
      <c r="AI145" s="2">
        <v>0</v>
      </c>
      <c r="AJ145" s="2" t="str" cm="1">
        <f t="array" ref="AJ145">_xlfn.IFS(AI145&lt;=0, "No Profit", AI145&lt;=0.16,"Low Profit",AI145&lt;=0.32,"Medium Profit",AI145&gt;0.32,"High Profit")</f>
        <v>No Profit</v>
      </c>
      <c r="AK145" s="2">
        <v>1</v>
      </c>
      <c r="AL145" s="2">
        <v>299.98</v>
      </c>
      <c r="AM145" s="2">
        <v>296.98</v>
      </c>
      <c r="AN145" s="2">
        <v>0</v>
      </c>
      <c r="AO145" s="2" t="s">
        <v>523</v>
      </c>
      <c r="AP145" s="2" t="s">
        <v>896</v>
      </c>
      <c r="AQ145" s="2" t="s">
        <v>308</v>
      </c>
      <c r="AR145" s="2" t="s">
        <v>81</v>
      </c>
      <c r="AS145" s="2">
        <v>957</v>
      </c>
      <c r="AT145" s="2">
        <v>43</v>
      </c>
      <c r="AU145" s="2" t="s">
        <v>897</v>
      </c>
      <c r="AV145" s="2">
        <v>299.98</v>
      </c>
      <c r="AW145" s="2">
        <v>0</v>
      </c>
      <c r="AX145" s="3">
        <v>42562.90902777778</v>
      </c>
      <c r="AY145" s="2" t="s">
        <v>162</v>
      </c>
      <c r="AZ145" s="4">
        <v>42440</v>
      </c>
      <c r="BA145" s="5">
        <v>0.90902777777777777</v>
      </c>
      <c r="BB145" s="2">
        <v>2016</v>
      </c>
      <c r="BC145" s="2" t="s">
        <v>85</v>
      </c>
      <c r="BD145" s="2">
        <v>11</v>
      </c>
      <c r="BE145" s="4">
        <v>42562</v>
      </c>
      <c r="BF145" s="5">
        <v>0.90902777777777777</v>
      </c>
      <c r="BG145" s="2" t="str" cm="1">
        <f t="array" ref="BG145">_xlfn.IFS(BF145&lt;TIMEVALUE("06:00"),"Night", BF145&gt;=TIMEVALUE("21:00"),"Night",BF145&gt;=TIMEVALUE("17:00"),"Evening",BF145&gt;=TIMEVALUE("12:00"),"Afternoon", BF145&gt;=TIMEVALUE("06:00"),"Morning")</f>
        <v>Night</v>
      </c>
      <c r="BH145" s="2">
        <v>2016</v>
      </c>
      <c r="BI145" s="2" t="s">
        <v>533</v>
      </c>
      <c r="BJ145" s="2">
        <v>11</v>
      </c>
    </row>
    <row r="146" spans="1:62" x14ac:dyDescent="0.3">
      <c r="A146" s="2" t="s">
        <v>62</v>
      </c>
      <c r="B146" s="2">
        <v>5</v>
      </c>
      <c r="C146" s="2">
        <v>2</v>
      </c>
      <c r="D146" s="2">
        <v>95.54</v>
      </c>
      <c r="E146" s="2">
        <v>293.98</v>
      </c>
      <c r="F146" s="2" t="s">
        <v>87</v>
      </c>
      <c r="G146" s="2" t="s">
        <v>88</v>
      </c>
      <c r="H146" s="2">
        <v>43</v>
      </c>
      <c r="I146" s="2" t="s">
        <v>890</v>
      </c>
      <c r="J146" s="2" t="s">
        <v>66</v>
      </c>
      <c r="K146" s="2" t="s">
        <v>67</v>
      </c>
      <c r="L146" s="2" t="s">
        <v>587</v>
      </c>
      <c r="M146" s="2">
        <v>9316</v>
      </c>
      <c r="N146" s="2" t="s">
        <v>879</v>
      </c>
      <c r="O146" s="2" t="s">
        <v>70</v>
      </c>
      <c r="P146" s="2" t="s">
        <v>71</v>
      </c>
      <c r="Q146" s="2" t="s">
        <v>880</v>
      </c>
      <c r="R146" s="2">
        <v>725</v>
      </c>
      <c r="S146" s="2">
        <v>7</v>
      </c>
      <c r="T146" s="2" t="s">
        <v>772</v>
      </c>
      <c r="U146" s="2">
        <v>18.2194462</v>
      </c>
      <c r="V146" s="2">
        <v>-66.370575000000002</v>
      </c>
      <c r="W146" s="2" t="s">
        <v>500</v>
      </c>
      <c r="X146" s="2" t="s">
        <v>881</v>
      </c>
      <c r="Y146" s="2" t="s">
        <v>522</v>
      </c>
      <c r="Z146" s="2">
        <v>9316</v>
      </c>
      <c r="AA146" s="2" t="s">
        <v>882</v>
      </c>
      <c r="AB146" s="2">
        <v>41304</v>
      </c>
      <c r="AC146" s="2">
        <v>957</v>
      </c>
      <c r="AD146" s="2">
        <v>6</v>
      </c>
      <c r="AE146" s="2">
        <v>0.02</v>
      </c>
      <c r="AF146" s="2" t="str" cm="1">
        <f t="array" ref="AF146">_xlfn.IFS(AE146=0, "No Discount ", AE146&lt;=0.08,"Low Discount", AE146&lt;=0.16,"Medium Discount", AE146&gt;0.16, "High Discount")</f>
        <v>Low Discount</v>
      </c>
      <c r="AG146" s="2">
        <v>103115</v>
      </c>
      <c r="AH146" s="2">
        <v>299.98</v>
      </c>
      <c r="AI146" s="2">
        <v>0.33</v>
      </c>
      <c r="AJ146" s="2" t="str" cm="1">
        <f t="array" ref="AJ146">_xlfn.IFS(AI146&lt;=0, "No Profit", AI146&lt;=0.16,"Low Profit",AI146&lt;=0.32,"Medium Profit",AI146&gt;0.32,"High Profit")</f>
        <v>High Profit</v>
      </c>
      <c r="AK146" s="2">
        <v>1</v>
      </c>
      <c r="AL146" s="2">
        <v>299.98</v>
      </c>
      <c r="AM146" s="2">
        <v>293.98</v>
      </c>
      <c r="AN146" s="2">
        <v>95.54</v>
      </c>
      <c r="AO146" s="2" t="s">
        <v>523</v>
      </c>
      <c r="AP146" s="2" t="s">
        <v>883</v>
      </c>
      <c r="AQ146" s="2" t="s">
        <v>308</v>
      </c>
      <c r="AR146" s="2" t="s">
        <v>81</v>
      </c>
      <c r="AS146" s="2">
        <v>957</v>
      </c>
      <c r="AT146" s="2">
        <v>43</v>
      </c>
      <c r="AU146" s="2" t="s">
        <v>897</v>
      </c>
      <c r="AV146" s="2">
        <v>299.98</v>
      </c>
      <c r="AW146" s="2">
        <v>0</v>
      </c>
      <c r="AX146" s="2" t="s">
        <v>884</v>
      </c>
      <c r="AY146" s="2" t="s">
        <v>162</v>
      </c>
      <c r="AZ146" s="4">
        <v>42607</v>
      </c>
      <c r="BA146" s="5">
        <v>0.92777777777777781</v>
      </c>
      <c r="BB146" s="2">
        <v>2016</v>
      </c>
      <c r="BC146" s="2" t="s">
        <v>482</v>
      </c>
      <c r="BD146" s="2">
        <v>25</v>
      </c>
      <c r="BE146" s="4">
        <v>42612</v>
      </c>
      <c r="BF146" s="5">
        <v>0.92777777777777781</v>
      </c>
      <c r="BG146" s="2" t="str" cm="1">
        <f t="array" ref="BG146">_xlfn.IFS(BF146&lt;TIMEVALUE("06:00"),"Night", BF146&gt;=TIMEVALUE("21:00"),"Night",BF146&gt;=TIMEVALUE("17:00"),"Evening",BF146&gt;=TIMEVALUE("12:00"),"Afternoon", BF146&gt;=TIMEVALUE("06:00"),"Morning")</f>
        <v>Night</v>
      </c>
      <c r="BH146" s="2">
        <v>2016</v>
      </c>
      <c r="BI146" s="2" t="s">
        <v>482</v>
      </c>
      <c r="BJ146" s="2">
        <v>30</v>
      </c>
    </row>
    <row r="147" spans="1:62" x14ac:dyDescent="0.3">
      <c r="A147" s="2" t="s">
        <v>62</v>
      </c>
      <c r="B147" s="2">
        <v>3</v>
      </c>
      <c r="C147" s="2">
        <v>2</v>
      </c>
      <c r="D147" s="2">
        <v>-50.58</v>
      </c>
      <c r="E147" s="2">
        <v>252.88</v>
      </c>
      <c r="F147" s="2" t="s">
        <v>87</v>
      </c>
      <c r="G147" s="2" t="s">
        <v>88</v>
      </c>
      <c r="H147" s="2">
        <v>65</v>
      </c>
      <c r="I147" s="2" t="s">
        <v>898</v>
      </c>
      <c r="J147" s="2" t="s">
        <v>66</v>
      </c>
      <c r="K147" s="2" t="s">
        <v>67</v>
      </c>
      <c r="L147" s="2" t="s">
        <v>899</v>
      </c>
      <c r="M147" s="2">
        <v>14630</v>
      </c>
      <c r="N147" s="2" t="s">
        <v>900</v>
      </c>
      <c r="O147" s="2" t="s">
        <v>70</v>
      </c>
      <c r="P147" s="2" t="s">
        <v>71</v>
      </c>
      <c r="Q147" s="2" t="s">
        <v>901</v>
      </c>
      <c r="R147" s="2">
        <v>725</v>
      </c>
      <c r="S147" s="2">
        <v>10</v>
      </c>
      <c r="T147" s="2" t="s">
        <v>902</v>
      </c>
      <c r="U147" s="2">
        <v>18.270855000000001</v>
      </c>
      <c r="V147" s="2">
        <v>-66.037056000000007</v>
      </c>
      <c r="W147" s="2" t="s">
        <v>528</v>
      </c>
      <c r="X147" s="2" t="s">
        <v>903</v>
      </c>
      <c r="Y147" s="2" t="s">
        <v>904</v>
      </c>
      <c r="Z147" s="2">
        <v>14630</v>
      </c>
      <c r="AA147" s="3">
        <v>42805.545138888891</v>
      </c>
      <c r="AB147" s="2">
        <v>71077</v>
      </c>
      <c r="AC147" s="2">
        <v>1352</v>
      </c>
      <c r="AD147" s="2">
        <v>0</v>
      </c>
      <c r="AE147" s="2">
        <v>0</v>
      </c>
      <c r="AF147" s="2" t="str" cm="1">
        <f t="array" ref="AF147">_xlfn.IFS(AE147=0, "No Discount ", AE147&lt;=0.08,"Low Discount", AE147&lt;=0.16,"Medium Discount", AE147&gt;0.16, "High Discount")</f>
        <v xml:space="preserve">No Discount </v>
      </c>
      <c r="AG147" s="2">
        <v>174392</v>
      </c>
      <c r="AH147" s="2">
        <v>252.88</v>
      </c>
      <c r="AI147" s="2">
        <v>-0.2</v>
      </c>
      <c r="AJ147" s="2" t="str" cm="1">
        <f t="array" ref="AJ147">_xlfn.IFS(AI147&lt;=0, "No Profit", AI147&lt;=0.16,"Low Profit",AI147&lt;=0.32,"Medium Profit",AI147&gt;0.32,"High Profit")</f>
        <v>No Profit</v>
      </c>
      <c r="AK147" s="2">
        <v>1</v>
      </c>
      <c r="AL147" s="2">
        <v>252.88</v>
      </c>
      <c r="AM147" s="2">
        <v>252.88</v>
      </c>
      <c r="AN147" s="2">
        <v>-50.58</v>
      </c>
      <c r="AO147" s="2" t="s">
        <v>905</v>
      </c>
      <c r="AP147" s="2" t="s">
        <v>906</v>
      </c>
      <c r="AQ147" s="2" t="s">
        <v>80</v>
      </c>
      <c r="AR147" s="2" t="s">
        <v>81</v>
      </c>
      <c r="AS147" s="2">
        <v>1352</v>
      </c>
      <c r="AT147" s="2">
        <v>65</v>
      </c>
      <c r="AU147" s="2" t="s">
        <v>907</v>
      </c>
      <c r="AV147" s="2">
        <v>252.88</v>
      </c>
      <c r="AW147" s="2">
        <v>0</v>
      </c>
      <c r="AX147" s="3">
        <v>42897.545138888891</v>
      </c>
      <c r="AY147" s="2" t="s">
        <v>162</v>
      </c>
      <c r="AZ147" s="4">
        <v>42805</v>
      </c>
      <c r="BA147" s="5">
        <v>0.54513888888888884</v>
      </c>
      <c r="BB147" s="2">
        <v>2017</v>
      </c>
      <c r="BC147" s="2" t="s">
        <v>85</v>
      </c>
      <c r="BD147" s="2">
        <v>11</v>
      </c>
      <c r="BE147" s="4">
        <v>42897</v>
      </c>
      <c r="BF147" s="5">
        <v>0.54513888888888884</v>
      </c>
      <c r="BG147" s="2" t="str" cm="1">
        <f t="array" ref="BG147">_xlfn.IFS(BF147&lt;TIMEVALUE("06:00"),"Night", BF147&gt;=TIMEVALUE("21:00"),"Night",BF147&gt;=TIMEVALUE("17:00"),"Evening",BF147&gt;=TIMEVALUE("12:00"),"Afternoon", BF147&gt;=TIMEVALUE("06:00"),"Morning")</f>
        <v>Afternoon</v>
      </c>
      <c r="BH147" s="2">
        <v>2017</v>
      </c>
      <c r="BI147" s="2" t="s">
        <v>474</v>
      </c>
      <c r="BJ147" s="2">
        <v>11</v>
      </c>
    </row>
    <row r="148" spans="1:62" x14ac:dyDescent="0.3">
      <c r="A148" s="2" t="s">
        <v>62</v>
      </c>
      <c r="B148" s="2">
        <v>4</v>
      </c>
      <c r="C148" s="2">
        <v>2</v>
      </c>
      <c r="D148" s="2">
        <v>120.83</v>
      </c>
      <c r="E148" s="2">
        <v>447.52</v>
      </c>
      <c r="F148" s="2" t="s">
        <v>87</v>
      </c>
      <c r="G148" s="2" t="s">
        <v>88</v>
      </c>
      <c r="H148" s="2">
        <v>62</v>
      </c>
      <c r="I148" s="2" t="s">
        <v>908</v>
      </c>
      <c r="J148" s="2" t="s">
        <v>66</v>
      </c>
      <c r="K148" s="2" t="s">
        <v>67</v>
      </c>
      <c r="L148" s="2" t="s">
        <v>909</v>
      </c>
      <c r="M148" s="2">
        <v>13256</v>
      </c>
      <c r="N148" s="2" t="s">
        <v>910</v>
      </c>
      <c r="O148" s="2" t="s">
        <v>70</v>
      </c>
      <c r="P148" s="2" t="s">
        <v>71</v>
      </c>
      <c r="Q148" s="2" t="s">
        <v>911</v>
      </c>
      <c r="R148" s="2">
        <v>725</v>
      </c>
      <c r="S148" s="2">
        <v>10</v>
      </c>
      <c r="T148" s="2" t="s">
        <v>902</v>
      </c>
      <c r="U148" s="2">
        <v>18.236652400000001</v>
      </c>
      <c r="V148" s="2">
        <v>-66.037063599999996</v>
      </c>
      <c r="W148" s="2" t="s">
        <v>528</v>
      </c>
      <c r="X148" s="2" t="s">
        <v>912</v>
      </c>
      <c r="Y148" s="2" t="s">
        <v>530</v>
      </c>
      <c r="Z148" s="2">
        <v>13256</v>
      </c>
      <c r="AA148" s="2" t="s">
        <v>913</v>
      </c>
      <c r="AB148" s="2">
        <v>69703</v>
      </c>
      <c r="AC148" s="2">
        <v>1349</v>
      </c>
      <c r="AD148" s="2">
        <v>4.5199999999999996</v>
      </c>
      <c r="AE148" s="2">
        <v>0.01</v>
      </c>
      <c r="AF148" s="2" t="str" cm="1">
        <f t="array" ref="AF148">_xlfn.IFS(AE148=0, "No Discount ", AE148&lt;=0.08,"Low Discount", AE148&lt;=0.16,"Medium Discount", AE148&gt;0.16, "High Discount")</f>
        <v>Low Discount</v>
      </c>
      <c r="AG148" s="2">
        <v>173018</v>
      </c>
      <c r="AH148" s="2">
        <v>452.04</v>
      </c>
      <c r="AI148" s="2">
        <v>0.27</v>
      </c>
      <c r="AJ148" s="2" t="str" cm="1">
        <f t="array" ref="AJ148">_xlfn.IFS(AI148&lt;=0, "No Profit", AI148&lt;=0.16,"Low Profit",AI148&lt;=0.32,"Medium Profit",AI148&gt;0.32,"High Profit")</f>
        <v>Medium Profit</v>
      </c>
      <c r="AK148" s="2">
        <v>1</v>
      </c>
      <c r="AL148" s="2">
        <v>452.04</v>
      </c>
      <c r="AM148" s="2">
        <v>447.52</v>
      </c>
      <c r="AN148" s="2">
        <v>120.83</v>
      </c>
      <c r="AO148" s="2" t="s">
        <v>531</v>
      </c>
      <c r="AP148" s="2" t="s">
        <v>914</v>
      </c>
      <c r="AQ148" s="2" t="s">
        <v>80</v>
      </c>
      <c r="AR148" s="2" t="s">
        <v>81</v>
      </c>
      <c r="AS148" s="2">
        <v>1349</v>
      </c>
      <c r="AT148" s="2">
        <v>62</v>
      </c>
      <c r="AU148" s="2" t="s">
        <v>915</v>
      </c>
      <c r="AV148" s="2">
        <v>452.04</v>
      </c>
      <c r="AW148" s="2">
        <v>0</v>
      </c>
      <c r="AX148" s="2" t="s">
        <v>916</v>
      </c>
      <c r="AY148" s="2" t="s">
        <v>162</v>
      </c>
      <c r="AZ148" s="4">
        <v>43022</v>
      </c>
      <c r="BA148" s="5">
        <v>0.48749999999999999</v>
      </c>
      <c r="BB148" s="2">
        <v>2017</v>
      </c>
      <c r="BC148" s="2" t="s">
        <v>434</v>
      </c>
      <c r="BD148" s="2">
        <v>14</v>
      </c>
      <c r="BE148" s="4">
        <v>43026</v>
      </c>
      <c r="BF148" s="5">
        <v>0.48749999999999999</v>
      </c>
      <c r="BG148" s="2" t="str" cm="1">
        <f t="array" ref="BG148">_xlfn.IFS(BF148&lt;TIMEVALUE("06:00"),"Night", BF148&gt;=TIMEVALUE("21:00"),"Night",BF148&gt;=TIMEVALUE("17:00"),"Evening",BF148&gt;=TIMEVALUE("12:00"),"Afternoon", BF148&gt;=TIMEVALUE("06:00"),"Morning")</f>
        <v>Morning</v>
      </c>
      <c r="BH148" s="2">
        <v>2017</v>
      </c>
      <c r="BI148" s="2" t="s">
        <v>434</v>
      </c>
      <c r="BJ148" s="2">
        <v>18</v>
      </c>
    </row>
    <row r="149" spans="1:62" x14ac:dyDescent="0.3">
      <c r="A149" s="2" t="s">
        <v>62</v>
      </c>
      <c r="B149" s="2">
        <v>3</v>
      </c>
      <c r="C149" s="2">
        <v>2</v>
      </c>
      <c r="D149" s="2">
        <v>25.04</v>
      </c>
      <c r="E149" s="2">
        <v>250.35</v>
      </c>
      <c r="F149" s="2" t="s">
        <v>87</v>
      </c>
      <c r="G149" s="2" t="s">
        <v>88</v>
      </c>
      <c r="H149" s="2">
        <v>65</v>
      </c>
      <c r="I149" s="2" t="s">
        <v>898</v>
      </c>
      <c r="J149" s="2" t="s">
        <v>66</v>
      </c>
      <c r="K149" s="2" t="s">
        <v>67</v>
      </c>
      <c r="L149" s="2" t="s">
        <v>917</v>
      </c>
      <c r="M149" s="2">
        <v>14665</v>
      </c>
      <c r="N149" s="2" t="s">
        <v>791</v>
      </c>
      <c r="O149" s="2" t="s">
        <v>70</v>
      </c>
      <c r="P149" s="2" t="s">
        <v>71</v>
      </c>
      <c r="Q149" s="2" t="s">
        <v>918</v>
      </c>
      <c r="R149" s="2">
        <v>725</v>
      </c>
      <c r="S149" s="2">
        <v>10</v>
      </c>
      <c r="T149" s="2" t="s">
        <v>902</v>
      </c>
      <c r="U149" s="2">
        <v>18.282060600000001</v>
      </c>
      <c r="V149" s="2">
        <v>-66.037056000000007</v>
      </c>
      <c r="W149" s="2" t="s">
        <v>528</v>
      </c>
      <c r="X149" s="2" t="s">
        <v>919</v>
      </c>
      <c r="Y149" s="2" t="s">
        <v>536</v>
      </c>
      <c r="Z149" s="2">
        <v>14665</v>
      </c>
      <c r="AA149" s="3">
        <v>42836.056250000001</v>
      </c>
      <c r="AB149" s="2">
        <v>71112</v>
      </c>
      <c r="AC149" s="2">
        <v>1352</v>
      </c>
      <c r="AD149" s="2">
        <v>2.5299999999999998</v>
      </c>
      <c r="AE149" s="2">
        <v>0.01</v>
      </c>
      <c r="AF149" s="2" t="str" cm="1">
        <f t="array" ref="AF149">_xlfn.IFS(AE149=0, "No Discount ", AE149&lt;=0.08,"Low Discount", AE149&lt;=0.16,"Medium Discount", AE149&gt;0.16, "High Discount")</f>
        <v>Low Discount</v>
      </c>
      <c r="AG149" s="2">
        <v>174427</v>
      </c>
      <c r="AH149" s="2">
        <v>252.88</v>
      </c>
      <c r="AI149" s="2">
        <v>0.1</v>
      </c>
      <c r="AJ149" s="2" t="str" cm="1">
        <f t="array" ref="AJ149">_xlfn.IFS(AI149&lt;=0, "No Profit", AI149&lt;=0.16,"Low Profit",AI149&lt;=0.32,"Medium Profit",AI149&gt;0.32,"High Profit")</f>
        <v>Low Profit</v>
      </c>
      <c r="AK149" s="2">
        <v>1</v>
      </c>
      <c r="AL149" s="2">
        <v>252.88</v>
      </c>
      <c r="AM149" s="2">
        <v>250.35</v>
      </c>
      <c r="AN149" s="2">
        <v>25.04</v>
      </c>
      <c r="AO149" s="2" t="s">
        <v>531</v>
      </c>
      <c r="AP149" s="2" t="s">
        <v>568</v>
      </c>
      <c r="AQ149" s="2" t="s">
        <v>80</v>
      </c>
      <c r="AR149" s="2" t="s">
        <v>81</v>
      </c>
      <c r="AS149" s="2">
        <v>1352</v>
      </c>
      <c r="AT149" s="2">
        <v>65</v>
      </c>
      <c r="AU149" s="2" t="s">
        <v>907</v>
      </c>
      <c r="AV149" s="2">
        <v>252.88</v>
      </c>
      <c r="AW149" s="2">
        <v>0</v>
      </c>
      <c r="AX149" s="3">
        <v>42927.056250000001</v>
      </c>
      <c r="AY149" s="2" t="s">
        <v>162</v>
      </c>
      <c r="AZ149" s="4">
        <v>42836</v>
      </c>
      <c r="BA149" s="5">
        <v>5.6250000000000001E-2</v>
      </c>
      <c r="BB149" s="2">
        <v>2017</v>
      </c>
      <c r="BC149" s="2" t="s">
        <v>487</v>
      </c>
      <c r="BD149" s="2">
        <v>11</v>
      </c>
      <c r="BE149" s="4">
        <v>42927</v>
      </c>
      <c r="BF149" s="5">
        <v>5.6250000000000001E-2</v>
      </c>
      <c r="BG149" s="2" t="str" cm="1">
        <f t="array" ref="BG149">_xlfn.IFS(BF149&lt;TIMEVALUE("06:00"),"Night", BF149&gt;=TIMEVALUE("21:00"),"Night",BF149&gt;=TIMEVALUE("17:00"),"Evening",BF149&gt;=TIMEVALUE("12:00"),"Afternoon", BF149&gt;=TIMEVALUE("06:00"),"Morning")</f>
        <v>Night</v>
      </c>
      <c r="BH149" s="2">
        <v>2017</v>
      </c>
      <c r="BI149" s="2" t="s">
        <v>533</v>
      </c>
      <c r="BJ149" s="2">
        <v>11</v>
      </c>
    </row>
    <row r="150" spans="1:62" x14ac:dyDescent="0.3">
      <c r="A150" s="2" t="s">
        <v>62</v>
      </c>
      <c r="B150" s="2">
        <v>6</v>
      </c>
      <c r="C150" s="2">
        <v>2</v>
      </c>
      <c r="D150" s="2">
        <v>212.64</v>
      </c>
      <c r="E150" s="2">
        <v>443</v>
      </c>
      <c r="F150" s="2" t="s">
        <v>87</v>
      </c>
      <c r="G150" s="2" t="s">
        <v>88</v>
      </c>
      <c r="H150" s="2">
        <v>62</v>
      </c>
      <c r="I150" s="2" t="s">
        <v>908</v>
      </c>
      <c r="J150" s="2" t="s">
        <v>66</v>
      </c>
      <c r="K150" s="2" t="s">
        <v>67</v>
      </c>
      <c r="L150" s="2" t="s">
        <v>920</v>
      </c>
      <c r="M150" s="2">
        <v>13363</v>
      </c>
      <c r="N150" s="2" t="s">
        <v>921</v>
      </c>
      <c r="O150" s="2" t="s">
        <v>70</v>
      </c>
      <c r="P150" s="2" t="s">
        <v>71</v>
      </c>
      <c r="Q150" s="2" t="s">
        <v>922</v>
      </c>
      <c r="R150" s="2">
        <v>725</v>
      </c>
      <c r="S150" s="2">
        <v>10</v>
      </c>
      <c r="T150" s="2" t="s">
        <v>902</v>
      </c>
      <c r="U150" s="2">
        <v>18.215242400000001</v>
      </c>
      <c r="V150" s="2">
        <v>-66.037056000000007</v>
      </c>
      <c r="W150" s="2" t="s">
        <v>528</v>
      </c>
      <c r="X150" s="2" t="s">
        <v>923</v>
      </c>
      <c r="Y150" s="2" t="s">
        <v>530</v>
      </c>
      <c r="Z150" s="2">
        <v>13363</v>
      </c>
      <c r="AA150" s="2" t="s">
        <v>924</v>
      </c>
      <c r="AB150" s="2">
        <v>69810</v>
      </c>
      <c r="AC150" s="2">
        <v>1349</v>
      </c>
      <c r="AD150" s="2">
        <v>9.0399999999999991</v>
      </c>
      <c r="AE150" s="2">
        <v>0.02</v>
      </c>
      <c r="AF150" s="2" t="str" cm="1">
        <f t="array" ref="AF150">_xlfn.IFS(AE150=0, "No Discount ", AE150&lt;=0.08,"Low Discount", AE150&lt;=0.16,"Medium Discount", AE150&gt;0.16, "High Discount")</f>
        <v>Low Discount</v>
      </c>
      <c r="AG150" s="2">
        <v>173125</v>
      </c>
      <c r="AH150" s="2">
        <v>452.04</v>
      </c>
      <c r="AI150" s="2">
        <v>0.48</v>
      </c>
      <c r="AJ150" s="2" t="str" cm="1">
        <f t="array" ref="AJ150">_xlfn.IFS(AI150&lt;=0, "No Profit", AI150&lt;=0.16,"Low Profit",AI150&lt;=0.32,"Medium Profit",AI150&gt;0.32,"High Profit")</f>
        <v>High Profit</v>
      </c>
      <c r="AK150" s="2">
        <v>1</v>
      </c>
      <c r="AL150" s="2">
        <v>452.04</v>
      </c>
      <c r="AM150" s="2">
        <v>443</v>
      </c>
      <c r="AN150" s="2">
        <v>212.64</v>
      </c>
      <c r="AO150" s="2" t="s">
        <v>531</v>
      </c>
      <c r="AP150" s="2" t="s">
        <v>925</v>
      </c>
      <c r="AQ150" s="2" t="s">
        <v>80</v>
      </c>
      <c r="AR150" s="2" t="s">
        <v>81</v>
      </c>
      <c r="AS150" s="2">
        <v>1349</v>
      </c>
      <c r="AT150" s="2">
        <v>62</v>
      </c>
      <c r="AU150" s="2" t="s">
        <v>915</v>
      </c>
      <c r="AV150" s="2">
        <v>452.04</v>
      </c>
      <c r="AW150" s="2">
        <v>0</v>
      </c>
      <c r="AX150" s="2" t="s">
        <v>926</v>
      </c>
      <c r="AY150" s="2" t="s">
        <v>162</v>
      </c>
      <c r="AZ150" s="4">
        <v>43024</v>
      </c>
      <c r="BA150" s="5">
        <v>0.05</v>
      </c>
      <c r="BB150" s="2">
        <v>2017</v>
      </c>
      <c r="BC150" s="2" t="s">
        <v>434</v>
      </c>
      <c r="BD150" s="2">
        <v>16</v>
      </c>
      <c r="BE150" s="4">
        <v>43030</v>
      </c>
      <c r="BF150" s="5">
        <v>0.05</v>
      </c>
      <c r="BG150" s="2" t="str" cm="1">
        <f t="array" ref="BG150">_xlfn.IFS(BF150&lt;TIMEVALUE("06:00"),"Night", BF150&gt;=TIMEVALUE("21:00"),"Night",BF150&gt;=TIMEVALUE("17:00"),"Evening",BF150&gt;=TIMEVALUE("12:00"),"Afternoon", BF150&gt;=TIMEVALUE("06:00"),"Morning")</f>
        <v>Night</v>
      </c>
      <c r="BH150" s="2">
        <v>2017</v>
      </c>
      <c r="BI150" s="2" t="s">
        <v>434</v>
      </c>
      <c r="BJ150" s="2">
        <v>22</v>
      </c>
    </row>
    <row r="151" spans="1:62" x14ac:dyDescent="0.3">
      <c r="A151" s="2" t="s">
        <v>62</v>
      </c>
      <c r="B151" s="2">
        <v>3</v>
      </c>
      <c r="C151" s="2">
        <v>2</v>
      </c>
      <c r="D151" s="2">
        <v>68.680000000000007</v>
      </c>
      <c r="E151" s="2">
        <v>245.29</v>
      </c>
      <c r="F151" s="2" t="s">
        <v>87</v>
      </c>
      <c r="G151" s="2" t="s">
        <v>88</v>
      </c>
      <c r="H151" s="2">
        <v>65</v>
      </c>
      <c r="I151" s="2" t="s">
        <v>898</v>
      </c>
      <c r="J151" s="2" t="s">
        <v>66</v>
      </c>
      <c r="K151" s="2" t="s">
        <v>67</v>
      </c>
      <c r="L151" s="2" t="s">
        <v>927</v>
      </c>
      <c r="M151" s="2">
        <v>14645</v>
      </c>
      <c r="N151" s="2" t="s">
        <v>928</v>
      </c>
      <c r="O151" s="2" t="s">
        <v>70</v>
      </c>
      <c r="P151" s="2" t="s">
        <v>71</v>
      </c>
      <c r="Q151" s="2" t="s">
        <v>929</v>
      </c>
      <c r="R151" s="2">
        <v>725</v>
      </c>
      <c r="S151" s="2">
        <v>10</v>
      </c>
      <c r="T151" s="2" t="s">
        <v>902</v>
      </c>
      <c r="U151" s="2">
        <v>18.255985299999999</v>
      </c>
      <c r="V151" s="2">
        <v>-66.037056000000007</v>
      </c>
      <c r="W151" s="2" t="s">
        <v>528</v>
      </c>
      <c r="X151" s="2" t="s">
        <v>930</v>
      </c>
      <c r="Y151" s="2" t="s">
        <v>530</v>
      </c>
      <c r="Z151" s="2">
        <v>14645</v>
      </c>
      <c r="AA151" s="3">
        <v>42805.763888888891</v>
      </c>
      <c r="AB151" s="2">
        <v>71092</v>
      </c>
      <c r="AC151" s="2">
        <v>1352</v>
      </c>
      <c r="AD151" s="2">
        <v>7.59</v>
      </c>
      <c r="AE151" s="2">
        <v>0.03</v>
      </c>
      <c r="AF151" s="2" t="str" cm="1">
        <f t="array" ref="AF151">_xlfn.IFS(AE151=0, "No Discount ", AE151&lt;=0.08,"Low Discount", AE151&lt;=0.16,"Medium Discount", AE151&gt;0.16, "High Discount")</f>
        <v>Low Discount</v>
      </c>
      <c r="AG151" s="2">
        <v>174407</v>
      </c>
      <c r="AH151" s="2">
        <v>252.88</v>
      </c>
      <c r="AI151" s="2">
        <v>0.28000000000000003</v>
      </c>
      <c r="AJ151" s="2" t="str" cm="1">
        <f t="array" ref="AJ151">_xlfn.IFS(AI151&lt;=0, "No Profit", AI151&lt;=0.16,"Low Profit",AI151&lt;=0.32,"Medium Profit",AI151&gt;0.32,"High Profit")</f>
        <v>Medium Profit</v>
      </c>
      <c r="AK151" s="2">
        <v>1</v>
      </c>
      <c r="AL151" s="2">
        <v>252.88</v>
      </c>
      <c r="AM151" s="2">
        <v>245.29</v>
      </c>
      <c r="AN151" s="2">
        <v>68.680000000000007</v>
      </c>
      <c r="AO151" s="2" t="s">
        <v>531</v>
      </c>
      <c r="AP151" s="2" t="s">
        <v>931</v>
      </c>
      <c r="AQ151" s="2" t="s">
        <v>80</v>
      </c>
      <c r="AR151" s="2" t="s">
        <v>81</v>
      </c>
      <c r="AS151" s="2">
        <v>1352</v>
      </c>
      <c r="AT151" s="2">
        <v>65</v>
      </c>
      <c r="AU151" s="2" t="s">
        <v>907</v>
      </c>
      <c r="AV151" s="2">
        <v>252.88</v>
      </c>
      <c r="AW151" s="2">
        <v>0</v>
      </c>
      <c r="AX151" s="3">
        <v>42897.763888888891</v>
      </c>
      <c r="AY151" s="2" t="s">
        <v>162</v>
      </c>
      <c r="AZ151" s="4">
        <v>42805</v>
      </c>
      <c r="BA151" s="5">
        <v>0.76388888888888884</v>
      </c>
      <c r="BB151" s="2">
        <v>2017</v>
      </c>
      <c r="BC151" s="2" t="s">
        <v>85</v>
      </c>
      <c r="BD151" s="2">
        <v>11</v>
      </c>
      <c r="BE151" s="4">
        <v>42897</v>
      </c>
      <c r="BF151" s="5">
        <v>0.76388888888888884</v>
      </c>
      <c r="BG151" s="2" t="str" cm="1">
        <f t="array" ref="BG151">_xlfn.IFS(BF151&lt;TIMEVALUE("06:00"),"Night", BF151&gt;=TIMEVALUE("21:00"),"Night",BF151&gt;=TIMEVALUE("17:00"),"Evening",BF151&gt;=TIMEVALUE("12:00"),"Afternoon", BF151&gt;=TIMEVALUE("06:00"),"Morning")</f>
        <v>Evening</v>
      </c>
      <c r="BH151" s="2">
        <v>2017</v>
      </c>
      <c r="BI151" s="2" t="s">
        <v>474</v>
      </c>
      <c r="BJ151" s="2">
        <v>11</v>
      </c>
    </row>
    <row r="152" spans="1:62" x14ac:dyDescent="0.3">
      <c r="A152" s="2" t="s">
        <v>62</v>
      </c>
      <c r="B152" s="2">
        <v>6</v>
      </c>
      <c r="C152" s="2">
        <v>2</v>
      </c>
      <c r="D152" s="2">
        <v>135.83000000000001</v>
      </c>
      <c r="E152" s="2">
        <v>433.96</v>
      </c>
      <c r="F152" s="2" t="s">
        <v>87</v>
      </c>
      <c r="G152" s="2" t="s">
        <v>88</v>
      </c>
      <c r="H152" s="2">
        <v>62</v>
      </c>
      <c r="I152" s="2" t="s">
        <v>908</v>
      </c>
      <c r="J152" s="2" t="s">
        <v>66</v>
      </c>
      <c r="K152" s="2" t="s">
        <v>67</v>
      </c>
      <c r="L152" s="2" t="s">
        <v>932</v>
      </c>
      <c r="M152" s="2">
        <v>13163</v>
      </c>
      <c r="N152" s="2" t="s">
        <v>933</v>
      </c>
      <c r="O152" s="2" t="s">
        <v>70</v>
      </c>
      <c r="P152" s="2" t="s">
        <v>71</v>
      </c>
      <c r="Q152" s="2" t="s">
        <v>934</v>
      </c>
      <c r="R152" s="2">
        <v>725</v>
      </c>
      <c r="S152" s="2">
        <v>10</v>
      </c>
      <c r="T152" s="2" t="s">
        <v>902</v>
      </c>
      <c r="U152" s="2">
        <v>18.281721099999999</v>
      </c>
      <c r="V152" s="2">
        <v>-66.037056000000007</v>
      </c>
      <c r="W152" s="2" t="s">
        <v>528</v>
      </c>
      <c r="X152" s="2" t="s">
        <v>935</v>
      </c>
      <c r="Y152" s="2" t="s">
        <v>904</v>
      </c>
      <c r="Z152" s="2">
        <v>13163</v>
      </c>
      <c r="AA152" s="2" t="s">
        <v>936</v>
      </c>
      <c r="AB152" s="2">
        <v>69610</v>
      </c>
      <c r="AC152" s="2">
        <v>1349</v>
      </c>
      <c r="AD152" s="2">
        <v>18.079999999999998</v>
      </c>
      <c r="AE152" s="2">
        <v>0.04</v>
      </c>
      <c r="AF152" s="2" t="str" cm="1">
        <f t="array" ref="AF152">_xlfn.IFS(AE152=0, "No Discount ", AE152&lt;=0.08,"Low Discount", AE152&lt;=0.16,"Medium Discount", AE152&gt;0.16, "High Discount")</f>
        <v>Low Discount</v>
      </c>
      <c r="AG152" s="2">
        <v>172925</v>
      </c>
      <c r="AH152" s="2">
        <v>452.04</v>
      </c>
      <c r="AI152" s="2">
        <v>0.31</v>
      </c>
      <c r="AJ152" s="2" t="str" cm="1">
        <f t="array" ref="AJ152">_xlfn.IFS(AI152&lt;=0, "No Profit", AI152&lt;=0.16,"Low Profit",AI152&lt;=0.32,"Medium Profit",AI152&gt;0.32,"High Profit")</f>
        <v>Medium Profit</v>
      </c>
      <c r="AK152" s="2">
        <v>1</v>
      </c>
      <c r="AL152" s="2">
        <v>452.04</v>
      </c>
      <c r="AM152" s="2">
        <v>433.96</v>
      </c>
      <c r="AN152" s="2">
        <v>135.83000000000001</v>
      </c>
      <c r="AO152" s="2" t="s">
        <v>905</v>
      </c>
      <c r="AP152" s="2" t="s">
        <v>937</v>
      </c>
      <c r="AQ152" s="2" t="s">
        <v>80</v>
      </c>
      <c r="AR152" s="2" t="s">
        <v>81</v>
      </c>
      <c r="AS152" s="2">
        <v>1349</v>
      </c>
      <c r="AT152" s="2">
        <v>62</v>
      </c>
      <c r="AU152" s="2" t="s">
        <v>915</v>
      </c>
      <c r="AV152" s="2">
        <v>452.04</v>
      </c>
      <c r="AW152" s="2">
        <v>0</v>
      </c>
      <c r="AX152" s="2" t="s">
        <v>938</v>
      </c>
      <c r="AY152" s="2" t="s">
        <v>162</v>
      </c>
      <c r="AZ152" s="4">
        <v>43021</v>
      </c>
      <c r="BA152" s="5">
        <v>0.13055555555555556</v>
      </c>
      <c r="BB152" s="2">
        <v>2017</v>
      </c>
      <c r="BC152" s="2" t="s">
        <v>434</v>
      </c>
      <c r="BD152" s="2">
        <v>13</v>
      </c>
      <c r="BE152" s="4">
        <v>43027</v>
      </c>
      <c r="BF152" s="5">
        <v>0.13055555555555556</v>
      </c>
      <c r="BG152" s="2" t="str" cm="1">
        <f t="array" ref="BG152">_xlfn.IFS(BF152&lt;TIMEVALUE("06:00"),"Night", BF152&gt;=TIMEVALUE("21:00"),"Night",BF152&gt;=TIMEVALUE("17:00"),"Evening",BF152&gt;=TIMEVALUE("12:00"),"Afternoon", BF152&gt;=TIMEVALUE("06:00"),"Morning")</f>
        <v>Night</v>
      </c>
      <c r="BH152" s="2">
        <v>2017</v>
      </c>
      <c r="BI152" s="2" t="s">
        <v>434</v>
      </c>
      <c r="BJ152" s="2">
        <v>19</v>
      </c>
    </row>
    <row r="153" spans="1:62" x14ac:dyDescent="0.3">
      <c r="A153" s="2" t="s">
        <v>62</v>
      </c>
      <c r="B153" s="2">
        <v>6</v>
      </c>
      <c r="C153" s="2">
        <v>2</v>
      </c>
      <c r="D153" s="2">
        <v>78.08</v>
      </c>
      <c r="E153" s="2">
        <v>240.24</v>
      </c>
      <c r="F153" s="2" t="s">
        <v>87</v>
      </c>
      <c r="G153" s="2" t="s">
        <v>88</v>
      </c>
      <c r="H153" s="2">
        <v>65</v>
      </c>
      <c r="I153" s="2" t="s">
        <v>898</v>
      </c>
      <c r="J153" s="2" t="s">
        <v>66</v>
      </c>
      <c r="K153" s="2" t="s">
        <v>67</v>
      </c>
      <c r="L153" s="2" t="s">
        <v>939</v>
      </c>
      <c r="M153" s="2">
        <v>14553</v>
      </c>
      <c r="N153" s="2" t="s">
        <v>940</v>
      </c>
      <c r="O153" s="2" t="s">
        <v>70</v>
      </c>
      <c r="P153" s="2" t="s">
        <v>71</v>
      </c>
      <c r="Q153" s="2" t="s">
        <v>941</v>
      </c>
      <c r="R153" s="2">
        <v>725</v>
      </c>
      <c r="S153" s="2">
        <v>10</v>
      </c>
      <c r="T153" s="2" t="s">
        <v>902</v>
      </c>
      <c r="U153" s="2">
        <v>18.2345848</v>
      </c>
      <c r="V153" s="2">
        <v>-66.037056000000007</v>
      </c>
      <c r="W153" s="2" t="s">
        <v>528</v>
      </c>
      <c r="X153" s="2" t="s">
        <v>942</v>
      </c>
      <c r="Y153" s="2" t="s">
        <v>530</v>
      </c>
      <c r="Z153" s="2">
        <v>14553</v>
      </c>
      <c r="AA153" s="3">
        <v>42777.42083333333</v>
      </c>
      <c r="AB153" s="2">
        <v>71000</v>
      </c>
      <c r="AC153" s="2">
        <v>1352</v>
      </c>
      <c r="AD153" s="2">
        <v>12.64</v>
      </c>
      <c r="AE153" s="2">
        <v>0.05</v>
      </c>
      <c r="AF153" s="2" t="str" cm="1">
        <f t="array" ref="AF153">_xlfn.IFS(AE153=0, "No Discount ", AE153&lt;=0.08,"Low Discount", AE153&lt;=0.16,"Medium Discount", AE153&gt;0.16, "High Discount")</f>
        <v>Low Discount</v>
      </c>
      <c r="AG153" s="2">
        <v>174315</v>
      </c>
      <c r="AH153" s="2">
        <v>252.88</v>
      </c>
      <c r="AI153" s="2">
        <v>0.33</v>
      </c>
      <c r="AJ153" s="2" t="str" cm="1">
        <f t="array" ref="AJ153">_xlfn.IFS(AI153&lt;=0, "No Profit", AI153&lt;=0.16,"Low Profit",AI153&lt;=0.32,"Medium Profit",AI153&gt;0.32,"High Profit")</f>
        <v>High Profit</v>
      </c>
      <c r="AK153" s="2">
        <v>1</v>
      </c>
      <c r="AL153" s="2">
        <v>252.88</v>
      </c>
      <c r="AM153" s="2">
        <v>240.24</v>
      </c>
      <c r="AN153" s="2">
        <v>78.08</v>
      </c>
      <c r="AO153" s="2" t="s">
        <v>531</v>
      </c>
      <c r="AP153" s="2" t="s">
        <v>532</v>
      </c>
      <c r="AQ153" s="2" t="s">
        <v>80</v>
      </c>
      <c r="AR153" s="2" t="s">
        <v>81</v>
      </c>
      <c r="AS153" s="2">
        <v>1352</v>
      </c>
      <c r="AT153" s="2">
        <v>65</v>
      </c>
      <c r="AU153" s="2" t="s">
        <v>907</v>
      </c>
      <c r="AV153" s="2">
        <v>252.88</v>
      </c>
      <c r="AW153" s="2">
        <v>0</v>
      </c>
      <c r="AX153" s="3">
        <v>42958.42083333333</v>
      </c>
      <c r="AY153" s="2" t="s">
        <v>162</v>
      </c>
      <c r="AZ153" s="4">
        <v>42777</v>
      </c>
      <c r="BA153" s="5">
        <v>0.42083333333333334</v>
      </c>
      <c r="BB153" s="2">
        <v>2017</v>
      </c>
      <c r="BC153" s="2" t="s">
        <v>423</v>
      </c>
      <c r="BD153" s="2">
        <v>11</v>
      </c>
      <c r="BE153" s="4">
        <v>42958</v>
      </c>
      <c r="BF153" s="5">
        <v>0.42083333333333334</v>
      </c>
      <c r="BG153" s="2" t="str" cm="1">
        <f t="array" ref="BG153">_xlfn.IFS(BF153&lt;TIMEVALUE("06:00"),"Night", BF153&gt;=TIMEVALUE("21:00"),"Night",BF153&gt;=TIMEVALUE("17:00"),"Evening",BF153&gt;=TIMEVALUE("12:00"),"Afternoon", BF153&gt;=TIMEVALUE("06:00"),"Morning")</f>
        <v>Morning</v>
      </c>
      <c r="BH153" s="2">
        <v>2017</v>
      </c>
      <c r="BI153" s="2" t="s">
        <v>482</v>
      </c>
      <c r="BJ153" s="2">
        <v>11</v>
      </c>
    </row>
    <row r="154" spans="1:62" x14ac:dyDescent="0.3">
      <c r="A154" s="2" t="s">
        <v>62</v>
      </c>
      <c r="B154" s="2">
        <v>5</v>
      </c>
      <c r="C154" s="2">
        <v>2</v>
      </c>
      <c r="D154" s="2">
        <v>595.35</v>
      </c>
      <c r="E154" s="2">
        <v>1417.5</v>
      </c>
      <c r="F154" s="2" t="s">
        <v>87</v>
      </c>
      <c r="G154" s="2" t="s">
        <v>88</v>
      </c>
      <c r="H154" s="2">
        <v>64</v>
      </c>
      <c r="I154" s="2" t="s">
        <v>943</v>
      </c>
      <c r="J154" s="2" t="s">
        <v>66</v>
      </c>
      <c r="K154" s="2" t="s">
        <v>67</v>
      </c>
      <c r="L154" s="2" t="s">
        <v>245</v>
      </c>
      <c r="M154" s="2">
        <v>14287</v>
      </c>
      <c r="N154" s="2" t="s">
        <v>944</v>
      </c>
      <c r="O154" s="2" t="s">
        <v>70</v>
      </c>
      <c r="P154" s="2" t="s">
        <v>71</v>
      </c>
      <c r="Q154" s="2" t="s">
        <v>945</v>
      </c>
      <c r="R154" s="2">
        <v>725</v>
      </c>
      <c r="S154" s="2">
        <v>10</v>
      </c>
      <c r="T154" s="2" t="s">
        <v>902</v>
      </c>
      <c r="U154" s="2">
        <v>18.252496699999998</v>
      </c>
      <c r="V154" s="2">
        <v>-66.037048299999995</v>
      </c>
      <c r="W154" s="2" t="s">
        <v>528</v>
      </c>
      <c r="X154" s="2" t="s">
        <v>946</v>
      </c>
      <c r="Y154" s="2" t="s">
        <v>557</v>
      </c>
      <c r="Z154" s="2">
        <v>14287</v>
      </c>
      <c r="AA154" s="2" t="s">
        <v>947</v>
      </c>
      <c r="AB154" s="2">
        <v>70734</v>
      </c>
      <c r="AC154" s="2">
        <v>1351</v>
      </c>
      <c r="AD154" s="2">
        <v>82.5</v>
      </c>
      <c r="AE154" s="2">
        <v>0.06</v>
      </c>
      <c r="AF154" s="2" t="str" cm="1">
        <f t="array" ref="AF154">_xlfn.IFS(AE154=0, "No Discount ", AE154&lt;=0.08,"Low Discount", AE154&lt;=0.16,"Medium Discount", AE154&gt;0.16, "High Discount")</f>
        <v>Low Discount</v>
      </c>
      <c r="AG154" s="2">
        <v>174049</v>
      </c>
      <c r="AH154" s="2">
        <v>1500</v>
      </c>
      <c r="AI154" s="2">
        <v>0.42</v>
      </c>
      <c r="AJ154" s="2" t="str" cm="1">
        <f t="array" ref="AJ154">_xlfn.IFS(AI154&lt;=0, "No Profit", AI154&lt;=0.16,"Low Profit",AI154&lt;=0.32,"Medium Profit",AI154&gt;0.32,"High Profit")</f>
        <v>High Profit</v>
      </c>
      <c r="AK154" s="2">
        <v>1</v>
      </c>
      <c r="AL154" s="2">
        <v>1500</v>
      </c>
      <c r="AM154" s="2">
        <v>1417.5</v>
      </c>
      <c r="AN154" s="2">
        <v>595.35</v>
      </c>
      <c r="AO154" s="2" t="s">
        <v>558</v>
      </c>
      <c r="AP154" s="2" t="s">
        <v>559</v>
      </c>
      <c r="AQ154" s="2" t="s">
        <v>80</v>
      </c>
      <c r="AR154" s="2" t="s">
        <v>81</v>
      </c>
      <c r="AS154" s="2">
        <v>1351</v>
      </c>
      <c r="AT154" s="2">
        <v>64</v>
      </c>
      <c r="AU154" s="2" t="s">
        <v>948</v>
      </c>
      <c r="AV154" s="2">
        <v>1500</v>
      </c>
      <c r="AW154" s="2">
        <v>0</v>
      </c>
      <c r="AX154" s="3">
        <v>42805.538194444445</v>
      </c>
      <c r="AY154" s="2" t="s">
        <v>162</v>
      </c>
      <c r="AZ154" s="4">
        <v>43037</v>
      </c>
      <c r="BA154" s="5">
        <v>0.53819444444444442</v>
      </c>
      <c r="BB154" s="2">
        <v>2017</v>
      </c>
      <c r="BC154" s="2" t="s">
        <v>434</v>
      </c>
      <c r="BD154" s="2">
        <v>29</v>
      </c>
      <c r="BE154" s="4">
        <v>42805</v>
      </c>
      <c r="BF154" s="5">
        <v>0.53819444444444442</v>
      </c>
      <c r="BG154" s="2" t="str" cm="1">
        <f t="array" ref="BG154">_xlfn.IFS(BF154&lt;TIMEVALUE("06:00"),"Night", BF154&gt;=TIMEVALUE("21:00"),"Night",BF154&gt;=TIMEVALUE("17:00"),"Evening",BF154&gt;=TIMEVALUE("12:00"),"Afternoon", BF154&gt;=TIMEVALUE("06:00"),"Morning")</f>
        <v>Afternoon</v>
      </c>
      <c r="BH154" s="2">
        <v>2017</v>
      </c>
      <c r="BI154" s="2" t="s">
        <v>85</v>
      </c>
      <c r="BJ154" s="2">
        <v>11</v>
      </c>
    </row>
    <row r="155" spans="1:62" x14ac:dyDescent="0.3">
      <c r="A155" s="2" t="s">
        <v>62</v>
      </c>
      <c r="B155" s="2">
        <v>2</v>
      </c>
      <c r="C155" s="2">
        <v>2</v>
      </c>
      <c r="D155" s="2">
        <v>21.36</v>
      </c>
      <c r="E155" s="2">
        <v>427.18</v>
      </c>
      <c r="F155" s="2" t="s">
        <v>100</v>
      </c>
      <c r="G155" s="2" t="s">
        <v>64</v>
      </c>
      <c r="H155" s="2">
        <v>62</v>
      </c>
      <c r="I155" s="2" t="s">
        <v>908</v>
      </c>
      <c r="J155" s="2" t="s">
        <v>66</v>
      </c>
      <c r="K155" s="2" t="s">
        <v>67</v>
      </c>
      <c r="L155" s="2" t="s">
        <v>949</v>
      </c>
      <c r="M155" s="2">
        <v>13179</v>
      </c>
      <c r="N155" s="2" t="s">
        <v>950</v>
      </c>
      <c r="O155" s="2" t="s">
        <v>70</v>
      </c>
      <c r="P155" s="2" t="s">
        <v>71</v>
      </c>
      <c r="Q155" s="2" t="s">
        <v>951</v>
      </c>
      <c r="R155" s="2">
        <v>725</v>
      </c>
      <c r="S155" s="2">
        <v>10</v>
      </c>
      <c r="T155" s="2" t="s">
        <v>902</v>
      </c>
      <c r="U155" s="2">
        <v>18.255085000000001</v>
      </c>
      <c r="V155" s="2">
        <v>-66.037056000000007</v>
      </c>
      <c r="W155" s="2" t="s">
        <v>528</v>
      </c>
      <c r="X155" s="2" t="s">
        <v>535</v>
      </c>
      <c r="Y155" s="2" t="s">
        <v>536</v>
      </c>
      <c r="Z155" s="2">
        <v>13179</v>
      </c>
      <c r="AA155" s="2" t="s">
        <v>952</v>
      </c>
      <c r="AB155" s="2">
        <v>69626</v>
      </c>
      <c r="AC155" s="2">
        <v>1349</v>
      </c>
      <c r="AD155" s="2">
        <v>24.86</v>
      </c>
      <c r="AE155" s="2">
        <v>0.06</v>
      </c>
      <c r="AF155" s="2" t="str" cm="1">
        <f t="array" ref="AF155">_xlfn.IFS(AE155=0, "No Discount ", AE155&lt;=0.08,"Low Discount", AE155&lt;=0.16,"Medium Discount", AE155&gt;0.16, "High Discount")</f>
        <v>Low Discount</v>
      </c>
      <c r="AG155" s="2">
        <v>172941</v>
      </c>
      <c r="AH155" s="2">
        <v>452.04</v>
      </c>
      <c r="AI155" s="2">
        <v>0.05</v>
      </c>
      <c r="AJ155" s="2" t="str" cm="1">
        <f t="array" ref="AJ155">_xlfn.IFS(AI155&lt;=0, "No Profit", AI155&lt;=0.16,"Low Profit",AI155&lt;=0.32,"Medium Profit",AI155&gt;0.32,"High Profit")</f>
        <v>Low Profit</v>
      </c>
      <c r="AK155" s="2">
        <v>1</v>
      </c>
      <c r="AL155" s="2">
        <v>452.04</v>
      </c>
      <c r="AM155" s="2">
        <v>427.18</v>
      </c>
      <c r="AN155" s="2">
        <v>21.36</v>
      </c>
      <c r="AO155" s="2" t="s">
        <v>531</v>
      </c>
      <c r="AP155" s="2" t="s">
        <v>538</v>
      </c>
      <c r="AQ155" s="2" t="s">
        <v>80</v>
      </c>
      <c r="AR155" s="2" t="s">
        <v>81</v>
      </c>
      <c r="AS155" s="2">
        <v>1349</v>
      </c>
      <c r="AT155" s="2">
        <v>62</v>
      </c>
      <c r="AU155" s="2" t="s">
        <v>915</v>
      </c>
      <c r="AV155" s="2">
        <v>452.04</v>
      </c>
      <c r="AW155" s="2">
        <v>0</v>
      </c>
      <c r="AX155" s="2" t="s">
        <v>953</v>
      </c>
      <c r="AY155" s="2" t="s">
        <v>162</v>
      </c>
      <c r="AZ155" s="4">
        <v>43021</v>
      </c>
      <c r="BA155" s="5">
        <v>0.36388888888888887</v>
      </c>
      <c r="BB155" s="2">
        <v>2017</v>
      </c>
      <c r="BC155" s="2" t="s">
        <v>434</v>
      </c>
      <c r="BD155" s="2">
        <v>13</v>
      </c>
      <c r="BE155" s="4">
        <v>43023</v>
      </c>
      <c r="BF155" s="5">
        <v>0.36388888888888887</v>
      </c>
      <c r="BG155" s="2" t="str" cm="1">
        <f t="array" ref="BG155">_xlfn.IFS(BF155&lt;TIMEVALUE("06:00"),"Night", BF155&gt;=TIMEVALUE("21:00"),"Night",BF155&gt;=TIMEVALUE("17:00"),"Evening",BF155&gt;=TIMEVALUE("12:00"),"Afternoon", BF155&gt;=TIMEVALUE("06:00"),"Morning")</f>
        <v>Morning</v>
      </c>
      <c r="BH155" s="2">
        <v>2017</v>
      </c>
      <c r="BI155" s="2" t="s">
        <v>434</v>
      </c>
      <c r="BJ155" s="2">
        <v>15</v>
      </c>
    </row>
    <row r="156" spans="1:62" x14ac:dyDescent="0.3">
      <c r="A156" s="2" t="s">
        <v>62</v>
      </c>
      <c r="B156" s="2">
        <v>3</v>
      </c>
      <c r="C156" s="2">
        <v>2</v>
      </c>
      <c r="D156" s="2">
        <v>213.59</v>
      </c>
      <c r="E156" s="2">
        <v>427.18</v>
      </c>
      <c r="F156" s="2" t="s">
        <v>87</v>
      </c>
      <c r="G156" s="2" t="s">
        <v>88</v>
      </c>
      <c r="H156" s="2">
        <v>62</v>
      </c>
      <c r="I156" s="2" t="s">
        <v>908</v>
      </c>
      <c r="J156" s="2" t="s">
        <v>66</v>
      </c>
      <c r="K156" s="2" t="s">
        <v>67</v>
      </c>
      <c r="L156" s="2" t="s">
        <v>954</v>
      </c>
      <c r="M156" s="2">
        <v>13035</v>
      </c>
      <c r="N156" s="2" t="s">
        <v>955</v>
      </c>
      <c r="O156" s="2" t="s">
        <v>70</v>
      </c>
      <c r="P156" s="2" t="s">
        <v>71</v>
      </c>
      <c r="Q156" s="2" t="s">
        <v>956</v>
      </c>
      <c r="R156" s="2">
        <v>725</v>
      </c>
      <c r="S156" s="2">
        <v>10</v>
      </c>
      <c r="T156" s="2" t="s">
        <v>902</v>
      </c>
      <c r="U156" s="2">
        <v>18.2804222</v>
      </c>
      <c r="V156" s="2">
        <v>-66.037063599999996</v>
      </c>
      <c r="W156" s="2" t="s">
        <v>528</v>
      </c>
      <c r="X156" s="2" t="s">
        <v>957</v>
      </c>
      <c r="Y156" s="2" t="s">
        <v>530</v>
      </c>
      <c r="Z156" s="2">
        <v>13035</v>
      </c>
      <c r="AA156" s="3">
        <v>43049.261805555558</v>
      </c>
      <c r="AB156" s="2">
        <v>69482</v>
      </c>
      <c r="AC156" s="2">
        <v>1349</v>
      </c>
      <c r="AD156" s="2">
        <v>24.86</v>
      </c>
      <c r="AE156" s="2">
        <v>0.06</v>
      </c>
      <c r="AF156" s="2" t="str" cm="1">
        <f t="array" ref="AF156">_xlfn.IFS(AE156=0, "No Discount ", AE156&lt;=0.08,"Low Discount", AE156&lt;=0.16,"Medium Discount", AE156&gt;0.16, "High Discount")</f>
        <v>Low Discount</v>
      </c>
      <c r="AG156" s="2">
        <v>172797</v>
      </c>
      <c r="AH156" s="2">
        <v>452.04</v>
      </c>
      <c r="AI156" s="2">
        <v>0.5</v>
      </c>
      <c r="AJ156" s="2" t="str" cm="1">
        <f t="array" ref="AJ156">_xlfn.IFS(AI156&lt;=0, "No Profit", AI156&lt;=0.16,"Low Profit",AI156&lt;=0.32,"Medium Profit",AI156&gt;0.32,"High Profit")</f>
        <v>High Profit</v>
      </c>
      <c r="AK156" s="2">
        <v>1</v>
      </c>
      <c r="AL156" s="2">
        <v>452.04</v>
      </c>
      <c r="AM156" s="2">
        <v>427.18</v>
      </c>
      <c r="AN156" s="2">
        <v>213.59</v>
      </c>
      <c r="AO156" s="2" t="s">
        <v>531</v>
      </c>
      <c r="AP156" s="2" t="s">
        <v>532</v>
      </c>
      <c r="AQ156" s="2" t="s">
        <v>80</v>
      </c>
      <c r="AR156" s="2" t="s">
        <v>81</v>
      </c>
      <c r="AS156" s="2">
        <v>1349</v>
      </c>
      <c r="AT156" s="2">
        <v>62</v>
      </c>
      <c r="AU156" s="2" t="s">
        <v>915</v>
      </c>
      <c r="AV156" s="2">
        <v>452.04</v>
      </c>
      <c r="AW156" s="2">
        <v>0</v>
      </c>
      <c r="AX156" s="2" t="s">
        <v>958</v>
      </c>
      <c r="AY156" s="2" t="s">
        <v>162</v>
      </c>
      <c r="AZ156" s="4">
        <v>43049</v>
      </c>
      <c r="BA156" s="5">
        <v>0.26180555555555557</v>
      </c>
      <c r="BB156" s="2">
        <v>2017</v>
      </c>
      <c r="BC156" s="2" t="s">
        <v>455</v>
      </c>
      <c r="BD156" s="2">
        <v>10</v>
      </c>
      <c r="BE156" s="4">
        <v>43022</v>
      </c>
      <c r="BF156" s="5">
        <v>0.26180555555555557</v>
      </c>
      <c r="BG156" s="2" t="str" cm="1">
        <f t="array" ref="BG156">_xlfn.IFS(BF156&lt;TIMEVALUE("06:00"),"Night", BF156&gt;=TIMEVALUE("21:00"),"Night",BF156&gt;=TIMEVALUE("17:00"),"Evening",BF156&gt;=TIMEVALUE("12:00"),"Afternoon", BF156&gt;=TIMEVALUE("06:00"),"Morning")</f>
        <v>Morning</v>
      </c>
      <c r="BH156" s="2">
        <v>2017</v>
      </c>
      <c r="BI156" s="2" t="s">
        <v>434</v>
      </c>
      <c r="BJ156" s="2">
        <v>14</v>
      </c>
    </row>
    <row r="157" spans="1:62" x14ac:dyDescent="0.3">
      <c r="A157" s="2" t="s">
        <v>62</v>
      </c>
      <c r="B157" s="2">
        <v>5</v>
      </c>
      <c r="C157" s="2">
        <v>2</v>
      </c>
      <c r="D157" s="2">
        <v>55.8</v>
      </c>
      <c r="E157" s="2">
        <v>1395</v>
      </c>
      <c r="F157" s="2" t="s">
        <v>87</v>
      </c>
      <c r="G157" s="2" t="s">
        <v>88</v>
      </c>
      <c r="H157" s="2">
        <v>64</v>
      </c>
      <c r="I157" s="2" t="s">
        <v>943</v>
      </c>
      <c r="J157" s="2" t="s">
        <v>66</v>
      </c>
      <c r="K157" s="2" t="s">
        <v>67</v>
      </c>
      <c r="L157" s="2" t="s">
        <v>959</v>
      </c>
      <c r="M157" s="2">
        <v>14322</v>
      </c>
      <c r="N157" s="2" t="s">
        <v>960</v>
      </c>
      <c r="O157" s="2" t="s">
        <v>70</v>
      </c>
      <c r="P157" s="2" t="s">
        <v>71</v>
      </c>
      <c r="Q157" s="2" t="s">
        <v>961</v>
      </c>
      <c r="R157" s="2">
        <v>725</v>
      </c>
      <c r="S157" s="2">
        <v>10</v>
      </c>
      <c r="T157" s="2" t="s">
        <v>902</v>
      </c>
      <c r="U157" s="2">
        <v>18.232889199999999</v>
      </c>
      <c r="V157" s="2">
        <v>-66.037063599999996</v>
      </c>
      <c r="W157" s="2" t="s">
        <v>528</v>
      </c>
      <c r="X157" s="2" t="s">
        <v>962</v>
      </c>
      <c r="Y157" s="2" t="s">
        <v>557</v>
      </c>
      <c r="Z157" s="2">
        <v>14322</v>
      </c>
      <c r="AA157" s="2" t="s">
        <v>963</v>
      </c>
      <c r="AB157" s="2">
        <v>70769</v>
      </c>
      <c r="AC157" s="2">
        <v>1351</v>
      </c>
      <c r="AD157" s="2">
        <v>105</v>
      </c>
      <c r="AE157" s="2">
        <v>7.0000000000000007E-2</v>
      </c>
      <c r="AF157" s="2" t="str" cm="1">
        <f t="array" ref="AF157">_xlfn.IFS(AE157=0, "No Discount ", AE157&lt;=0.08,"Low Discount", AE157&lt;=0.16,"Medium Discount", AE157&gt;0.16, "High Discount")</f>
        <v>Low Discount</v>
      </c>
      <c r="AG157" s="2">
        <v>174084</v>
      </c>
      <c r="AH157" s="2">
        <v>1500</v>
      </c>
      <c r="AI157" s="2">
        <v>0.04</v>
      </c>
      <c r="AJ157" s="2" t="str" cm="1">
        <f t="array" ref="AJ157">_xlfn.IFS(AI157&lt;=0, "No Profit", AI157&lt;=0.16,"Low Profit",AI157&lt;=0.32,"Medium Profit",AI157&gt;0.32,"High Profit")</f>
        <v>Low Profit</v>
      </c>
      <c r="AK157" s="2">
        <v>1</v>
      </c>
      <c r="AL157" s="2">
        <v>1500</v>
      </c>
      <c r="AM157" s="2">
        <v>1395</v>
      </c>
      <c r="AN157" s="2">
        <v>55.8</v>
      </c>
      <c r="AO157" s="2" t="s">
        <v>558</v>
      </c>
      <c r="AP157" s="2" t="s">
        <v>559</v>
      </c>
      <c r="AQ157" s="2" t="s">
        <v>80</v>
      </c>
      <c r="AR157" s="2" t="s">
        <v>81</v>
      </c>
      <c r="AS157" s="2">
        <v>1351</v>
      </c>
      <c r="AT157" s="2">
        <v>64</v>
      </c>
      <c r="AU157" s="2" t="s">
        <v>948</v>
      </c>
      <c r="AV157" s="2">
        <v>1500</v>
      </c>
      <c r="AW157" s="2">
        <v>0</v>
      </c>
      <c r="AX157" s="3">
        <v>42836.048611111109</v>
      </c>
      <c r="AY157" s="2" t="s">
        <v>162</v>
      </c>
      <c r="AZ157" s="4">
        <v>43038</v>
      </c>
      <c r="BA157" s="5">
        <v>4.8611111111111112E-2</v>
      </c>
      <c r="BB157" s="2">
        <v>2017</v>
      </c>
      <c r="BC157" s="2" t="s">
        <v>434</v>
      </c>
      <c r="BD157" s="2">
        <v>30</v>
      </c>
      <c r="BE157" s="4">
        <v>42836</v>
      </c>
      <c r="BF157" s="5">
        <v>4.8611111111111112E-2</v>
      </c>
      <c r="BG157" s="2" t="str" cm="1">
        <f t="array" ref="BG157">_xlfn.IFS(BF157&lt;TIMEVALUE("06:00"),"Night", BF157&gt;=TIMEVALUE("21:00"),"Night",BF157&gt;=TIMEVALUE("17:00"),"Evening",BF157&gt;=TIMEVALUE("12:00"),"Afternoon", BF157&gt;=TIMEVALUE("06:00"),"Morning")</f>
        <v>Night</v>
      </c>
      <c r="BH157" s="2">
        <v>2017</v>
      </c>
      <c r="BI157" s="2" t="s">
        <v>487</v>
      </c>
      <c r="BJ157" s="2">
        <v>11</v>
      </c>
    </row>
    <row r="158" spans="1:62" x14ac:dyDescent="0.3">
      <c r="A158" s="2" t="s">
        <v>62</v>
      </c>
      <c r="B158" s="2">
        <v>4</v>
      </c>
      <c r="C158" s="2">
        <v>2</v>
      </c>
      <c r="D158" s="2">
        <v>126.12</v>
      </c>
      <c r="E158" s="2">
        <v>420.4</v>
      </c>
      <c r="F158" s="2" t="s">
        <v>87</v>
      </c>
      <c r="G158" s="2" t="s">
        <v>88</v>
      </c>
      <c r="H158" s="2">
        <v>62</v>
      </c>
      <c r="I158" s="2" t="s">
        <v>908</v>
      </c>
      <c r="J158" s="2" t="s">
        <v>66</v>
      </c>
      <c r="K158" s="2" t="s">
        <v>67</v>
      </c>
      <c r="L158" s="2" t="s">
        <v>964</v>
      </c>
      <c r="M158" s="2">
        <v>13196</v>
      </c>
      <c r="N158" s="2" t="s">
        <v>965</v>
      </c>
      <c r="O158" s="2" t="s">
        <v>70</v>
      </c>
      <c r="P158" s="2" t="s">
        <v>71</v>
      </c>
      <c r="Q158" s="2" t="s">
        <v>966</v>
      </c>
      <c r="R158" s="2">
        <v>725</v>
      </c>
      <c r="S158" s="2">
        <v>10</v>
      </c>
      <c r="T158" s="2" t="s">
        <v>902</v>
      </c>
      <c r="U158" s="2">
        <v>18.228643399999999</v>
      </c>
      <c r="V158" s="2">
        <v>-66.037063599999996</v>
      </c>
      <c r="W158" s="2" t="s">
        <v>528</v>
      </c>
      <c r="X158" s="2" t="s">
        <v>967</v>
      </c>
      <c r="Y158" s="2" t="s">
        <v>904</v>
      </c>
      <c r="Z158" s="2">
        <v>13196</v>
      </c>
      <c r="AA158" s="2" t="s">
        <v>968</v>
      </c>
      <c r="AB158" s="2">
        <v>69643</v>
      </c>
      <c r="AC158" s="2">
        <v>1349</v>
      </c>
      <c r="AD158" s="2">
        <v>31.64</v>
      </c>
      <c r="AE158" s="2">
        <v>7.0000000000000007E-2</v>
      </c>
      <c r="AF158" s="2" t="str" cm="1">
        <f t="array" ref="AF158">_xlfn.IFS(AE158=0, "No Discount ", AE158&lt;=0.08,"Low Discount", AE158&lt;=0.16,"Medium Discount", AE158&gt;0.16, "High Discount")</f>
        <v>Low Discount</v>
      </c>
      <c r="AG158" s="2">
        <v>172958</v>
      </c>
      <c r="AH158" s="2">
        <v>452.04</v>
      </c>
      <c r="AI158" s="2">
        <v>0.3</v>
      </c>
      <c r="AJ158" s="2" t="str" cm="1">
        <f t="array" ref="AJ158">_xlfn.IFS(AI158&lt;=0, "No Profit", AI158&lt;=0.16,"Low Profit",AI158&lt;=0.32,"Medium Profit",AI158&gt;0.32,"High Profit")</f>
        <v>Medium Profit</v>
      </c>
      <c r="AK158" s="2">
        <v>1</v>
      </c>
      <c r="AL158" s="2">
        <v>452.04</v>
      </c>
      <c r="AM158" s="2">
        <v>420.4</v>
      </c>
      <c r="AN158" s="2">
        <v>126.12</v>
      </c>
      <c r="AO158" s="2" t="s">
        <v>905</v>
      </c>
      <c r="AP158" s="2" t="s">
        <v>969</v>
      </c>
      <c r="AQ158" s="2" t="s">
        <v>80</v>
      </c>
      <c r="AR158" s="2" t="s">
        <v>81</v>
      </c>
      <c r="AS158" s="2">
        <v>1349</v>
      </c>
      <c r="AT158" s="2">
        <v>62</v>
      </c>
      <c r="AU158" s="2" t="s">
        <v>915</v>
      </c>
      <c r="AV158" s="2">
        <v>452.04</v>
      </c>
      <c r="AW158" s="2">
        <v>0</v>
      </c>
      <c r="AX158" s="2" t="s">
        <v>970</v>
      </c>
      <c r="AY158" s="2" t="s">
        <v>162</v>
      </c>
      <c r="AZ158" s="4">
        <v>43021</v>
      </c>
      <c r="BA158" s="5">
        <v>0.6118055555555556</v>
      </c>
      <c r="BB158" s="2">
        <v>2017</v>
      </c>
      <c r="BC158" s="2" t="s">
        <v>434</v>
      </c>
      <c r="BD158" s="2">
        <v>13</v>
      </c>
      <c r="BE158" s="4">
        <v>43025</v>
      </c>
      <c r="BF158" s="5">
        <v>0.6118055555555556</v>
      </c>
      <c r="BG158" s="2" t="str" cm="1">
        <f t="array" ref="BG158">_xlfn.IFS(BF158&lt;TIMEVALUE("06:00"),"Night", BF158&gt;=TIMEVALUE("21:00"),"Night",BF158&gt;=TIMEVALUE("17:00"),"Evening",BF158&gt;=TIMEVALUE("12:00"),"Afternoon", BF158&gt;=TIMEVALUE("06:00"),"Morning")</f>
        <v>Afternoon</v>
      </c>
      <c r="BH158" s="2">
        <v>2017</v>
      </c>
      <c r="BI158" s="2" t="s">
        <v>434</v>
      </c>
      <c r="BJ158" s="2">
        <v>17</v>
      </c>
    </row>
    <row r="159" spans="1:62" x14ac:dyDescent="0.3">
      <c r="A159" s="2" t="s">
        <v>62</v>
      </c>
      <c r="B159" s="2">
        <v>2</v>
      </c>
      <c r="C159" s="2">
        <v>2</v>
      </c>
      <c r="D159" s="2">
        <v>6.9</v>
      </c>
      <c r="E159" s="2">
        <v>230.12</v>
      </c>
      <c r="F159" s="2" t="s">
        <v>100</v>
      </c>
      <c r="G159" s="2" t="s">
        <v>64</v>
      </c>
      <c r="H159" s="2">
        <v>65</v>
      </c>
      <c r="I159" s="2" t="s">
        <v>898</v>
      </c>
      <c r="J159" s="2" t="s">
        <v>66</v>
      </c>
      <c r="K159" s="2" t="s">
        <v>67</v>
      </c>
      <c r="L159" s="2" t="s">
        <v>971</v>
      </c>
      <c r="M159" s="2">
        <v>14604</v>
      </c>
      <c r="N159" s="2" t="s">
        <v>972</v>
      </c>
      <c r="O159" s="2" t="s">
        <v>70</v>
      </c>
      <c r="P159" s="2" t="s">
        <v>71</v>
      </c>
      <c r="Q159" s="2" t="s">
        <v>973</v>
      </c>
      <c r="R159" s="2">
        <v>725</v>
      </c>
      <c r="S159" s="2">
        <v>10</v>
      </c>
      <c r="T159" s="2" t="s">
        <v>902</v>
      </c>
      <c r="U159" s="2">
        <v>18.295324300000001</v>
      </c>
      <c r="V159" s="2">
        <v>-66.037056000000007</v>
      </c>
      <c r="W159" s="2" t="s">
        <v>528</v>
      </c>
      <c r="X159" s="2" t="s">
        <v>974</v>
      </c>
      <c r="Y159" s="2" t="s">
        <v>557</v>
      </c>
      <c r="Z159" s="2">
        <v>14604</v>
      </c>
      <c r="AA159" s="3">
        <v>42805.165277777778</v>
      </c>
      <c r="AB159" s="2">
        <v>71051</v>
      </c>
      <c r="AC159" s="2">
        <v>1352</v>
      </c>
      <c r="AD159" s="2">
        <v>22.76</v>
      </c>
      <c r="AE159" s="2">
        <v>0.09</v>
      </c>
      <c r="AF159" s="2" t="str" cm="1">
        <f t="array" ref="AF159">_xlfn.IFS(AE159=0, "No Discount ", AE159&lt;=0.08,"Low Discount", AE159&lt;=0.16,"Medium Discount", AE159&gt;0.16, "High Discount")</f>
        <v>Medium Discount</v>
      </c>
      <c r="AG159" s="2">
        <v>174366</v>
      </c>
      <c r="AH159" s="2">
        <v>252.88</v>
      </c>
      <c r="AI159" s="2">
        <v>0.03</v>
      </c>
      <c r="AJ159" s="2" t="str" cm="1">
        <f t="array" ref="AJ159">_xlfn.IFS(AI159&lt;=0, "No Profit", AI159&lt;=0.16,"Low Profit",AI159&lt;=0.32,"Medium Profit",AI159&gt;0.32,"High Profit")</f>
        <v>Low Profit</v>
      </c>
      <c r="AK159" s="2">
        <v>1</v>
      </c>
      <c r="AL159" s="2">
        <v>252.88</v>
      </c>
      <c r="AM159" s="2">
        <v>230.12</v>
      </c>
      <c r="AN159" s="2">
        <v>6.9</v>
      </c>
      <c r="AO159" s="2" t="s">
        <v>558</v>
      </c>
      <c r="AP159" s="2" t="s">
        <v>559</v>
      </c>
      <c r="AQ159" s="2" t="s">
        <v>80</v>
      </c>
      <c r="AR159" s="2" t="s">
        <v>81</v>
      </c>
      <c r="AS159" s="2">
        <v>1352</v>
      </c>
      <c r="AT159" s="2">
        <v>65</v>
      </c>
      <c r="AU159" s="2" t="s">
        <v>907</v>
      </c>
      <c r="AV159" s="2">
        <v>252.88</v>
      </c>
      <c r="AW159" s="2">
        <v>0</v>
      </c>
      <c r="AX159" s="3">
        <v>42866.165277777778</v>
      </c>
      <c r="AY159" s="2" t="s">
        <v>162</v>
      </c>
      <c r="AZ159" s="4">
        <v>42805</v>
      </c>
      <c r="BA159" s="5">
        <v>0.16527777777777777</v>
      </c>
      <c r="BB159" s="2">
        <v>2017</v>
      </c>
      <c r="BC159" s="2" t="s">
        <v>85</v>
      </c>
      <c r="BD159" s="2">
        <v>11</v>
      </c>
      <c r="BE159" s="4">
        <v>42866</v>
      </c>
      <c r="BF159" s="5">
        <v>0.16527777777777777</v>
      </c>
      <c r="BG159" s="2" t="str" cm="1">
        <f t="array" ref="BG159">_xlfn.IFS(BF159&lt;TIMEVALUE("06:00"),"Night", BF159&gt;=TIMEVALUE("21:00"),"Night",BF159&gt;=TIMEVALUE("17:00"),"Evening",BF159&gt;=TIMEVALUE("12:00"),"Afternoon", BF159&gt;=TIMEVALUE("06:00"),"Morning")</f>
        <v>Night</v>
      </c>
      <c r="BH159" s="2">
        <v>2017</v>
      </c>
      <c r="BI159" s="2" t="s">
        <v>443</v>
      </c>
      <c r="BJ159" s="2">
        <v>11</v>
      </c>
    </row>
    <row r="160" spans="1:62" x14ac:dyDescent="0.3">
      <c r="A160" s="2" t="s">
        <v>62</v>
      </c>
      <c r="B160" s="2">
        <v>4</v>
      </c>
      <c r="C160" s="2">
        <v>2</v>
      </c>
      <c r="D160" s="2">
        <v>-277.67</v>
      </c>
      <c r="E160" s="2">
        <v>411.36</v>
      </c>
      <c r="F160" s="2" t="s">
        <v>87</v>
      </c>
      <c r="G160" s="2" t="s">
        <v>88</v>
      </c>
      <c r="H160" s="2">
        <v>62</v>
      </c>
      <c r="I160" s="2" t="s">
        <v>908</v>
      </c>
      <c r="J160" s="2" t="s">
        <v>66</v>
      </c>
      <c r="K160" s="2" t="s">
        <v>67</v>
      </c>
      <c r="L160" s="2" t="s">
        <v>311</v>
      </c>
      <c r="M160" s="2">
        <v>12961</v>
      </c>
      <c r="N160" s="2" t="s">
        <v>975</v>
      </c>
      <c r="O160" s="2" t="s">
        <v>70</v>
      </c>
      <c r="P160" s="2" t="s">
        <v>71</v>
      </c>
      <c r="Q160" s="2" t="s">
        <v>976</v>
      </c>
      <c r="R160" s="2">
        <v>725</v>
      </c>
      <c r="S160" s="2">
        <v>10</v>
      </c>
      <c r="T160" s="2" t="s">
        <v>902</v>
      </c>
      <c r="U160" s="2">
        <v>18.242177999999999</v>
      </c>
      <c r="V160" s="2">
        <v>-66.037063599999996</v>
      </c>
      <c r="W160" s="2" t="s">
        <v>528</v>
      </c>
      <c r="X160" s="2" t="s">
        <v>977</v>
      </c>
      <c r="Y160" s="2" t="s">
        <v>904</v>
      </c>
      <c r="Z160" s="2">
        <v>12961</v>
      </c>
      <c r="AA160" s="3">
        <v>43018.181250000001</v>
      </c>
      <c r="AB160" s="2">
        <v>69408</v>
      </c>
      <c r="AC160" s="2">
        <v>1349</v>
      </c>
      <c r="AD160" s="2">
        <v>40.68</v>
      </c>
      <c r="AE160" s="2">
        <v>0.09</v>
      </c>
      <c r="AF160" s="2" t="str" cm="1">
        <f t="array" ref="AF160">_xlfn.IFS(AE160=0, "No Discount ", AE160&lt;=0.08,"Low Discount", AE160&lt;=0.16,"Medium Discount", AE160&gt;0.16, "High Discount")</f>
        <v>Medium Discount</v>
      </c>
      <c r="AG160" s="2">
        <v>172723</v>
      </c>
      <c r="AH160" s="2">
        <v>452.04</v>
      </c>
      <c r="AI160" s="2">
        <v>-0.68</v>
      </c>
      <c r="AJ160" s="2" t="str" cm="1">
        <f t="array" ref="AJ160">_xlfn.IFS(AI160&lt;=0, "No Profit", AI160&lt;=0.16,"Low Profit",AI160&lt;=0.32,"Medium Profit",AI160&gt;0.32,"High Profit")</f>
        <v>No Profit</v>
      </c>
      <c r="AK160" s="2">
        <v>1</v>
      </c>
      <c r="AL160" s="2">
        <v>452.04</v>
      </c>
      <c r="AM160" s="2">
        <v>411.36</v>
      </c>
      <c r="AN160" s="2">
        <v>-277.67</v>
      </c>
      <c r="AO160" s="2" t="s">
        <v>905</v>
      </c>
      <c r="AP160" s="2" t="s">
        <v>969</v>
      </c>
      <c r="AQ160" s="2" t="s">
        <v>80</v>
      </c>
      <c r="AR160" s="2" t="s">
        <v>81</v>
      </c>
      <c r="AS160" s="2">
        <v>1349</v>
      </c>
      <c r="AT160" s="2">
        <v>62</v>
      </c>
      <c r="AU160" s="2" t="s">
        <v>915</v>
      </c>
      <c r="AV160" s="2">
        <v>452.04</v>
      </c>
      <c r="AW160" s="2">
        <v>0</v>
      </c>
      <c r="AX160" s="2" t="s">
        <v>978</v>
      </c>
      <c r="AY160" s="2" t="s">
        <v>162</v>
      </c>
      <c r="AZ160" s="4">
        <v>43018</v>
      </c>
      <c r="BA160" s="5">
        <v>0.18124999999999999</v>
      </c>
      <c r="BB160" s="2">
        <v>2017</v>
      </c>
      <c r="BC160" s="2" t="s">
        <v>434</v>
      </c>
      <c r="BD160" s="2">
        <v>10</v>
      </c>
      <c r="BE160" s="4">
        <v>43022</v>
      </c>
      <c r="BF160" s="5">
        <v>0.18124999999999999</v>
      </c>
      <c r="BG160" s="2" t="str" cm="1">
        <f t="array" ref="BG160">_xlfn.IFS(BF160&lt;TIMEVALUE("06:00"),"Night", BF160&gt;=TIMEVALUE("21:00"),"Night",BF160&gt;=TIMEVALUE("17:00"),"Evening",BF160&gt;=TIMEVALUE("12:00"),"Afternoon", BF160&gt;=TIMEVALUE("06:00"),"Morning")</f>
        <v>Night</v>
      </c>
      <c r="BH160" s="2">
        <v>2017</v>
      </c>
      <c r="BI160" s="2" t="s">
        <v>434</v>
      </c>
      <c r="BJ160" s="2">
        <v>14</v>
      </c>
    </row>
    <row r="161" spans="1:62" x14ac:dyDescent="0.3">
      <c r="A161" s="2" t="s">
        <v>62</v>
      </c>
      <c r="B161" s="2">
        <v>4</v>
      </c>
      <c r="C161" s="2">
        <v>2</v>
      </c>
      <c r="D161" s="2">
        <v>105.86</v>
      </c>
      <c r="E161" s="2">
        <v>230.12</v>
      </c>
      <c r="F161" s="2" t="s">
        <v>87</v>
      </c>
      <c r="G161" s="2" t="s">
        <v>88</v>
      </c>
      <c r="H161" s="2">
        <v>65</v>
      </c>
      <c r="I161" s="2" t="s">
        <v>898</v>
      </c>
      <c r="J161" s="2" t="s">
        <v>66</v>
      </c>
      <c r="K161" s="2" t="s">
        <v>67</v>
      </c>
      <c r="L161" s="2" t="s">
        <v>979</v>
      </c>
      <c r="M161" s="2">
        <v>14676</v>
      </c>
      <c r="N161" s="2" t="s">
        <v>980</v>
      </c>
      <c r="O161" s="2" t="s">
        <v>70</v>
      </c>
      <c r="P161" s="2" t="s">
        <v>71</v>
      </c>
      <c r="Q161" s="2" t="s">
        <v>981</v>
      </c>
      <c r="R161" s="2">
        <v>725</v>
      </c>
      <c r="S161" s="2">
        <v>10</v>
      </c>
      <c r="T161" s="2" t="s">
        <v>902</v>
      </c>
      <c r="U161" s="2">
        <v>18.255697300000001</v>
      </c>
      <c r="V161" s="2">
        <v>-66.037063599999996</v>
      </c>
      <c r="W161" s="2" t="s">
        <v>528</v>
      </c>
      <c r="X161" s="2" t="s">
        <v>982</v>
      </c>
      <c r="Y161" s="2" t="s">
        <v>983</v>
      </c>
      <c r="Z161" s="2">
        <v>14676</v>
      </c>
      <c r="AA161" s="3">
        <v>42836.216666666667</v>
      </c>
      <c r="AB161" s="2">
        <v>71123</v>
      </c>
      <c r="AC161" s="2">
        <v>1352</v>
      </c>
      <c r="AD161" s="2">
        <v>22.76</v>
      </c>
      <c r="AE161" s="2">
        <v>0.09</v>
      </c>
      <c r="AF161" s="2" t="str" cm="1">
        <f t="array" ref="AF161">_xlfn.IFS(AE161=0, "No Discount ", AE161&lt;=0.08,"Low Discount", AE161&lt;=0.16,"Medium Discount", AE161&gt;0.16, "High Discount")</f>
        <v>Medium Discount</v>
      </c>
      <c r="AG161" s="2">
        <v>174438</v>
      </c>
      <c r="AH161" s="2">
        <v>252.88</v>
      </c>
      <c r="AI161" s="2">
        <v>0.46</v>
      </c>
      <c r="AJ161" s="2" t="str" cm="1">
        <f t="array" ref="AJ161">_xlfn.IFS(AI161&lt;=0, "No Profit", AI161&lt;=0.16,"Low Profit",AI161&lt;=0.32,"Medium Profit",AI161&gt;0.32,"High Profit")</f>
        <v>High Profit</v>
      </c>
      <c r="AK161" s="2">
        <v>1</v>
      </c>
      <c r="AL161" s="2">
        <v>252.88</v>
      </c>
      <c r="AM161" s="2">
        <v>230.12</v>
      </c>
      <c r="AN161" s="2">
        <v>105.86</v>
      </c>
      <c r="AO161" s="2" t="s">
        <v>905</v>
      </c>
      <c r="AP161" s="2" t="s">
        <v>982</v>
      </c>
      <c r="AQ161" s="2" t="s">
        <v>80</v>
      </c>
      <c r="AR161" s="2" t="s">
        <v>81</v>
      </c>
      <c r="AS161" s="2">
        <v>1352</v>
      </c>
      <c r="AT161" s="2">
        <v>65</v>
      </c>
      <c r="AU161" s="2" t="s">
        <v>907</v>
      </c>
      <c r="AV161" s="2">
        <v>252.88</v>
      </c>
      <c r="AW161" s="2">
        <v>0</v>
      </c>
      <c r="AX161" s="3">
        <v>42958.216666666667</v>
      </c>
      <c r="AY161" s="2" t="s">
        <v>162</v>
      </c>
      <c r="AZ161" s="4">
        <v>42836</v>
      </c>
      <c r="BA161" s="5">
        <v>0.21666666666666667</v>
      </c>
      <c r="BB161" s="2">
        <v>2017</v>
      </c>
      <c r="BC161" s="2" t="s">
        <v>487</v>
      </c>
      <c r="BD161" s="2">
        <v>11</v>
      </c>
      <c r="BE161" s="4">
        <v>42958</v>
      </c>
      <c r="BF161" s="5">
        <v>0.21666666666666667</v>
      </c>
      <c r="BG161" s="2" t="str" cm="1">
        <f t="array" ref="BG161">_xlfn.IFS(BF161&lt;TIMEVALUE("06:00"),"Night", BF161&gt;=TIMEVALUE("21:00"),"Night",BF161&gt;=TIMEVALUE("17:00"),"Evening",BF161&gt;=TIMEVALUE("12:00"),"Afternoon", BF161&gt;=TIMEVALUE("06:00"),"Morning")</f>
        <v>Night</v>
      </c>
      <c r="BH161" s="2">
        <v>2017</v>
      </c>
      <c r="BI161" s="2" t="s">
        <v>482</v>
      </c>
      <c r="BJ161" s="2">
        <v>11</v>
      </c>
    </row>
    <row r="162" spans="1:62" x14ac:dyDescent="0.3">
      <c r="A162" s="2" t="s">
        <v>62</v>
      </c>
      <c r="B162" s="2">
        <v>5</v>
      </c>
      <c r="C162" s="2">
        <v>2</v>
      </c>
      <c r="D162" s="2">
        <v>86</v>
      </c>
      <c r="E162" s="2">
        <v>1365</v>
      </c>
      <c r="F162" s="2" t="s">
        <v>87</v>
      </c>
      <c r="G162" s="2" t="s">
        <v>88</v>
      </c>
      <c r="H162" s="2">
        <v>64</v>
      </c>
      <c r="I162" s="2" t="s">
        <v>943</v>
      </c>
      <c r="J162" s="2" t="s">
        <v>66</v>
      </c>
      <c r="K162" s="2" t="s">
        <v>67</v>
      </c>
      <c r="L162" s="2" t="s">
        <v>984</v>
      </c>
      <c r="M162" s="2">
        <v>14087</v>
      </c>
      <c r="N162" s="2" t="s">
        <v>985</v>
      </c>
      <c r="O162" s="2" t="s">
        <v>70</v>
      </c>
      <c r="P162" s="2" t="s">
        <v>71</v>
      </c>
      <c r="Q162" s="2" t="s">
        <v>986</v>
      </c>
      <c r="R162" s="2">
        <v>725</v>
      </c>
      <c r="S162" s="2">
        <v>10</v>
      </c>
      <c r="T162" s="2" t="s">
        <v>902</v>
      </c>
      <c r="U162" s="2">
        <v>18.266399400000001</v>
      </c>
      <c r="V162" s="2">
        <v>-66.037063599999996</v>
      </c>
      <c r="W162" s="2" t="s">
        <v>528</v>
      </c>
      <c r="X162" s="2" t="s">
        <v>987</v>
      </c>
      <c r="Y162" s="2" t="s">
        <v>536</v>
      </c>
      <c r="Z162" s="2">
        <v>14087</v>
      </c>
      <c r="AA162" s="2" t="s">
        <v>988</v>
      </c>
      <c r="AB162" s="2">
        <v>70534</v>
      </c>
      <c r="AC162" s="2">
        <v>1351</v>
      </c>
      <c r="AD162" s="2">
        <v>135</v>
      </c>
      <c r="AE162" s="2">
        <v>0.09</v>
      </c>
      <c r="AF162" s="2" t="str" cm="1">
        <f t="array" ref="AF162">_xlfn.IFS(AE162=0, "No Discount ", AE162&lt;=0.08,"Low Discount", AE162&lt;=0.16,"Medium Discount", AE162&gt;0.16, "High Discount")</f>
        <v>Medium Discount</v>
      </c>
      <c r="AG162" s="2">
        <v>173849</v>
      </c>
      <c r="AH162" s="2">
        <v>1500</v>
      </c>
      <c r="AI162" s="2">
        <v>0.06</v>
      </c>
      <c r="AJ162" s="2" t="str" cm="1">
        <f t="array" ref="AJ162">_xlfn.IFS(AI162&lt;=0, "No Profit", AI162&lt;=0.16,"Low Profit",AI162&lt;=0.32,"Medium Profit",AI162&gt;0.32,"High Profit")</f>
        <v>Low Profit</v>
      </c>
      <c r="AK162" s="2">
        <v>1</v>
      </c>
      <c r="AL162" s="2">
        <v>1500</v>
      </c>
      <c r="AM162" s="2">
        <v>1365</v>
      </c>
      <c r="AN162" s="2">
        <v>86</v>
      </c>
      <c r="AO162" s="2" t="s">
        <v>531</v>
      </c>
      <c r="AP162" s="2" t="s">
        <v>568</v>
      </c>
      <c r="AQ162" s="2" t="s">
        <v>80</v>
      </c>
      <c r="AR162" s="2" t="s">
        <v>81</v>
      </c>
      <c r="AS162" s="2">
        <v>1351</v>
      </c>
      <c r="AT162" s="2">
        <v>64</v>
      </c>
      <c r="AU162" s="2" t="s">
        <v>948</v>
      </c>
      <c r="AV162" s="2">
        <v>1500</v>
      </c>
      <c r="AW162" s="2">
        <v>0</v>
      </c>
      <c r="AX162" s="2" t="s">
        <v>989</v>
      </c>
      <c r="AY162" s="2" t="s">
        <v>162</v>
      </c>
      <c r="AZ162" s="4">
        <v>43034</v>
      </c>
      <c r="BA162" s="5">
        <v>0.61875000000000002</v>
      </c>
      <c r="BB162" s="2">
        <v>2017</v>
      </c>
      <c r="BC162" s="2" t="s">
        <v>434</v>
      </c>
      <c r="BD162" s="2">
        <v>26</v>
      </c>
      <c r="BE162" s="4">
        <v>43039</v>
      </c>
      <c r="BF162" s="5">
        <v>0.61875000000000002</v>
      </c>
      <c r="BG162" s="2" t="str" cm="1">
        <f t="array" ref="BG162">_xlfn.IFS(BF162&lt;TIMEVALUE("06:00"),"Night", BF162&gt;=TIMEVALUE("21:00"),"Night",BF162&gt;=TIMEVALUE("17:00"),"Evening",BF162&gt;=TIMEVALUE("12:00"),"Afternoon", BF162&gt;=TIMEVALUE("06:00"),"Morning")</f>
        <v>Afternoon</v>
      </c>
      <c r="BH162" s="2">
        <v>2017</v>
      </c>
      <c r="BI162" s="2" t="s">
        <v>434</v>
      </c>
      <c r="BJ162" s="2">
        <v>31</v>
      </c>
    </row>
    <row r="163" spans="1:62" x14ac:dyDescent="0.3">
      <c r="A163" s="2" t="s">
        <v>62</v>
      </c>
      <c r="B163" s="2">
        <v>2</v>
      </c>
      <c r="C163" s="2">
        <v>2</v>
      </c>
      <c r="D163" s="2">
        <v>195.28</v>
      </c>
      <c r="E163" s="2">
        <v>406.84</v>
      </c>
      <c r="F163" s="2" t="s">
        <v>100</v>
      </c>
      <c r="G163" s="2" t="s">
        <v>64</v>
      </c>
      <c r="H163" s="2">
        <v>62</v>
      </c>
      <c r="I163" s="2" t="s">
        <v>908</v>
      </c>
      <c r="J163" s="2" t="s">
        <v>66</v>
      </c>
      <c r="K163" s="2" t="s">
        <v>67</v>
      </c>
      <c r="L163" s="2" t="s">
        <v>990</v>
      </c>
      <c r="M163" s="2">
        <v>13194</v>
      </c>
      <c r="N163" s="2" t="s">
        <v>991</v>
      </c>
      <c r="O163" s="2" t="s">
        <v>70</v>
      </c>
      <c r="P163" s="2" t="s">
        <v>71</v>
      </c>
      <c r="Q163" s="2" t="s">
        <v>992</v>
      </c>
      <c r="R163" s="2">
        <v>725</v>
      </c>
      <c r="S163" s="2">
        <v>10</v>
      </c>
      <c r="T163" s="2" t="s">
        <v>902</v>
      </c>
      <c r="U163" s="2">
        <v>18.235242800000002</v>
      </c>
      <c r="V163" s="2">
        <v>-66.037056000000007</v>
      </c>
      <c r="W163" s="2" t="s">
        <v>528</v>
      </c>
      <c r="X163" s="2" t="s">
        <v>993</v>
      </c>
      <c r="Y163" s="2" t="s">
        <v>983</v>
      </c>
      <c r="Z163" s="2">
        <v>13194</v>
      </c>
      <c r="AA163" s="2" t="s">
        <v>994</v>
      </c>
      <c r="AB163" s="2">
        <v>69641</v>
      </c>
      <c r="AC163" s="2">
        <v>1349</v>
      </c>
      <c r="AD163" s="2">
        <v>45.2</v>
      </c>
      <c r="AE163" s="2">
        <v>0.1</v>
      </c>
      <c r="AF163" s="2" t="str" cm="1">
        <f t="array" ref="AF163">_xlfn.IFS(AE163=0, "No Discount ", AE163&lt;=0.08,"Low Discount", AE163&lt;=0.16,"Medium Discount", AE163&gt;0.16, "High Discount")</f>
        <v>Medium Discount</v>
      </c>
      <c r="AG163" s="2">
        <v>172956</v>
      </c>
      <c r="AH163" s="2">
        <v>452.04</v>
      </c>
      <c r="AI163" s="2">
        <v>0.48</v>
      </c>
      <c r="AJ163" s="2" t="str" cm="1">
        <f t="array" ref="AJ163">_xlfn.IFS(AI163&lt;=0, "No Profit", AI163&lt;=0.16,"Low Profit",AI163&lt;=0.32,"Medium Profit",AI163&gt;0.32,"High Profit")</f>
        <v>High Profit</v>
      </c>
      <c r="AK163" s="2">
        <v>1</v>
      </c>
      <c r="AL163" s="2">
        <v>452.04</v>
      </c>
      <c r="AM163" s="2">
        <v>406.84</v>
      </c>
      <c r="AN163" s="2">
        <v>195.28</v>
      </c>
      <c r="AO163" s="2" t="s">
        <v>905</v>
      </c>
      <c r="AP163" s="2" t="s">
        <v>995</v>
      </c>
      <c r="AQ163" s="2" t="s">
        <v>80</v>
      </c>
      <c r="AR163" s="2" t="s">
        <v>81</v>
      </c>
      <c r="AS163" s="2">
        <v>1349</v>
      </c>
      <c r="AT163" s="2">
        <v>62</v>
      </c>
      <c r="AU163" s="2" t="s">
        <v>915</v>
      </c>
      <c r="AV163" s="2">
        <v>452.04</v>
      </c>
      <c r="AW163" s="2">
        <v>0</v>
      </c>
      <c r="AX163" s="2" t="s">
        <v>996</v>
      </c>
      <c r="AY163" s="2" t="s">
        <v>162</v>
      </c>
      <c r="AZ163" s="4">
        <v>43021</v>
      </c>
      <c r="BA163" s="5">
        <v>0.58263888888888893</v>
      </c>
      <c r="BB163" s="2">
        <v>2017</v>
      </c>
      <c r="BC163" s="2" t="s">
        <v>434</v>
      </c>
      <c r="BD163" s="2">
        <v>13</v>
      </c>
      <c r="BE163" s="4">
        <v>43023</v>
      </c>
      <c r="BF163" s="5">
        <v>0.58263888888888893</v>
      </c>
      <c r="BG163" s="2" t="str" cm="1">
        <f t="array" ref="BG163">_xlfn.IFS(BF163&lt;TIMEVALUE("06:00"),"Night", BF163&gt;=TIMEVALUE("21:00"),"Night",BF163&gt;=TIMEVALUE("17:00"),"Evening",BF163&gt;=TIMEVALUE("12:00"),"Afternoon", BF163&gt;=TIMEVALUE("06:00"),"Morning")</f>
        <v>Afternoon</v>
      </c>
      <c r="BH163" s="2">
        <v>2017</v>
      </c>
      <c r="BI163" s="2" t="s">
        <v>434</v>
      </c>
      <c r="BJ163" s="2">
        <v>15</v>
      </c>
    </row>
    <row r="164" spans="1:62" x14ac:dyDescent="0.3">
      <c r="A164" s="2" t="s">
        <v>62</v>
      </c>
      <c r="B164" s="2">
        <v>6</v>
      </c>
      <c r="C164" s="2">
        <v>2</v>
      </c>
      <c r="D164" s="2">
        <v>22.76</v>
      </c>
      <c r="E164" s="2">
        <v>227.59</v>
      </c>
      <c r="F164" s="2" t="s">
        <v>87</v>
      </c>
      <c r="G164" s="2" t="s">
        <v>88</v>
      </c>
      <c r="H164" s="2">
        <v>65</v>
      </c>
      <c r="I164" s="2" t="s">
        <v>898</v>
      </c>
      <c r="J164" s="2" t="s">
        <v>66</v>
      </c>
      <c r="K164" s="2" t="s">
        <v>67</v>
      </c>
      <c r="L164" s="2" t="s">
        <v>997</v>
      </c>
      <c r="M164" s="2">
        <v>14513</v>
      </c>
      <c r="N164" s="2" t="s">
        <v>293</v>
      </c>
      <c r="O164" s="2" t="s">
        <v>70</v>
      </c>
      <c r="P164" s="2" t="s">
        <v>71</v>
      </c>
      <c r="Q164" s="2" t="s">
        <v>998</v>
      </c>
      <c r="R164" s="2">
        <v>725</v>
      </c>
      <c r="S164" s="2">
        <v>10</v>
      </c>
      <c r="T164" s="2" t="s">
        <v>902</v>
      </c>
      <c r="U164" s="2">
        <v>18.2578678</v>
      </c>
      <c r="V164" s="2">
        <v>-66.037056000000007</v>
      </c>
      <c r="W164" s="2" t="s">
        <v>528</v>
      </c>
      <c r="X164" s="2" t="s">
        <v>999</v>
      </c>
      <c r="Y164" s="2" t="s">
        <v>536</v>
      </c>
      <c r="Z164" s="2">
        <v>14513</v>
      </c>
      <c r="AA164" s="3">
        <v>42746.836805555555</v>
      </c>
      <c r="AB164" s="2">
        <v>70960</v>
      </c>
      <c r="AC164" s="2">
        <v>1352</v>
      </c>
      <c r="AD164" s="2">
        <v>25.29</v>
      </c>
      <c r="AE164" s="2">
        <v>0.1</v>
      </c>
      <c r="AF164" s="2" t="str" cm="1">
        <f t="array" ref="AF164">_xlfn.IFS(AE164=0, "No Discount ", AE164&lt;=0.08,"Low Discount", AE164&lt;=0.16,"Medium Discount", AE164&gt;0.16, "High Discount")</f>
        <v>Medium Discount</v>
      </c>
      <c r="AG164" s="2">
        <v>174275</v>
      </c>
      <c r="AH164" s="2">
        <v>252.88</v>
      </c>
      <c r="AI164" s="2">
        <v>0.1</v>
      </c>
      <c r="AJ164" s="2" t="str" cm="1">
        <f t="array" ref="AJ164">_xlfn.IFS(AI164&lt;=0, "No Profit", AI164&lt;=0.16,"Low Profit",AI164&lt;=0.32,"Medium Profit",AI164&gt;0.32,"High Profit")</f>
        <v>Low Profit</v>
      </c>
      <c r="AK164" s="2">
        <v>1</v>
      </c>
      <c r="AL164" s="2">
        <v>252.88</v>
      </c>
      <c r="AM164" s="2">
        <v>227.59</v>
      </c>
      <c r="AN164" s="2">
        <v>22.76</v>
      </c>
      <c r="AO164" s="2" t="s">
        <v>531</v>
      </c>
      <c r="AP164" s="2" t="s">
        <v>1000</v>
      </c>
      <c r="AQ164" s="2" t="s">
        <v>80</v>
      </c>
      <c r="AR164" s="2" t="s">
        <v>81</v>
      </c>
      <c r="AS164" s="2">
        <v>1352</v>
      </c>
      <c r="AT164" s="2">
        <v>65</v>
      </c>
      <c r="AU164" s="2" t="s">
        <v>907</v>
      </c>
      <c r="AV164" s="2">
        <v>252.88</v>
      </c>
      <c r="AW164" s="2">
        <v>0</v>
      </c>
      <c r="AX164" s="3">
        <v>42927.836805555555</v>
      </c>
      <c r="AY164" s="2" t="s">
        <v>162</v>
      </c>
      <c r="AZ164" s="4">
        <v>42746</v>
      </c>
      <c r="BA164" s="5">
        <v>0.83680555555555558</v>
      </c>
      <c r="BB164" s="2">
        <v>2017</v>
      </c>
      <c r="BC164" s="2" t="s">
        <v>84</v>
      </c>
      <c r="BD164" s="2">
        <v>11</v>
      </c>
      <c r="BE164" s="4">
        <v>42927</v>
      </c>
      <c r="BF164" s="5">
        <v>0.83680555555555558</v>
      </c>
      <c r="BG164" s="2" t="str" cm="1">
        <f t="array" ref="BG164">_xlfn.IFS(BF164&lt;TIMEVALUE("06:00"),"Night", BF164&gt;=TIMEVALUE("21:00"),"Night",BF164&gt;=TIMEVALUE("17:00"),"Evening",BF164&gt;=TIMEVALUE("12:00"),"Afternoon", BF164&gt;=TIMEVALUE("06:00"),"Morning")</f>
        <v>Evening</v>
      </c>
      <c r="BH164" s="2">
        <v>2017</v>
      </c>
      <c r="BI164" s="2" t="s">
        <v>533</v>
      </c>
      <c r="BJ164" s="2">
        <v>11</v>
      </c>
    </row>
    <row r="165" spans="1:62" x14ac:dyDescent="0.3">
      <c r="A165" s="2" t="s">
        <v>62</v>
      </c>
      <c r="B165" s="2">
        <v>4</v>
      </c>
      <c r="C165" s="2">
        <v>2</v>
      </c>
      <c r="D165" s="2">
        <v>180.59</v>
      </c>
      <c r="E165" s="2">
        <v>384.23</v>
      </c>
      <c r="F165" s="2" t="s">
        <v>87</v>
      </c>
      <c r="G165" s="2" t="s">
        <v>88</v>
      </c>
      <c r="H165" s="2">
        <v>62</v>
      </c>
      <c r="I165" s="2" t="s">
        <v>908</v>
      </c>
      <c r="J165" s="2" t="s">
        <v>66</v>
      </c>
      <c r="K165" s="2" t="s">
        <v>67</v>
      </c>
      <c r="L165" s="2" t="s">
        <v>1001</v>
      </c>
      <c r="M165" s="2">
        <v>13461</v>
      </c>
      <c r="N165" s="2" t="s">
        <v>1002</v>
      </c>
      <c r="O165" s="2" t="s">
        <v>70</v>
      </c>
      <c r="P165" s="2" t="s">
        <v>71</v>
      </c>
      <c r="Q165" s="2" t="s">
        <v>589</v>
      </c>
      <c r="R165" s="2">
        <v>725</v>
      </c>
      <c r="S165" s="2">
        <v>10</v>
      </c>
      <c r="T165" s="2" t="s">
        <v>902</v>
      </c>
      <c r="U165" s="2">
        <v>18.223379099999999</v>
      </c>
      <c r="V165" s="2">
        <v>-66.037056000000007</v>
      </c>
      <c r="W165" s="2" t="s">
        <v>528</v>
      </c>
      <c r="X165" s="2" t="s">
        <v>1003</v>
      </c>
      <c r="Y165" s="2" t="s">
        <v>557</v>
      </c>
      <c r="Z165" s="2">
        <v>13461</v>
      </c>
      <c r="AA165" s="2" t="s">
        <v>1004</v>
      </c>
      <c r="AB165" s="2">
        <v>69908</v>
      </c>
      <c r="AC165" s="2">
        <v>1349</v>
      </c>
      <c r="AD165" s="2">
        <v>67.81</v>
      </c>
      <c r="AE165" s="2">
        <v>0.15</v>
      </c>
      <c r="AF165" s="2" t="str" cm="1">
        <f t="array" ref="AF165">_xlfn.IFS(AE165=0, "No Discount ", AE165&lt;=0.08,"Low Discount", AE165&lt;=0.16,"Medium Discount", AE165&gt;0.16, "High Discount")</f>
        <v>Medium Discount</v>
      </c>
      <c r="AG165" s="2">
        <v>173223</v>
      </c>
      <c r="AH165" s="2">
        <v>452.04</v>
      </c>
      <c r="AI165" s="2">
        <v>0.47</v>
      </c>
      <c r="AJ165" s="2" t="str" cm="1">
        <f t="array" ref="AJ165">_xlfn.IFS(AI165&lt;=0, "No Profit", AI165&lt;=0.16,"Low Profit",AI165&lt;=0.32,"Medium Profit",AI165&gt;0.32,"High Profit")</f>
        <v>High Profit</v>
      </c>
      <c r="AK165" s="2">
        <v>1</v>
      </c>
      <c r="AL165" s="2">
        <v>452.04</v>
      </c>
      <c r="AM165" s="2">
        <v>384.23</v>
      </c>
      <c r="AN165" s="2">
        <v>180.59</v>
      </c>
      <c r="AO165" s="2" t="s">
        <v>558</v>
      </c>
      <c r="AP165" s="2" t="s">
        <v>559</v>
      </c>
      <c r="AQ165" s="2" t="s">
        <v>80</v>
      </c>
      <c r="AR165" s="2" t="s">
        <v>81</v>
      </c>
      <c r="AS165" s="2">
        <v>1349</v>
      </c>
      <c r="AT165" s="2">
        <v>62</v>
      </c>
      <c r="AU165" s="2" t="s">
        <v>915</v>
      </c>
      <c r="AV165" s="2">
        <v>452.04</v>
      </c>
      <c r="AW165" s="2">
        <v>0</v>
      </c>
      <c r="AX165" s="2" t="s">
        <v>1005</v>
      </c>
      <c r="AY165" s="2" t="s">
        <v>162</v>
      </c>
      <c r="AZ165" s="4">
        <v>43025</v>
      </c>
      <c r="BA165" s="5">
        <v>0.48055555555555557</v>
      </c>
      <c r="BB165" s="2">
        <v>2017</v>
      </c>
      <c r="BC165" s="2" t="s">
        <v>434</v>
      </c>
      <c r="BD165" s="2">
        <v>17</v>
      </c>
      <c r="BE165" s="4">
        <v>43029</v>
      </c>
      <c r="BF165" s="5">
        <v>0.48055555555555557</v>
      </c>
      <c r="BG165" s="2" t="str" cm="1">
        <f t="array" ref="BG165">_xlfn.IFS(BF165&lt;TIMEVALUE("06:00"),"Night", BF165&gt;=TIMEVALUE("21:00"),"Night",BF165&gt;=TIMEVALUE("17:00"),"Evening",BF165&gt;=TIMEVALUE("12:00"),"Afternoon", BF165&gt;=TIMEVALUE("06:00"),"Morning")</f>
        <v>Morning</v>
      </c>
      <c r="BH165" s="2">
        <v>2017</v>
      </c>
      <c r="BI165" s="2" t="s">
        <v>434</v>
      </c>
      <c r="BJ165" s="2">
        <v>21</v>
      </c>
    </row>
    <row r="166" spans="1:62" x14ac:dyDescent="0.3">
      <c r="A166" s="2" t="s">
        <v>62</v>
      </c>
      <c r="B166" s="2">
        <v>3</v>
      </c>
      <c r="C166" s="2">
        <v>2</v>
      </c>
      <c r="D166" s="2">
        <v>101.03</v>
      </c>
      <c r="E166" s="2">
        <v>214.95</v>
      </c>
      <c r="F166" s="2" t="s">
        <v>87</v>
      </c>
      <c r="G166" s="2" t="s">
        <v>88</v>
      </c>
      <c r="H166" s="2">
        <v>65</v>
      </c>
      <c r="I166" s="2" t="s">
        <v>898</v>
      </c>
      <c r="J166" s="2" t="s">
        <v>66</v>
      </c>
      <c r="K166" s="2" t="s">
        <v>67</v>
      </c>
      <c r="L166" s="2" t="s">
        <v>997</v>
      </c>
      <c r="M166" s="2">
        <v>14510</v>
      </c>
      <c r="N166" s="2" t="s">
        <v>1006</v>
      </c>
      <c r="O166" s="2" t="s">
        <v>70</v>
      </c>
      <c r="P166" s="2" t="s">
        <v>71</v>
      </c>
      <c r="Q166" s="2" t="s">
        <v>1007</v>
      </c>
      <c r="R166" s="2">
        <v>725</v>
      </c>
      <c r="S166" s="2">
        <v>10</v>
      </c>
      <c r="T166" s="2" t="s">
        <v>902</v>
      </c>
      <c r="U166" s="2">
        <v>18.231075300000001</v>
      </c>
      <c r="V166" s="2">
        <v>-66.037056000000007</v>
      </c>
      <c r="W166" s="2" t="s">
        <v>528</v>
      </c>
      <c r="X166" s="2" t="s">
        <v>1008</v>
      </c>
      <c r="Y166" s="2" t="s">
        <v>536</v>
      </c>
      <c r="Z166" s="2">
        <v>14510</v>
      </c>
      <c r="AA166" s="3">
        <v>42746.793055555558</v>
      </c>
      <c r="AB166" s="2">
        <v>70957</v>
      </c>
      <c r="AC166" s="2">
        <v>1352</v>
      </c>
      <c r="AD166" s="2">
        <v>37.93</v>
      </c>
      <c r="AE166" s="2">
        <v>0.15</v>
      </c>
      <c r="AF166" s="2" t="str" cm="1">
        <f t="array" ref="AF166">_xlfn.IFS(AE166=0, "No Discount ", AE166&lt;=0.08,"Low Discount", AE166&lt;=0.16,"Medium Discount", AE166&gt;0.16, "High Discount")</f>
        <v>Medium Discount</v>
      </c>
      <c r="AG166" s="2">
        <v>174272</v>
      </c>
      <c r="AH166" s="2">
        <v>252.88</v>
      </c>
      <c r="AI166" s="2">
        <v>0.47</v>
      </c>
      <c r="AJ166" s="2" t="str" cm="1">
        <f t="array" ref="AJ166">_xlfn.IFS(AI166&lt;=0, "No Profit", AI166&lt;=0.16,"Low Profit",AI166&lt;=0.32,"Medium Profit",AI166&gt;0.32,"High Profit")</f>
        <v>High Profit</v>
      </c>
      <c r="AK166" s="2">
        <v>1</v>
      </c>
      <c r="AL166" s="2">
        <v>252.88</v>
      </c>
      <c r="AM166" s="2">
        <v>214.95</v>
      </c>
      <c r="AN166" s="2">
        <v>101.03</v>
      </c>
      <c r="AO166" s="2" t="s">
        <v>531</v>
      </c>
      <c r="AP166" s="2" t="s">
        <v>538</v>
      </c>
      <c r="AQ166" s="2" t="s">
        <v>80</v>
      </c>
      <c r="AR166" s="2" t="s">
        <v>81</v>
      </c>
      <c r="AS166" s="2">
        <v>1352</v>
      </c>
      <c r="AT166" s="2">
        <v>65</v>
      </c>
      <c r="AU166" s="2" t="s">
        <v>907</v>
      </c>
      <c r="AV166" s="2">
        <v>252.88</v>
      </c>
      <c r="AW166" s="2">
        <v>0</v>
      </c>
      <c r="AX166" s="3">
        <v>42836.793055555558</v>
      </c>
      <c r="AY166" s="2" t="s">
        <v>162</v>
      </c>
      <c r="AZ166" s="4">
        <v>42746</v>
      </c>
      <c r="BA166" s="5">
        <v>0.79305555555555551</v>
      </c>
      <c r="BB166" s="2">
        <v>2017</v>
      </c>
      <c r="BC166" s="2" t="s">
        <v>84</v>
      </c>
      <c r="BD166" s="2">
        <v>11</v>
      </c>
      <c r="BE166" s="4">
        <v>42836</v>
      </c>
      <c r="BF166" s="5">
        <v>0.79305555555555551</v>
      </c>
      <c r="BG166" s="2" t="str" cm="1">
        <f t="array" ref="BG166">_xlfn.IFS(BF166&lt;TIMEVALUE("06:00"),"Night", BF166&gt;=TIMEVALUE("21:00"),"Night",BF166&gt;=TIMEVALUE("17:00"),"Evening",BF166&gt;=TIMEVALUE("12:00"),"Afternoon", BF166&gt;=TIMEVALUE("06:00"),"Morning")</f>
        <v>Evening</v>
      </c>
      <c r="BH166" s="2">
        <v>2017</v>
      </c>
      <c r="BI166" s="2" t="s">
        <v>487</v>
      </c>
      <c r="BJ166" s="2">
        <v>11</v>
      </c>
    </row>
    <row r="167" spans="1:62" x14ac:dyDescent="0.3">
      <c r="A167" s="2" t="s">
        <v>62</v>
      </c>
      <c r="B167" s="2">
        <v>3</v>
      </c>
      <c r="C167" s="2">
        <v>2</v>
      </c>
      <c r="D167" s="2">
        <v>118.85</v>
      </c>
      <c r="E167" s="2">
        <v>379.71</v>
      </c>
      <c r="F167" s="2" t="s">
        <v>87</v>
      </c>
      <c r="G167" s="2" t="s">
        <v>88</v>
      </c>
      <c r="H167" s="2">
        <v>62</v>
      </c>
      <c r="I167" s="2" t="s">
        <v>908</v>
      </c>
      <c r="J167" s="2" t="s">
        <v>66</v>
      </c>
      <c r="K167" s="2" t="s">
        <v>67</v>
      </c>
      <c r="L167" s="2" t="s">
        <v>1009</v>
      </c>
      <c r="M167" s="2">
        <v>13190</v>
      </c>
      <c r="N167" s="2" t="s">
        <v>1010</v>
      </c>
      <c r="O167" s="2" t="s">
        <v>70</v>
      </c>
      <c r="P167" s="2" t="s">
        <v>71</v>
      </c>
      <c r="Q167" s="2" t="s">
        <v>1011</v>
      </c>
      <c r="R167" s="2">
        <v>725</v>
      </c>
      <c r="S167" s="2">
        <v>10</v>
      </c>
      <c r="T167" s="2" t="s">
        <v>902</v>
      </c>
      <c r="U167" s="2">
        <v>18.268629099999998</v>
      </c>
      <c r="V167" s="2">
        <v>-66.037056000000007</v>
      </c>
      <c r="W167" s="2" t="s">
        <v>528</v>
      </c>
      <c r="X167" s="2" t="s">
        <v>1012</v>
      </c>
      <c r="Y167" s="2" t="s">
        <v>536</v>
      </c>
      <c r="Z167" s="2">
        <v>13190</v>
      </c>
      <c r="AA167" s="2" t="s">
        <v>1013</v>
      </c>
      <c r="AB167" s="2">
        <v>69637</v>
      </c>
      <c r="AC167" s="2">
        <v>1349</v>
      </c>
      <c r="AD167" s="2">
        <v>72.33</v>
      </c>
      <c r="AE167" s="2">
        <v>0.16</v>
      </c>
      <c r="AF167" s="2" t="str" cm="1">
        <f t="array" ref="AF167">_xlfn.IFS(AE167=0, "No Discount ", AE167&lt;=0.08,"Low Discount", AE167&lt;=0.16,"Medium Discount", AE167&gt;0.16, "High Discount")</f>
        <v>Medium Discount</v>
      </c>
      <c r="AG167" s="2">
        <v>172952</v>
      </c>
      <c r="AH167" s="2">
        <v>452.04</v>
      </c>
      <c r="AI167" s="2">
        <v>0.31</v>
      </c>
      <c r="AJ167" s="2" t="str" cm="1">
        <f t="array" ref="AJ167">_xlfn.IFS(AI167&lt;=0, "No Profit", AI167&lt;=0.16,"Low Profit",AI167&lt;=0.32,"Medium Profit",AI167&gt;0.32,"High Profit")</f>
        <v>Medium Profit</v>
      </c>
      <c r="AK167" s="2">
        <v>1</v>
      </c>
      <c r="AL167" s="2">
        <v>452.04</v>
      </c>
      <c r="AM167" s="2">
        <v>379.71</v>
      </c>
      <c r="AN167" s="2">
        <v>118.85</v>
      </c>
      <c r="AO167" s="2" t="s">
        <v>531</v>
      </c>
      <c r="AP167" s="2" t="s">
        <v>1014</v>
      </c>
      <c r="AQ167" s="2" t="s">
        <v>80</v>
      </c>
      <c r="AR167" s="2" t="s">
        <v>81</v>
      </c>
      <c r="AS167" s="2">
        <v>1349</v>
      </c>
      <c r="AT167" s="2">
        <v>62</v>
      </c>
      <c r="AU167" s="2" t="s">
        <v>915</v>
      </c>
      <c r="AV167" s="2">
        <v>452.04</v>
      </c>
      <c r="AW167" s="2">
        <v>0</v>
      </c>
      <c r="AX167" s="2" t="s">
        <v>1015</v>
      </c>
      <c r="AY167" s="2" t="s">
        <v>162</v>
      </c>
      <c r="AZ167" s="4">
        <v>43021</v>
      </c>
      <c r="BA167" s="5">
        <v>0.52430555555555558</v>
      </c>
      <c r="BB167" s="2">
        <v>2017</v>
      </c>
      <c r="BC167" s="2" t="s">
        <v>434</v>
      </c>
      <c r="BD167" s="2">
        <v>13</v>
      </c>
      <c r="BE167" s="4">
        <v>43024</v>
      </c>
      <c r="BF167" s="5">
        <v>0.52430555555555558</v>
      </c>
      <c r="BG167" s="2" t="str" cm="1">
        <f t="array" ref="BG167">_xlfn.IFS(BF167&lt;TIMEVALUE("06:00"),"Night", BF167&gt;=TIMEVALUE("21:00"),"Night",BF167&gt;=TIMEVALUE("17:00"),"Evening",BF167&gt;=TIMEVALUE("12:00"),"Afternoon", BF167&gt;=TIMEVALUE("06:00"),"Morning")</f>
        <v>Afternoon</v>
      </c>
      <c r="BH167" s="2">
        <v>2017</v>
      </c>
      <c r="BI167" s="2" t="s">
        <v>434</v>
      </c>
      <c r="BJ167" s="2">
        <v>16</v>
      </c>
    </row>
    <row r="168" spans="1:62" x14ac:dyDescent="0.3">
      <c r="A168" s="2" t="s">
        <v>62</v>
      </c>
      <c r="B168" s="2">
        <v>6</v>
      </c>
      <c r="C168" s="2">
        <v>2</v>
      </c>
      <c r="D168" s="2">
        <v>60.87</v>
      </c>
      <c r="E168" s="2">
        <v>209.89</v>
      </c>
      <c r="F168" s="2" t="s">
        <v>87</v>
      </c>
      <c r="G168" s="2" t="s">
        <v>88</v>
      </c>
      <c r="H168" s="2">
        <v>65</v>
      </c>
      <c r="I168" s="2" t="s">
        <v>898</v>
      </c>
      <c r="J168" s="2" t="s">
        <v>66</v>
      </c>
      <c r="K168" s="2" t="s">
        <v>67</v>
      </c>
      <c r="L168" s="2" t="s">
        <v>1016</v>
      </c>
      <c r="M168" s="2">
        <v>14508</v>
      </c>
      <c r="N168" s="2" t="s">
        <v>1017</v>
      </c>
      <c r="O168" s="2" t="s">
        <v>70</v>
      </c>
      <c r="P168" s="2" t="s">
        <v>71</v>
      </c>
      <c r="Q168" s="2" t="s">
        <v>1018</v>
      </c>
      <c r="R168" s="2">
        <v>725</v>
      </c>
      <c r="S168" s="2">
        <v>10</v>
      </c>
      <c r="T168" s="2" t="s">
        <v>902</v>
      </c>
      <c r="U168" s="2">
        <v>18.227088899999998</v>
      </c>
      <c r="V168" s="2">
        <v>-66.037063599999996</v>
      </c>
      <c r="W168" s="2" t="s">
        <v>528</v>
      </c>
      <c r="X168" s="2" t="s">
        <v>1019</v>
      </c>
      <c r="Y168" s="2" t="s">
        <v>557</v>
      </c>
      <c r="Z168" s="2">
        <v>14508</v>
      </c>
      <c r="AA168" s="3">
        <v>42746.763888888891</v>
      </c>
      <c r="AB168" s="2">
        <v>70955</v>
      </c>
      <c r="AC168" s="2">
        <v>1352</v>
      </c>
      <c r="AD168" s="2">
        <v>42.99</v>
      </c>
      <c r="AE168" s="2">
        <v>0.17</v>
      </c>
      <c r="AF168" s="2" t="str" cm="1">
        <f t="array" ref="AF168">_xlfn.IFS(AE168=0, "No Discount ", AE168&lt;=0.08,"Low Discount", AE168&lt;=0.16,"Medium Discount", AE168&gt;0.16, "High Discount")</f>
        <v>High Discount</v>
      </c>
      <c r="AG168" s="2">
        <v>174270</v>
      </c>
      <c r="AH168" s="2">
        <v>252.88</v>
      </c>
      <c r="AI168" s="2">
        <v>0.28999999999999998</v>
      </c>
      <c r="AJ168" s="2" t="str" cm="1">
        <f t="array" ref="AJ168">_xlfn.IFS(AI168&lt;=0, "No Profit", AI168&lt;=0.16,"Low Profit",AI168&lt;=0.32,"Medium Profit",AI168&gt;0.32,"High Profit")</f>
        <v>Medium Profit</v>
      </c>
      <c r="AK168" s="2">
        <v>1</v>
      </c>
      <c r="AL168" s="2">
        <v>252.88</v>
      </c>
      <c r="AM168" s="2">
        <v>209.89</v>
      </c>
      <c r="AN168" s="2">
        <v>60.87</v>
      </c>
      <c r="AO168" s="2" t="s">
        <v>558</v>
      </c>
      <c r="AP168" s="2" t="s">
        <v>1020</v>
      </c>
      <c r="AQ168" s="2" t="s">
        <v>80</v>
      </c>
      <c r="AR168" s="2" t="s">
        <v>81</v>
      </c>
      <c r="AS168" s="2">
        <v>1352</v>
      </c>
      <c r="AT168" s="2">
        <v>65</v>
      </c>
      <c r="AU168" s="2" t="s">
        <v>907</v>
      </c>
      <c r="AV168" s="2">
        <v>252.88</v>
      </c>
      <c r="AW168" s="2">
        <v>0</v>
      </c>
      <c r="AX168" s="3">
        <v>42927.763888888891</v>
      </c>
      <c r="AY168" s="2" t="s">
        <v>162</v>
      </c>
      <c r="AZ168" s="4">
        <v>42746</v>
      </c>
      <c r="BA168" s="5">
        <v>0.76388888888888884</v>
      </c>
      <c r="BB168" s="2">
        <v>2017</v>
      </c>
      <c r="BC168" s="2" t="s">
        <v>84</v>
      </c>
      <c r="BD168" s="2">
        <v>11</v>
      </c>
      <c r="BE168" s="4">
        <v>42927</v>
      </c>
      <c r="BF168" s="5">
        <v>0.76388888888888884</v>
      </c>
      <c r="BG168" s="2" t="str" cm="1">
        <f t="array" ref="BG168">_xlfn.IFS(BF168&lt;TIMEVALUE("06:00"),"Night", BF168&gt;=TIMEVALUE("21:00"),"Night",BF168&gt;=TIMEVALUE("17:00"),"Evening",BF168&gt;=TIMEVALUE("12:00"),"Afternoon", BF168&gt;=TIMEVALUE("06:00"),"Morning")</f>
        <v>Evening</v>
      </c>
      <c r="BH168" s="2">
        <v>2017</v>
      </c>
      <c r="BI168" s="2" t="s">
        <v>533</v>
      </c>
      <c r="BJ168" s="2">
        <v>11</v>
      </c>
    </row>
    <row r="169" spans="1:62" x14ac:dyDescent="0.3">
      <c r="A169" s="2" t="s">
        <v>62</v>
      </c>
      <c r="B169" s="2">
        <v>5</v>
      </c>
      <c r="C169" s="2">
        <v>2</v>
      </c>
      <c r="D169" s="2">
        <v>73.459999999999994</v>
      </c>
      <c r="E169" s="2">
        <v>209.89</v>
      </c>
      <c r="F169" s="2" t="s">
        <v>87</v>
      </c>
      <c r="G169" s="2" t="s">
        <v>88</v>
      </c>
      <c r="H169" s="2">
        <v>65</v>
      </c>
      <c r="I169" s="2" t="s">
        <v>898</v>
      </c>
      <c r="J169" s="2" t="s">
        <v>66</v>
      </c>
      <c r="K169" s="2" t="s">
        <v>67</v>
      </c>
      <c r="L169" s="2" t="s">
        <v>1021</v>
      </c>
      <c r="M169" s="2">
        <v>14472</v>
      </c>
      <c r="N169" s="2" t="s">
        <v>1022</v>
      </c>
      <c r="O169" s="2" t="s">
        <v>70</v>
      </c>
      <c r="P169" s="2" t="s">
        <v>71</v>
      </c>
      <c r="Q169" s="2" t="s">
        <v>1023</v>
      </c>
      <c r="R169" s="2">
        <v>725</v>
      </c>
      <c r="S169" s="2">
        <v>10</v>
      </c>
      <c r="T169" s="2" t="s">
        <v>902</v>
      </c>
      <c r="U169" s="2">
        <v>18.234378800000002</v>
      </c>
      <c r="V169" s="2">
        <v>-66.037056000000007</v>
      </c>
      <c r="W169" s="2" t="s">
        <v>528</v>
      </c>
      <c r="X169" s="2" t="s">
        <v>1024</v>
      </c>
      <c r="Y169" s="2" t="s">
        <v>904</v>
      </c>
      <c r="Z169" s="2">
        <v>14472</v>
      </c>
      <c r="AA169" s="3">
        <v>42746.238888888889</v>
      </c>
      <c r="AB169" s="2">
        <v>70919</v>
      </c>
      <c r="AC169" s="2">
        <v>1352</v>
      </c>
      <c r="AD169" s="2">
        <v>42.99</v>
      </c>
      <c r="AE169" s="2">
        <v>0.17</v>
      </c>
      <c r="AF169" s="2" t="str" cm="1">
        <f t="array" ref="AF169">_xlfn.IFS(AE169=0, "No Discount ", AE169&lt;=0.08,"Low Discount", AE169&lt;=0.16,"Medium Discount", AE169&gt;0.16, "High Discount")</f>
        <v>High Discount</v>
      </c>
      <c r="AG169" s="2">
        <v>174234</v>
      </c>
      <c r="AH169" s="2">
        <v>252.88</v>
      </c>
      <c r="AI169" s="2">
        <v>0.35</v>
      </c>
      <c r="AJ169" s="2" t="str" cm="1">
        <f t="array" ref="AJ169">_xlfn.IFS(AI169&lt;=0, "No Profit", AI169&lt;=0.16,"Low Profit",AI169&lt;=0.32,"Medium Profit",AI169&gt;0.32,"High Profit")</f>
        <v>High Profit</v>
      </c>
      <c r="AK169" s="2">
        <v>1</v>
      </c>
      <c r="AL169" s="2">
        <v>252.88</v>
      </c>
      <c r="AM169" s="2">
        <v>209.89</v>
      </c>
      <c r="AN169" s="2">
        <v>73.459999999999994</v>
      </c>
      <c r="AO169" s="2" t="s">
        <v>905</v>
      </c>
      <c r="AP169" s="2" t="s">
        <v>937</v>
      </c>
      <c r="AQ169" s="2" t="s">
        <v>80</v>
      </c>
      <c r="AR169" s="2" t="s">
        <v>81</v>
      </c>
      <c r="AS169" s="2">
        <v>1352</v>
      </c>
      <c r="AT169" s="2">
        <v>65</v>
      </c>
      <c r="AU169" s="2" t="s">
        <v>907</v>
      </c>
      <c r="AV169" s="2">
        <v>252.88</v>
      </c>
      <c r="AW169" s="2">
        <v>0</v>
      </c>
      <c r="AX169" s="3">
        <v>42897.238888888889</v>
      </c>
      <c r="AY169" s="2" t="s">
        <v>162</v>
      </c>
      <c r="AZ169" s="4">
        <v>42746</v>
      </c>
      <c r="BA169" s="5">
        <v>0.2388888888888889</v>
      </c>
      <c r="BB169" s="2">
        <v>2017</v>
      </c>
      <c r="BC169" s="2" t="s">
        <v>84</v>
      </c>
      <c r="BD169" s="2">
        <v>11</v>
      </c>
      <c r="BE169" s="4">
        <v>42897</v>
      </c>
      <c r="BF169" s="5">
        <v>0.2388888888888889</v>
      </c>
      <c r="BG169" s="2" t="str" cm="1">
        <f t="array" ref="BG169">_xlfn.IFS(BF169&lt;TIMEVALUE("06:00"),"Night", BF169&gt;=TIMEVALUE("21:00"),"Night",BF169&gt;=TIMEVALUE("17:00"),"Evening",BF169&gt;=TIMEVALUE("12:00"),"Afternoon", BF169&gt;=TIMEVALUE("06:00"),"Morning")</f>
        <v>Night</v>
      </c>
      <c r="BH169" s="2">
        <v>2017</v>
      </c>
      <c r="BI169" s="2" t="s">
        <v>474</v>
      </c>
      <c r="BJ169" s="2">
        <v>11</v>
      </c>
    </row>
    <row r="170" spans="1:62" x14ac:dyDescent="0.3">
      <c r="A170" s="2" t="s">
        <v>62</v>
      </c>
      <c r="B170" s="2">
        <v>5</v>
      </c>
      <c r="C170" s="2">
        <v>2</v>
      </c>
      <c r="D170" s="2">
        <v>39.880000000000003</v>
      </c>
      <c r="E170" s="2">
        <v>209.89</v>
      </c>
      <c r="F170" s="2" t="s">
        <v>87</v>
      </c>
      <c r="G170" s="2" t="s">
        <v>88</v>
      </c>
      <c r="H170" s="2">
        <v>65</v>
      </c>
      <c r="I170" s="2" t="s">
        <v>898</v>
      </c>
      <c r="J170" s="2" t="s">
        <v>66</v>
      </c>
      <c r="K170" s="2" t="s">
        <v>67</v>
      </c>
      <c r="L170" s="2" t="s">
        <v>1025</v>
      </c>
      <c r="M170" s="2">
        <v>14562</v>
      </c>
      <c r="N170" s="2" t="s">
        <v>1026</v>
      </c>
      <c r="O170" s="2" t="s">
        <v>70</v>
      </c>
      <c r="P170" s="2" t="s">
        <v>71</v>
      </c>
      <c r="Q170" s="2" t="s">
        <v>1027</v>
      </c>
      <c r="R170" s="2">
        <v>725</v>
      </c>
      <c r="S170" s="2">
        <v>10</v>
      </c>
      <c r="T170" s="2" t="s">
        <v>902</v>
      </c>
      <c r="U170" s="2">
        <v>18.292366000000001</v>
      </c>
      <c r="V170" s="2">
        <v>-66.037063599999996</v>
      </c>
      <c r="W170" s="2" t="s">
        <v>528</v>
      </c>
      <c r="X170" s="2" t="s">
        <v>1028</v>
      </c>
      <c r="Y170" s="2" t="s">
        <v>530</v>
      </c>
      <c r="Z170" s="2">
        <v>14562</v>
      </c>
      <c r="AA170" s="3">
        <v>42777.552083333336</v>
      </c>
      <c r="AB170" s="2">
        <v>71009</v>
      </c>
      <c r="AC170" s="2">
        <v>1352</v>
      </c>
      <c r="AD170" s="2">
        <v>42.99</v>
      </c>
      <c r="AE170" s="2">
        <v>0.17</v>
      </c>
      <c r="AF170" s="2" t="str" cm="1">
        <f t="array" ref="AF170">_xlfn.IFS(AE170=0, "No Discount ", AE170&lt;=0.08,"Low Discount", AE170&lt;=0.16,"Medium Discount", AE170&gt;0.16, "High Discount")</f>
        <v>High Discount</v>
      </c>
      <c r="AG170" s="2">
        <v>174324</v>
      </c>
      <c r="AH170" s="2">
        <v>252.88</v>
      </c>
      <c r="AI170" s="2">
        <v>0.19</v>
      </c>
      <c r="AJ170" s="2" t="str" cm="1">
        <f t="array" ref="AJ170">_xlfn.IFS(AI170&lt;=0, "No Profit", AI170&lt;=0.16,"Low Profit",AI170&lt;=0.32,"Medium Profit",AI170&gt;0.32,"High Profit")</f>
        <v>Medium Profit</v>
      </c>
      <c r="AK170" s="2">
        <v>1</v>
      </c>
      <c r="AL170" s="2">
        <v>252.88</v>
      </c>
      <c r="AM170" s="2">
        <v>209.89</v>
      </c>
      <c r="AN170" s="2">
        <v>39.880000000000003</v>
      </c>
      <c r="AO170" s="2" t="s">
        <v>531</v>
      </c>
      <c r="AP170" s="2" t="s">
        <v>1029</v>
      </c>
      <c r="AQ170" s="2" t="s">
        <v>80</v>
      </c>
      <c r="AR170" s="2" t="s">
        <v>81</v>
      </c>
      <c r="AS170" s="2">
        <v>1352</v>
      </c>
      <c r="AT170" s="2">
        <v>65</v>
      </c>
      <c r="AU170" s="2" t="s">
        <v>907</v>
      </c>
      <c r="AV170" s="2">
        <v>252.88</v>
      </c>
      <c r="AW170" s="2">
        <v>0</v>
      </c>
      <c r="AX170" s="3">
        <v>42927.552083333336</v>
      </c>
      <c r="AY170" s="2" t="s">
        <v>162</v>
      </c>
      <c r="AZ170" s="4">
        <v>42777</v>
      </c>
      <c r="BA170" s="5">
        <v>0.55208333333333337</v>
      </c>
      <c r="BB170" s="2">
        <v>2017</v>
      </c>
      <c r="BC170" s="2" t="s">
        <v>423</v>
      </c>
      <c r="BD170" s="2">
        <v>11</v>
      </c>
      <c r="BE170" s="4">
        <v>42927</v>
      </c>
      <c r="BF170" s="5">
        <v>0.55208333333333337</v>
      </c>
      <c r="BG170" s="2" t="str" cm="1">
        <f t="array" ref="BG170">_xlfn.IFS(BF170&lt;TIMEVALUE("06:00"),"Night", BF170&gt;=TIMEVALUE("21:00"),"Night",BF170&gt;=TIMEVALUE("17:00"),"Evening",BF170&gt;=TIMEVALUE("12:00"),"Afternoon", BF170&gt;=TIMEVALUE("06:00"),"Morning")</f>
        <v>Afternoon</v>
      </c>
      <c r="BH170" s="2">
        <v>2017</v>
      </c>
      <c r="BI170" s="2" t="s">
        <v>533</v>
      </c>
      <c r="BJ170" s="2">
        <v>11</v>
      </c>
    </row>
    <row r="171" spans="1:62" x14ac:dyDescent="0.3">
      <c r="A171" s="2" t="s">
        <v>62</v>
      </c>
      <c r="B171" s="2">
        <v>4</v>
      </c>
      <c r="C171" s="2">
        <v>2</v>
      </c>
      <c r="D171" s="2">
        <v>177.92</v>
      </c>
      <c r="E171" s="2">
        <v>370.67</v>
      </c>
      <c r="F171" s="2" t="s">
        <v>87</v>
      </c>
      <c r="G171" s="2" t="s">
        <v>88</v>
      </c>
      <c r="H171" s="2">
        <v>62</v>
      </c>
      <c r="I171" s="2" t="s">
        <v>908</v>
      </c>
      <c r="J171" s="2" t="s">
        <v>66</v>
      </c>
      <c r="K171" s="2" t="s">
        <v>67</v>
      </c>
      <c r="L171" s="2" t="s">
        <v>1030</v>
      </c>
      <c r="M171" s="2">
        <v>13206</v>
      </c>
      <c r="N171" s="2" t="s">
        <v>1031</v>
      </c>
      <c r="O171" s="2" t="s">
        <v>70</v>
      </c>
      <c r="P171" s="2" t="s">
        <v>71</v>
      </c>
      <c r="Q171" s="2" t="s">
        <v>1032</v>
      </c>
      <c r="R171" s="2">
        <v>725</v>
      </c>
      <c r="S171" s="2">
        <v>10</v>
      </c>
      <c r="T171" s="2" t="s">
        <v>902</v>
      </c>
      <c r="U171" s="2">
        <v>18.213567699999999</v>
      </c>
      <c r="V171" s="2">
        <v>-66.037063599999996</v>
      </c>
      <c r="W171" s="2" t="s">
        <v>528</v>
      </c>
      <c r="X171" s="2" t="s">
        <v>1033</v>
      </c>
      <c r="Y171" s="2" t="s">
        <v>557</v>
      </c>
      <c r="Z171" s="2">
        <v>13206</v>
      </c>
      <c r="AA171" s="2" t="s">
        <v>1034</v>
      </c>
      <c r="AB171" s="2">
        <v>69653</v>
      </c>
      <c r="AC171" s="2">
        <v>1349</v>
      </c>
      <c r="AD171" s="2">
        <v>81.37</v>
      </c>
      <c r="AE171" s="2">
        <v>0.18</v>
      </c>
      <c r="AF171" s="2" t="str" cm="1">
        <f t="array" ref="AF171">_xlfn.IFS(AE171=0, "No Discount ", AE171&lt;=0.08,"Low Discount", AE171&lt;=0.16,"Medium Discount", AE171&gt;0.16, "High Discount")</f>
        <v>High Discount</v>
      </c>
      <c r="AG171" s="2">
        <v>172968</v>
      </c>
      <c r="AH171" s="2">
        <v>452.04</v>
      </c>
      <c r="AI171" s="2">
        <v>0.48</v>
      </c>
      <c r="AJ171" s="2" t="str" cm="1">
        <f t="array" ref="AJ171">_xlfn.IFS(AI171&lt;=0, "No Profit", AI171&lt;=0.16,"Low Profit",AI171&lt;=0.32,"Medium Profit",AI171&gt;0.32,"High Profit")</f>
        <v>High Profit</v>
      </c>
      <c r="AK171" s="2">
        <v>1</v>
      </c>
      <c r="AL171" s="2">
        <v>452.04</v>
      </c>
      <c r="AM171" s="2">
        <v>370.67</v>
      </c>
      <c r="AN171" s="2">
        <v>177.92</v>
      </c>
      <c r="AO171" s="2" t="s">
        <v>558</v>
      </c>
      <c r="AP171" s="2" t="s">
        <v>559</v>
      </c>
      <c r="AQ171" s="2" t="s">
        <v>80</v>
      </c>
      <c r="AR171" s="2" t="s">
        <v>81</v>
      </c>
      <c r="AS171" s="2">
        <v>1349</v>
      </c>
      <c r="AT171" s="2">
        <v>62</v>
      </c>
      <c r="AU171" s="2" t="s">
        <v>915</v>
      </c>
      <c r="AV171" s="2">
        <v>452.04</v>
      </c>
      <c r="AW171" s="2">
        <v>0</v>
      </c>
      <c r="AX171" s="2" t="s">
        <v>1035</v>
      </c>
      <c r="AY171" s="2" t="s">
        <v>162</v>
      </c>
      <c r="AZ171" s="4">
        <v>43021</v>
      </c>
      <c r="BA171" s="5">
        <v>0.75763888888888886</v>
      </c>
      <c r="BB171" s="2">
        <v>2017</v>
      </c>
      <c r="BC171" s="2" t="s">
        <v>434</v>
      </c>
      <c r="BD171" s="2">
        <v>13</v>
      </c>
      <c r="BE171" s="4">
        <v>43025</v>
      </c>
      <c r="BF171" s="5">
        <v>0.75763888888888886</v>
      </c>
      <c r="BG171" s="2" t="str" cm="1">
        <f t="array" ref="BG171">_xlfn.IFS(BF171&lt;TIMEVALUE("06:00"),"Night", BF171&gt;=TIMEVALUE("21:00"),"Night",BF171&gt;=TIMEVALUE("17:00"),"Evening",BF171&gt;=TIMEVALUE("12:00"),"Afternoon", BF171&gt;=TIMEVALUE("06:00"),"Morning")</f>
        <v>Evening</v>
      </c>
      <c r="BH171" s="2">
        <v>2017</v>
      </c>
      <c r="BI171" s="2" t="s">
        <v>434</v>
      </c>
      <c r="BJ171" s="2">
        <v>17</v>
      </c>
    </row>
    <row r="172" spans="1:62" x14ac:dyDescent="0.3">
      <c r="A172" s="2" t="s">
        <v>62</v>
      </c>
      <c r="B172" s="2">
        <v>3</v>
      </c>
      <c r="C172" s="2">
        <v>2</v>
      </c>
      <c r="D172" s="2">
        <v>129.74</v>
      </c>
      <c r="E172" s="2">
        <v>370.67</v>
      </c>
      <c r="F172" s="2" t="s">
        <v>87</v>
      </c>
      <c r="G172" s="2" t="s">
        <v>88</v>
      </c>
      <c r="H172" s="2">
        <v>62</v>
      </c>
      <c r="I172" s="2" t="s">
        <v>908</v>
      </c>
      <c r="J172" s="2" t="s">
        <v>66</v>
      </c>
      <c r="K172" s="2" t="s">
        <v>67</v>
      </c>
      <c r="L172" s="2" t="s">
        <v>1036</v>
      </c>
      <c r="M172" s="2">
        <v>13080</v>
      </c>
      <c r="N172" s="2" t="s">
        <v>1037</v>
      </c>
      <c r="O172" s="2" t="s">
        <v>70</v>
      </c>
      <c r="P172" s="2" t="s">
        <v>71</v>
      </c>
      <c r="Q172" s="2" t="s">
        <v>1038</v>
      </c>
      <c r="R172" s="2">
        <v>725</v>
      </c>
      <c r="S172" s="2">
        <v>10</v>
      </c>
      <c r="T172" s="2" t="s">
        <v>902</v>
      </c>
      <c r="U172" s="2">
        <v>18.292047499999999</v>
      </c>
      <c r="V172" s="2">
        <v>-66.037063599999996</v>
      </c>
      <c r="W172" s="2" t="s">
        <v>528</v>
      </c>
      <c r="X172" s="2" t="s">
        <v>1039</v>
      </c>
      <c r="Y172" s="2" t="s">
        <v>904</v>
      </c>
      <c r="Z172" s="2">
        <v>13080</v>
      </c>
      <c r="AA172" s="3">
        <v>43049.918749999997</v>
      </c>
      <c r="AB172" s="2">
        <v>69527</v>
      </c>
      <c r="AC172" s="2">
        <v>1349</v>
      </c>
      <c r="AD172" s="2">
        <v>81.37</v>
      </c>
      <c r="AE172" s="2">
        <v>0.18</v>
      </c>
      <c r="AF172" s="2" t="str" cm="1">
        <f t="array" ref="AF172">_xlfn.IFS(AE172=0, "No Discount ", AE172&lt;=0.08,"Low Discount", AE172&lt;=0.16,"Medium Discount", AE172&gt;0.16, "High Discount")</f>
        <v>High Discount</v>
      </c>
      <c r="AG172" s="2">
        <v>172842</v>
      </c>
      <c r="AH172" s="2">
        <v>452.04</v>
      </c>
      <c r="AI172" s="2">
        <v>0.35</v>
      </c>
      <c r="AJ172" s="2" t="str" cm="1">
        <f t="array" ref="AJ172">_xlfn.IFS(AI172&lt;=0, "No Profit", AI172&lt;=0.16,"Low Profit",AI172&lt;=0.32,"Medium Profit",AI172&gt;0.32,"High Profit")</f>
        <v>High Profit</v>
      </c>
      <c r="AK172" s="2">
        <v>1</v>
      </c>
      <c r="AL172" s="2">
        <v>452.04</v>
      </c>
      <c r="AM172" s="2">
        <v>370.67</v>
      </c>
      <c r="AN172" s="2">
        <v>129.74</v>
      </c>
      <c r="AO172" s="2" t="s">
        <v>905</v>
      </c>
      <c r="AP172" s="2" t="s">
        <v>969</v>
      </c>
      <c r="AQ172" s="2" t="s">
        <v>80</v>
      </c>
      <c r="AR172" s="2" t="s">
        <v>81</v>
      </c>
      <c r="AS172" s="2">
        <v>1349</v>
      </c>
      <c r="AT172" s="2">
        <v>62</v>
      </c>
      <c r="AU172" s="2" t="s">
        <v>915</v>
      </c>
      <c r="AV172" s="2">
        <v>452.04</v>
      </c>
      <c r="AW172" s="2">
        <v>0</v>
      </c>
      <c r="AX172" s="2" t="s">
        <v>1040</v>
      </c>
      <c r="AY172" s="2" t="s">
        <v>162</v>
      </c>
      <c r="AZ172" s="4">
        <v>43049</v>
      </c>
      <c r="BA172" s="5">
        <v>0.91874999999999996</v>
      </c>
      <c r="BB172" s="2">
        <v>2017</v>
      </c>
      <c r="BC172" s="2" t="s">
        <v>455</v>
      </c>
      <c r="BD172" s="2">
        <v>10</v>
      </c>
      <c r="BE172" s="4">
        <v>43022</v>
      </c>
      <c r="BF172" s="5">
        <v>0.91874999999999996</v>
      </c>
      <c r="BG172" s="2" t="str" cm="1">
        <f t="array" ref="BG172">_xlfn.IFS(BF172&lt;TIMEVALUE("06:00"),"Night", BF172&gt;=TIMEVALUE("21:00"),"Night",BF172&gt;=TIMEVALUE("17:00"),"Evening",BF172&gt;=TIMEVALUE("12:00"),"Afternoon", BF172&gt;=TIMEVALUE("06:00"),"Morning")</f>
        <v>Night</v>
      </c>
      <c r="BH172" s="2">
        <v>2017</v>
      </c>
      <c r="BI172" s="2" t="s">
        <v>434</v>
      </c>
      <c r="BJ172" s="2">
        <v>14</v>
      </c>
    </row>
    <row r="173" spans="1:62" x14ac:dyDescent="0.3">
      <c r="A173" s="2" t="s">
        <v>62</v>
      </c>
      <c r="B173" s="2">
        <v>6</v>
      </c>
      <c r="C173" s="2">
        <v>2</v>
      </c>
      <c r="D173" s="2">
        <v>62.21</v>
      </c>
      <c r="E173" s="2">
        <v>207.36</v>
      </c>
      <c r="F173" s="2" t="s">
        <v>87</v>
      </c>
      <c r="G173" s="2" t="s">
        <v>88</v>
      </c>
      <c r="H173" s="2">
        <v>65</v>
      </c>
      <c r="I173" s="2" t="s">
        <v>898</v>
      </c>
      <c r="J173" s="2" t="s">
        <v>66</v>
      </c>
      <c r="K173" s="2" t="s">
        <v>67</v>
      </c>
      <c r="L173" s="2" t="s">
        <v>1041</v>
      </c>
      <c r="M173" s="2">
        <v>14633</v>
      </c>
      <c r="N173" s="2" t="s">
        <v>1042</v>
      </c>
      <c r="O173" s="2" t="s">
        <v>70</v>
      </c>
      <c r="P173" s="2" t="s">
        <v>71</v>
      </c>
      <c r="Q173" s="2" t="s">
        <v>1043</v>
      </c>
      <c r="R173" s="2">
        <v>725</v>
      </c>
      <c r="S173" s="2">
        <v>10</v>
      </c>
      <c r="T173" s="2" t="s">
        <v>902</v>
      </c>
      <c r="U173" s="2">
        <v>18.246091799999999</v>
      </c>
      <c r="V173" s="2">
        <v>-66.037063599999996</v>
      </c>
      <c r="W173" s="2" t="s">
        <v>528</v>
      </c>
      <c r="X173" s="2" t="s">
        <v>1044</v>
      </c>
      <c r="Y173" s="2" t="s">
        <v>530</v>
      </c>
      <c r="Z173" s="2">
        <v>14633</v>
      </c>
      <c r="AA173" s="3">
        <v>42805.588888888888</v>
      </c>
      <c r="AB173" s="2">
        <v>71080</v>
      </c>
      <c r="AC173" s="2">
        <v>1352</v>
      </c>
      <c r="AD173" s="2">
        <v>45.52</v>
      </c>
      <c r="AE173" s="2">
        <v>0.18</v>
      </c>
      <c r="AF173" s="2" t="str" cm="1">
        <f t="array" ref="AF173">_xlfn.IFS(AE173=0, "No Discount ", AE173&lt;=0.08,"Low Discount", AE173&lt;=0.16,"Medium Discount", AE173&gt;0.16, "High Discount")</f>
        <v>High Discount</v>
      </c>
      <c r="AG173" s="2">
        <v>174395</v>
      </c>
      <c r="AH173" s="2">
        <v>252.88</v>
      </c>
      <c r="AI173" s="2">
        <v>0.3</v>
      </c>
      <c r="AJ173" s="2" t="str" cm="1">
        <f t="array" ref="AJ173">_xlfn.IFS(AI173&lt;=0, "No Profit", AI173&lt;=0.16,"Low Profit",AI173&lt;=0.32,"Medium Profit",AI173&gt;0.32,"High Profit")</f>
        <v>Medium Profit</v>
      </c>
      <c r="AK173" s="2">
        <v>1</v>
      </c>
      <c r="AL173" s="2">
        <v>252.88</v>
      </c>
      <c r="AM173" s="2">
        <v>207.36</v>
      </c>
      <c r="AN173" s="2">
        <v>62.21</v>
      </c>
      <c r="AO173" s="2" t="s">
        <v>531</v>
      </c>
      <c r="AP173" s="2" t="s">
        <v>1029</v>
      </c>
      <c r="AQ173" s="2" t="s">
        <v>80</v>
      </c>
      <c r="AR173" s="2" t="s">
        <v>81</v>
      </c>
      <c r="AS173" s="2">
        <v>1352</v>
      </c>
      <c r="AT173" s="2">
        <v>65</v>
      </c>
      <c r="AU173" s="2" t="s">
        <v>907</v>
      </c>
      <c r="AV173" s="2">
        <v>252.88</v>
      </c>
      <c r="AW173" s="2">
        <v>0</v>
      </c>
      <c r="AX173" s="3">
        <v>42989.588888888888</v>
      </c>
      <c r="AY173" s="2" t="s">
        <v>162</v>
      </c>
      <c r="AZ173" s="4">
        <v>42805</v>
      </c>
      <c r="BA173" s="5">
        <v>0.58888888888888891</v>
      </c>
      <c r="BB173" s="2">
        <v>2017</v>
      </c>
      <c r="BC173" s="2" t="s">
        <v>85</v>
      </c>
      <c r="BD173" s="2">
        <v>11</v>
      </c>
      <c r="BE173" s="4">
        <v>42989</v>
      </c>
      <c r="BF173" s="5">
        <v>0.58888888888888891</v>
      </c>
      <c r="BG173" s="2" t="str" cm="1">
        <f t="array" ref="BG173">_xlfn.IFS(BF173&lt;TIMEVALUE("06:00"),"Night", BF173&gt;=TIMEVALUE("21:00"),"Night",BF173&gt;=TIMEVALUE("17:00"),"Evening",BF173&gt;=TIMEVALUE("12:00"),"Afternoon", BF173&gt;=TIMEVALUE("06:00"),"Morning")</f>
        <v>Afternoon</v>
      </c>
      <c r="BH173" s="2">
        <v>2017</v>
      </c>
      <c r="BI173" s="2" t="s">
        <v>552</v>
      </c>
      <c r="BJ173" s="2">
        <v>11</v>
      </c>
    </row>
    <row r="174" spans="1:62" x14ac:dyDescent="0.3">
      <c r="A174" s="2" t="s">
        <v>62</v>
      </c>
      <c r="B174" s="2">
        <v>5</v>
      </c>
      <c r="C174" s="2">
        <v>2</v>
      </c>
      <c r="D174" s="2">
        <v>90</v>
      </c>
      <c r="E174" s="2">
        <v>1200</v>
      </c>
      <c r="F174" s="2" t="s">
        <v>87</v>
      </c>
      <c r="G174" s="2" t="s">
        <v>88</v>
      </c>
      <c r="H174" s="2">
        <v>64</v>
      </c>
      <c r="I174" s="2" t="s">
        <v>943</v>
      </c>
      <c r="J174" s="2" t="s">
        <v>66</v>
      </c>
      <c r="K174" s="2" t="s">
        <v>67</v>
      </c>
      <c r="L174" s="2" t="s">
        <v>1045</v>
      </c>
      <c r="M174" s="2">
        <v>14097</v>
      </c>
      <c r="N174" s="2" t="s">
        <v>693</v>
      </c>
      <c r="O174" s="2" t="s">
        <v>70</v>
      </c>
      <c r="P174" s="2" t="s">
        <v>71</v>
      </c>
      <c r="Q174" s="2" t="s">
        <v>1046</v>
      </c>
      <c r="R174" s="2">
        <v>725</v>
      </c>
      <c r="S174" s="2">
        <v>10</v>
      </c>
      <c r="T174" s="2" t="s">
        <v>902</v>
      </c>
      <c r="U174" s="2">
        <v>18.209394499999998</v>
      </c>
      <c r="V174" s="2">
        <v>-66.037056000000007</v>
      </c>
      <c r="W174" s="2" t="s">
        <v>528</v>
      </c>
      <c r="X174" s="2" t="s">
        <v>1047</v>
      </c>
      <c r="Y174" s="2" t="s">
        <v>557</v>
      </c>
      <c r="Z174" s="2">
        <v>14097</v>
      </c>
      <c r="AA174" s="2" t="s">
        <v>1048</v>
      </c>
      <c r="AB174" s="2">
        <v>70544</v>
      </c>
      <c r="AC174" s="2">
        <v>1351</v>
      </c>
      <c r="AD174" s="2">
        <v>300</v>
      </c>
      <c r="AE174" s="2">
        <v>0.2</v>
      </c>
      <c r="AF174" s="2" t="str" cm="1">
        <f t="array" ref="AF174">_xlfn.IFS(AE174=0, "No Discount ", AE174&lt;=0.08,"Low Discount", AE174&lt;=0.16,"Medium Discount", AE174&gt;0.16, "High Discount")</f>
        <v>High Discount</v>
      </c>
      <c r="AG174" s="2">
        <v>173859</v>
      </c>
      <c r="AH174" s="2">
        <v>1500</v>
      </c>
      <c r="AI174" s="2">
        <v>0.08</v>
      </c>
      <c r="AJ174" s="2" t="str" cm="1">
        <f t="array" ref="AJ174">_xlfn.IFS(AI174&lt;=0, "No Profit", AI174&lt;=0.16,"Low Profit",AI174&lt;=0.32,"Medium Profit",AI174&gt;0.32,"High Profit")</f>
        <v>Low Profit</v>
      </c>
      <c r="AK174" s="2">
        <v>1</v>
      </c>
      <c r="AL174" s="2">
        <v>1500</v>
      </c>
      <c r="AM174" s="2">
        <v>1200</v>
      </c>
      <c r="AN174" s="2">
        <v>90</v>
      </c>
      <c r="AO174" s="2" t="s">
        <v>558</v>
      </c>
      <c r="AP174" s="2" t="s">
        <v>559</v>
      </c>
      <c r="AQ174" s="2" t="s">
        <v>80</v>
      </c>
      <c r="AR174" s="2" t="s">
        <v>81</v>
      </c>
      <c r="AS174" s="2">
        <v>1351</v>
      </c>
      <c r="AT174" s="2">
        <v>64</v>
      </c>
      <c r="AU174" s="2" t="s">
        <v>948</v>
      </c>
      <c r="AV174" s="2">
        <v>1500</v>
      </c>
      <c r="AW174" s="2">
        <v>0</v>
      </c>
      <c r="AX174" s="2" t="s">
        <v>1049</v>
      </c>
      <c r="AY174" s="2" t="s">
        <v>162</v>
      </c>
      <c r="AZ174" s="4">
        <v>43034</v>
      </c>
      <c r="BA174" s="5">
        <v>0.76458333333333328</v>
      </c>
      <c r="BB174" s="2">
        <v>2017</v>
      </c>
      <c r="BC174" s="2" t="s">
        <v>434</v>
      </c>
      <c r="BD174" s="2">
        <v>26</v>
      </c>
      <c r="BE174" s="4">
        <v>43039</v>
      </c>
      <c r="BF174" s="5">
        <v>0.76458333333333328</v>
      </c>
      <c r="BG174" s="2" t="str" cm="1">
        <f t="array" ref="BG174">_xlfn.IFS(BF174&lt;TIMEVALUE("06:00"),"Night", BF174&gt;=TIMEVALUE("21:00"),"Night",BF174&gt;=TIMEVALUE("17:00"),"Evening",BF174&gt;=TIMEVALUE("12:00"),"Afternoon", BF174&gt;=TIMEVALUE("06:00"),"Morning")</f>
        <v>Evening</v>
      </c>
      <c r="BH174" s="2">
        <v>2017</v>
      </c>
      <c r="BI174" s="2" t="s">
        <v>434</v>
      </c>
      <c r="BJ174" s="2">
        <v>31</v>
      </c>
    </row>
    <row r="175" spans="1:62" x14ac:dyDescent="0.3">
      <c r="A175" s="2" t="s">
        <v>62</v>
      </c>
      <c r="B175" s="2">
        <v>2</v>
      </c>
      <c r="C175" s="2">
        <v>2</v>
      </c>
      <c r="D175" s="2">
        <v>118.66</v>
      </c>
      <c r="E175" s="2">
        <v>339.03</v>
      </c>
      <c r="F175" s="2" t="s">
        <v>100</v>
      </c>
      <c r="G175" s="2" t="s">
        <v>64</v>
      </c>
      <c r="H175" s="2">
        <v>62</v>
      </c>
      <c r="I175" s="2" t="s">
        <v>908</v>
      </c>
      <c r="J175" s="2" t="s">
        <v>66</v>
      </c>
      <c r="K175" s="2" t="s">
        <v>67</v>
      </c>
      <c r="L175" s="2" t="s">
        <v>1050</v>
      </c>
      <c r="M175" s="2">
        <v>13024</v>
      </c>
      <c r="N175" s="2" t="s">
        <v>704</v>
      </c>
      <c r="O175" s="2" t="s">
        <v>70</v>
      </c>
      <c r="P175" s="2" t="s">
        <v>71</v>
      </c>
      <c r="Q175" s="2" t="s">
        <v>1051</v>
      </c>
      <c r="R175" s="2">
        <v>725</v>
      </c>
      <c r="S175" s="2">
        <v>10</v>
      </c>
      <c r="T175" s="2" t="s">
        <v>902</v>
      </c>
      <c r="U175" s="2">
        <v>18.291843400000001</v>
      </c>
      <c r="V175" s="2">
        <v>-66.037048299999995</v>
      </c>
      <c r="W175" s="2" t="s">
        <v>528</v>
      </c>
      <c r="X175" s="2" t="s">
        <v>1052</v>
      </c>
      <c r="Y175" s="2" t="s">
        <v>557</v>
      </c>
      <c r="Z175" s="2">
        <v>13024</v>
      </c>
      <c r="AA175" s="3">
        <v>43049.101388888892</v>
      </c>
      <c r="AB175" s="2">
        <v>69471</v>
      </c>
      <c r="AC175" s="2">
        <v>1349</v>
      </c>
      <c r="AD175" s="2">
        <v>113.01</v>
      </c>
      <c r="AE175" s="2">
        <v>0.25</v>
      </c>
      <c r="AF175" s="2" t="str" cm="1">
        <f t="array" ref="AF175">_xlfn.IFS(AE175=0, "No Discount ", AE175&lt;=0.08,"Low Discount", AE175&lt;=0.16,"Medium Discount", AE175&gt;0.16, "High Discount")</f>
        <v>High Discount</v>
      </c>
      <c r="AG175" s="2">
        <v>172786</v>
      </c>
      <c r="AH175" s="2">
        <v>452.04</v>
      </c>
      <c r="AI175" s="2">
        <v>0.35</v>
      </c>
      <c r="AJ175" s="2" t="str" cm="1">
        <f t="array" ref="AJ175">_xlfn.IFS(AI175&lt;=0, "No Profit", AI175&lt;=0.16,"Low Profit",AI175&lt;=0.32,"Medium Profit",AI175&gt;0.32,"High Profit")</f>
        <v>High Profit</v>
      </c>
      <c r="AK175" s="2">
        <v>1</v>
      </c>
      <c r="AL175" s="2">
        <v>452.04</v>
      </c>
      <c r="AM175" s="2">
        <v>339.03</v>
      </c>
      <c r="AN175" s="2">
        <v>118.66</v>
      </c>
      <c r="AO175" s="2" t="s">
        <v>558</v>
      </c>
      <c r="AP175" s="2" t="s">
        <v>1020</v>
      </c>
      <c r="AQ175" s="2" t="s">
        <v>80</v>
      </c>
      <c r="AR175" s="2" t="s">
        <v>81</v>
      </c>
      <c r="AS175" s="2">
        <v>1349</v>
      </c>
      <c r="AT175" s="2">
        <v>62</v>
      </c>
      <c r="AU175" s="2" t="s">
        <v>915</v>
      </c>
      <c r="AV175" s="2">
        <v>452.04</v>
      </c>
      <c r="AW175" s="2">
        <v>0</v>
      </c>
      <c r="AX175" s="2" t="s">
        <v>1053</v>
      </c>
      <c r="AY175" s="2" t="s">
        <v>162</v>
      </c>
      <c r="AZ175" s="4">
        <v>43049</v>
      </c>
      <c r="BA175" s="5">
        <v>0.10138888888888889</v>
      </c>
      <c r="BB175" s="2">
        <v>2017</v>
      </c>
      <c r="BC175" s="2" t="s">
        <v>455</v>
      </c>
      <c r="BD175" s="2">
        <v>10</v>
      </c>
      <c r="BE175" s="4">
        <v>43021</v>
      </c>
      <c r="BF175" s="5">
        <v>0.10138888888888889</v>
      </c>
      <c r="BG175" s="2" t="str" cm="1">
        <f t="array" ref="BG175">_xlfn.IFS(BF175&lt;TIMEVALUE("06:00"),"Night", BF175&gt;=TIMEVALUE("21:00"),"Night",BF175&gt;=TIMEVALUE("17:00"),"Evening",BF175&gt;=TIMEVALUE("12:00"),"Afternoon", BF175&gt;=TIMEVALUE("06:00"),"Morning")</f>
        <v>Night</v>
      </c>
      <c r="BH175" s="2">
        <v>2017</v>
      </c>
      <c r="BI175" s="2" t="s">
        <v>434</v>
      </c>
      <c r="BJ175" s="2">
        <v>13</v>
      </c>
    </row>
    <row r="176" spans="1:62" x14ac:dyDescent="0.3">
      <c r="A176" s="2" t="s">
        <v>62</v>
      </c>
      <c r="B176" s="2">
        <v>5</v>
      </c>
      <c r="C176" s="2">
        <v>2</v>
      </c>
      <c r="D176" s="2">
        <v>415.8</v>
      </c>
      <c r="E176" s="2">
        <v>989.99</v>
      </c>
      <c r="F176" s="2" t="s">
        <v>87</v>
      </c>
      <c r="G176" s="2" t="s">
        <v>88</v>
      </c>
      <c r="H176" s="2">
        <v>4</v>
      </c>
      <c r="I176" s="2" t="s">
        <v>1054</v>
      </c>
      <c r="J176" s="2" t="s">
        <v>66</v>
      </c>
      <c r="K176" s="2" t="s">
        <v>67</v>
      </c>
      <c r="L176" s="2" t="s">
        <v>790</v>
      </c>
      <c r="M176" s="2">
        <v>778</v>
      </c>
      <c r="N176" s="2" t="s">
        <v>1055</v>
      </c>
      <c r="O176" s="2" t="s">
        <v>70</v>
      </c>
      <c r="P176" s="2" t="s">
        <v>71</v>
      </c>
      <c r="Q176" s="2" t="s">
        <v>1056</v>
      </c>
      <c r="R176" s="2">
        <v>725</v>
      </c>
      <c r="S176" s="2">
        <v>2</v>
      </c>
      <c r="T176" s="2" t="s">
        <v>73</v>
      </c>
      <c r="U176" s="2">
        <v>18.227573400000001</v>
      </c>
      <c r="V176" s="2">
        <v>-66.043708800000005</v>
      </c>
      <c r="W176" s="2" t="s">
        <v>528</v>
      </c>
      <c r="X176" s="2" t="s">
        <v>1057</v>
      </c>
      <c r="Y176" s="2" t="s">
        <v>536</v>
      </c>
      <c r="Z176" s="2">
        <v>778</v>
      </c>
      <c r="AA176" s="3">
        <v>42776.459027777775</v>
      </c>
      <c r="AB176" s="2">
        <v>68879</v>
      </c>
      <c r="AC176" s="2">
        <v>60</v>
      </c>
      <c r="AD176" s="2">
        <v>10</v>
      </c>
      <c r="AE176" s="2">
        <v>0.01</v>
      </c>
      <c r="AF176" s="2" t="str" cm="1">
        <f t="array" ref="AF176">_xlfn.IFS(AE176=0, "No Discount ", AE176&lt;=0.08,"Low Discount", AE176&lt;=0.16,"Medium Discount", AE176&gt;0.16, "High Discount")</f>
        <v>Low Discount</v>
      </c>
      <c r="AG176" s="2">
        <v>172188</v>
      </c>
      <c r="AH176" s="2">
        <v>999.99</v>
      </c>
      <c r="AI176" s="2">
        <v>0.42</v>
      </c>
      <c r="AJ176" s="2" t="str" cm="1">
        <f t="array" ref="AJ176">_xlfn.IFS(AI176&lt;=0, "No Profit", AI176&lt;=0.16,"Low Profit",AI176&lt;=0.32,"Medium Profit",AI176&gt;0.32,"High Profit")</f>
        <v>High Profit</v>
      </c>
      <c r="AK176" s="2">
        <v>1</v>
      </c>
      <c r="AL176" s="2">
        <v>999.99</v>
      </c>
      <c r="AM176" s="2">
        <v>989.99</v>
      </c>
      <c r="AN176" s="2">
        <v>415.8</v>
      </c>
      <c r="AO176" s="2" t="s">
        <v>531</v>
      </c>
      <c r="AP176" s="2" t="s">
        <v>538</v>
      </c>
      <c r="AQ176" s="2" t="s">
        <v>80</v>
      </c>
      <c r="AR176" s="2" t="s">
        <v>81</v>
      </c>
      <c r="AS176" s="2">
        <v>60</v>
      </c>
      <c r="AT176" s="2">
        <v>4</v>
      </c>
      <c r="AU176" s="2" t="s">
        <v>1058</v>
      </c>
      <c r="AV176" s="2">
        <v>999.99</v>
      </c>
      <c r="AW176" s="2">
        <v>0</v>
      </c>
      <c r="AX176" s="3">
        <v>42926.459027777775</v>
      </c>
      <c r="AY176" s="2" t="s">
        <v>162</v>
      </c>
      <c r="AZ176" s="4">
        <v>42776</v>
      </c>
      <c r="BA176" s="5">
        <v>0.45902777777777776</v>
      </c>
      <c r="BB176" s="2">
        <v>2017</v>
      </c>
      <c r="BC176" s="2" t="s">
        <v>423</v>
      </c>
      <c r="BD176" s="2">
        <v>10</v>
      </c>
      <c r="BE176" s="4">
        <v>42926</v>
      </c>
      <c r="BF176" s="5">
        <v>0.45902777777777776</v>
      </c>
      <c r="BG176" s="2" t="str" cm="1">
        <f t="array" ref="BG176">_xlfn.IFS(BF176&lt;TIMEVALUE("06:00"),"Night", BF176&gt;=TIMEVALUE("21:00"),"Night",BF176&gt;=TIMEVALUE("17:00"),"Evening",BF176&gt;=TIMEVALUE("12:00"),"Afternoon", BF176&gt;=TIMEVALUE("06:00"),"Morning")</f>
        <v>Morning</v>
      </c>
      <c r="BH176" s="2">
        <v>2017</v>
      </c>
      <c r="BI176" s="2" t="s">
        <v>533</v>
      </c>
      <c r="BJ176" s="2">
        <v>10</v>
      </c>
    </row>
    <row r="177" spans="1:62" x14ac:dyDescent="0.3">
      <c r="A177" s="2" t="s">
        <v>62</v>
      </c>
      <c r="B177" s="2">
        <v>5</v>
      </c>
      <c r="C177" s="2">
        <v>2</v>
      </c>
      <c r="D177" s="2">
        <v>8.6199999999999992</v>
      </c>
      <c r="E177" s="2">
        <v>78.39</v>
      </c>
      <c r="F177" s="2" t="s">
        <v>87</v>
      </c>
      <c r="G177" s="2" t="s">
        <v>88</v>
      </c>
      <c r="H177" s="2">
        <v>2</v>
      </c>
      <c r="I177" s="2" t="s">
        <v>1059</v>
      </c>
      <c r="J177" s="2" t="s">
        <v>66</v>
      </c>
      <c r="K177" s="2" t="s">
        <v>67</v>
      </c>
      <c r="L177" s="2" t="s">
        <v>987</v>
      </c>
      <c r="M177" s="2">
        <v>7146</v>
      </c>
      <c r="N177" s="2" t="s">
        <v>1060</v>
      </c>
      <c r="O177" s="2" t="s">
        <v>70</v>
      </c>
      <c r="P177" s="2" t="s">
        <v>71</v>
      </c>
      <c r="Q177" s="2" t="s">
        <v>1061</v>
      </c>
      <c r="R177" s="2">
        <v>725</v>
      </c>
      <c r="S177" s="2">
        <v>2</v>
      </c>
      <c r="T177" s="2" t="s">
        <v>73</v>
      </c>
      <c r="U177" s="2">
        <v>18.285421400000001</v>
      </c>
      <c r="V177" s="2">
        <v>-66.370567300000005</v>
      </c>
      <c r="W177" s="2" t="s">
        <v>528</v>
      </c>
      <c r="X177" s="2" t="s">
        <v>1062</v>
      </c>
      <c r="Y177" s="2" t="s">
        <v>983</v>
      </c>
      <c r="Z177" s="2">
        <v>7146</v>
      </c>
      <c r="AA177" s="3">
        <v>42956.154166666667</v>
      </c>
      <c r="AB177" s="2">
        <v>67214</v>
      </c>
      <c r="AC177" s="2">
        <v>24</v>
      </c>
      <c r="AD177" s="2">
        <v>1.6</v>
      </c>
      <c r="AE177" s="2">
        <v>0.02</v>
      </c>
      <c r="AF177" s="2" t="str" cm="1">
        <f t="array" ref="AF177">_xlfn.IFS(AE177=0, "No Discount ", AE177&lt;=0.08,"Low Discount", AE177&lt;=0.16,"Medium Discount", AE177&gt;0.16, "High Discount")</f>
        <v>Low Discount</v>
      </c>
      <c r="AG177" s="2">
        <v>167987</v>
      </c>
      <c r="AH177" s="2">
        <v>79.989999999999995</v>
      </c>
      <c r="AI177" s="2">
        <v>0.11</v>
      </c>
      <c r="AJ177" s="2" t="str" cm="1">
        <f t="array" ref="AJ177">_xlfn.IFS(AI177&lt;=0, "No Profit", AI177&lt;=0.16,"Low Profit",AI177&lt;=0.32,"Medium Profit",AI177&gt;0.32,"High Profit")</f>
        <v>Low Profit</v>
      </c>
      <c r="AK177" s="2">
        <v>1</v>
      </c>
      <c r="AL177" s="2">
        <v>79.989999999999995</v>
      </c>
      <c r="AM177" s="2">
        <v>78.39</v>
      </c>
      <c r="AN177" s="2">
        <v>8.6199999999999992</v>
      </c>
      <c r="AO177" s="2" t="s">
        <v>905</v>
      </c>
      <c r="AP177" s="2" t="s">
        <v>1063</v>
      </c>
      <c r="AQ177" s="2" t="s">
        <v>80</v>
      </c>
      <c r="AR177" s="2" t="s">
        <v>81</v>
      </c>
      <c r="AS177" s="2">
        <v>24</v>
      </c>
      <c r="AT177" s="2">
        <v>2</v>
      </c>
      <c r="AU177" s="2" t="s">
        <v>1064</v>
      </c>
      <c r="AV177" s="2">
        <v>79.989999999999995</v>
      </c>
      <c r="AW177" s="2">
        <v>0</v>
      </c>
      <c r="AX177" s="2" t="s">
        <v>1065</v>
      </c>
      <c r="AY177" s="2" t="s">
        <v>162</v>
      </c>
      <c r="AZ177" s="4">
        <v>42956</v>
      </c>
      <c r="BA177" s="5">
        <v>0.15416666666666667</v>
      </c>
      <c r="BB177" s="2">
        <v>2017</v>
      </c>
      <c r="BC177" s="2" t="s">
        <v>482</v>
      </c>
      <c r="BD177" s="2">
        <v>9</v>
      </c>
      <c r="BE177" s="4">
        <v>42991</v>
      </c>
      <c r="BF177" s="5">
        <v>0.15416666666666667</v>
      </c>
      <c r="BG177" s="2" t="str" cm="1">
        <f t="array" ref="BG177">_xlfn.IFS(BF177&lt;TIMEVALUE("06:00"),"Night", BF177&gt;=TIMEVALUE("21:00"),"Night",BF177&gt;=TIMEVALUE("17:00"),"Evening",BF177&gt;=TIMEVALUE("12:00"),"Afternoon", BF177&gt;=TIMEVALUE("06:00"),"Morning")</f>
        <v>Night</v>
      </c>
      <c r="BH177" s="2">
        <v>2017</v>
      </c>
      <c r="BI177" s="2" t="s">
        <v>552</v>
      </c>
      <c r="BJ177" s="2">
        <v>13</v>
      </c>
    </row>
    <row r="178" spans="1:62" x14ac:dyDescent="0.3">
      <c r="A178" s="2" t="s">
        <v>62</v>
      </c>
      <c r="B178" s="2">
        <v>6</v>
      </c>
      <c r="C178" s="2">
        <v>2</v>
      </c>
      <c r="D178" s="2">
        <v>16.34</v>
      </c>
      <c r="E178" s="2">
        <v>52.19</v>
      </c>
      <c r="F178" s="2" t="s">
        <v>87</v>
      </c>
      <c r="G178" s="2" t="s">
        <v>88</v>
      </c>
      <c r="H178" s="2">
        <v>3</v>
      </c>
      <c r="I178" s="2" t="s">
        <v>776</v>
      </c>
      <c r="J178" s="2" t="s">
        <v>66</v>
      </c>
      <c r="K178" s="2" t="s">
        <v>67</v>
      </c>
      <c r="L178" s="2" t="s">
        <v>414</v>
      </c>
      <c r="M178" s="2">
        <v>6365</v>
      </c>
      <c r="N178" s="2" t="s">
        <v>425</v>
      </c>
      <c r="O178" s="2" t="s">
        <v>70</v>
      </c>
      <c r="P178" s="2" t="s">
        <v>71</v>
      </c>
      <c r="Q178" s="2" t="s">
        <v>1066</v>
      </c>
      <c r="R178" s="2">
        <v>725</v>
      </c>
      <c r="S178" s="2">
        <v>2</v>
      </c>
      <c r="T178" s="2" t="s">
        <v>73</v>
      </c>
      <c r="U178" s="2">
        <v>18.246923500000001</v>
      </c>
      <c r="V178" s="2">
        <v>-66.370575000000002</v>
      </c>
      <c r="W178" s="2" t="s">
        <v>528</v>
      </c>
      <c r="X178" s="2" t="s">
        <v>1067</v>
      </c>
      <c r="Y178" s="2" t="s">
        <v>1068</v>
      </c>
      <c r="Z178" s="2">
        <v>6365</v>
      </c>
      <c r="AA178" s="2" t="s">
        <v>1069</v>
      </c>
      <c r="AB178" s="2">
        <v>17810</v>
      </c>
      <c r="AC178" s="2">
        <v>44</v>
      </c>
      <c r="AD178" s="2">
        <v>7.8</v>
      </c>
      <c r="AE178" s="2">
        <v>0.13</v>
      </c>
      <c r="AF178" s="2" t="str" cm="1">
        <f t="array" ref="AF178">_xlfn.IFS(AE178=0, "No Discount ", AE178&lt;=0.08,"Low Discount", AE178&lt;=0.16,"Medium Discount", AE178&gt;0.16, "High Discount")</f>
        <v>Medium Discount</v>
      </c>
      <c r="AG178" s="2">
        <v>44493</v>
      </c>
      <c r="AH178" s="2">
        <v>59.99</v>
      </c>
      <c r="AI178" s="2">
        <v>0.31</v>
      </c>
      <c r="AJ178" s="2" t="str" cm="1">
        <f t="array" ref="AJ178">_xlfn.IFS(AI178&lt;=0, "No Profit", AI178&lt;=0.16,"Low Profit",AI178&lt;=0.32,"Medium Profit",AI178&gt;0.32,"High Profit")</f>
        <v>Medium Profit</v>
      </c>
      <c r="AK178" s="2">
        <v>1</v>
      </c>
      <c r="AL178" s="2">
        <v>59.99</v>
      </c>
      <c r="AM178" s="2">
        <v>52.19</v>
      </c>
      <c r="AN178" s="2">
        <v>16.34</v>
      </c>
      <c r="AO178" s="2" t="s">
        <v>558</v>
      </c>
      <c r="AP178" s="2" t="s">
        <v>1067</v>
      </c>
      <c r="AQ178" s="2" t="s">
        <v>80</v>
      </c>
      <c r="AR178" s="2" t="s">
        <v>81</v>
      </c>
      <c r="AS178" s="2">
        <v>44</v>
      </c>
      <c r="AT178" s="2">
        <v>3</v>
      </c>
      <c r="AU178" s="2" t="s">
        <v>781</v>
      </c>
      <c r="AV178" s="2">
        <v>59.99</v>
      </c>
      <c r="AW178" s="2">
        <v>0</v>
      </c>
      <c r="AX178" s="2" t="s">
        <v>1070</v>
      </c>
      <c r="AY178" s="2" t="s">
        <v>162</v>
      </c>
      <c r="AZ178" s="4">
        <v>42264</v>
      </c>
      <c r="BA178" s="5">
        <v>0.97013888888888888</v>
      </c>
      <c r="BB178" s="2">
        <v>2015</v>
      </c>
      <c r="BC178" s="2" t="s">
        <v>552</v>
      </c>
      <c r="BD178" s="2">
        <v>17</v>
      </c>
      <c r="BE178" s="4">
        <v>42270</v>
      </c>
      <c r="BF178" s="5">
        <v>0.97013888888888888</v>
      </c>
      <c r="BG178" s="2" t="str" cm="1">
        <f t="array" ref="BG178">_xlfn.IFS(BF178&lt;TIMEVALUE("06:00"),"Night", BF178&gt;=TIMEVALUE("21:00"),"Night",BF178&gt;=TIMEVALUE("17:00"),"Evening",BF178&gt;=TIMEVALUE("12:00"),"Afternoon", BF178&gt;=TIMEVALUE("06:00"),"Morning")</f>
        <v>Night</v>
      </c>
      <c r="BH178" s="2">
        <v>2015</v>
      </c>
      <c r="BI178" s="2" t="s">
        <v>552</v>
      </c>
      <c r="BJ178" s="2">
        <v>23</v>
      </c>
    </row>
    <row r="179" spans="1:62" x14ac:dyDescent="0.3">
      <c r="A179" s="2" t="s">
        <v>62</v>
      </c>
      <c r="B179" s="2">
        <v>4</v>
      </c>
      <c r="C179" s="2">
        <v>2</v>
      </c>
      <c r="D179" s="2">
        <v>12.53</v>
      </c>
      <c r="E179" s="2">
        <v>43.19</v>
      </c>
      <c r="F179" s="2" t="s">
        <v>87</v>
      </c>
      <c r="G179" s="2" t="s">
        <v>88</v>
      </c>
      <c r="H179" s="2">
        <v>13</v>
      </c>
      <c r="I179" s="2" t="s">
        <v>464</v>
      </c>
      <c r="J179" s="2" t="s">
        <v>66</v>
      </c>
      <c r="K179" s="2" t="s">
        <v>67</v>
      </c>
      <c r="L179" s="2" t="s">
        <v>642</v>
      </c>
      <c r="M179" s="2">
        <v>8422</v>
      </c>
      <c r="N179" s="2" t="s">
        <v>1071</v>
      </c>
      <c r="O179" s="2" t="s">
        <v>70</v>
      </c>
      <c r="P179" s="2" t="s">
        <v>71</v>
      </c>
      <c r="Q179" s="2" t="s">
        <v>1072</v>
      </c>
      <c r="R179" s="2">
        <v>725</v>
      </c>
      <c r="S179" s="2">
        <v>3</v>
      </c>
      <c r="T179" s="2" t="s">
        <v>466</v>
      </c>
      <c r="U179" s="2">
        <v>18.233799000000001</v>
      </c>
      <c r="V179" s="2">
        <v>-66.370567300000005</v>
      </c>
      <c r="W179" s="2" t="s">
        <v>528</v>
      </c>
      <c r="X179" s="2" t="s">
        <v>1073</v>
      </c>
      <c r="Y179" s="2" t="s">
        <v>557</v>
      </c>
      <c r="Z179" s="2">
        <v>8422</v>
      </c>
      <c r="AA179" s="3">
        <v>42045.319444444445</v>
      </c>
      <c r="AB179" s="2">
        <v>18793</v>
      </c>
      <c r="AC179" s="2">
        <v>278</v>
      </c>
      <c r="AD179" s="2">
        <v>1.8</v>
      </c>
      <c r="AE179" s="2">
        <v>0.04</v>
      </c>
      <c r="AF179" s="2" t="str" cm="1">
        <f t="array" ref="AF179">_xlfn.IFS(AE179=0, "No Discount ", AE179&lt;=0.08,"Low Discount", AE179&lt;=0.16,"Medium Discount", AE179&gt;0.16, "High Discount")</f>
        <v>Low Discount</v>
      </c>
      <c r="AG179" s="2">
        <v>46997</v>
      </c>
      <c r="AH179" s="2">
        <v>44.99</v>
      </c>
      <c r="AI179" s="2">
        <v>0.28999999999999998</v>
      </c>
      <c r="AJ179" s="2" t="str" cm="1">
        <f t="array" ref="AJ179">_xlfn.IFS(AI179&lt;=0, "No Profit", AI179&lt;=0.16,"Low Profit",AI179&lt;=0.32,"Medium Profit",AI179&gt;0.32,"High Profit")</f>
        <v>Medium Profit</v>
      </c>
      <c r="AK179" s="2">
        <v>1</v>
      </c>
      <c r="AL179" s="2">
        <v>44.99</v>
      </c>
      <c r="AM179" s="2">
        <v>43.19</v>
      </c>
      <c r="AN179" s="2">
        <v>12.53</v>
      </c>
      <c r="AO179" s="2" t="s">
        <v>558</v>
      </c>
      <c r="AP179" s="2" t="s">
        <v>559</v>
      </c>
      <c r="AQ179" s="2" t="s">
        <v>80</v>
      </c>
      <c r="AR179" s="2" t="s">
        <v>81</v>
      </c>
      <c r="AS179" s="2">
        <v>278</v>
      </c>
      <c r="AT179" s="2">
        <v>13</v>
      </c>
      <c r="AU179" s="2" t="s">
        <v>472</v>
      </c>
      <c r="AV179" s="2">
        <v>44.99</v>
      </c>
      <c r="AW179" s="2">
        <v>0</v>
      </c>
      <c r="AX179" s="3">
        <v>42165.319444444445</v>
      </c>
      <c r="AY179" s="2" t="s">
        <v>162</v>
      </c>
      <c r="AZ179" s="4">
        <v>42045</v>
      </c>
      <c r="BA179" s="5">
        <v>0.31944444444444442</v>
      </c>
      <c r="BB179" s="2">
        <v>2015</v>
      </c>
      <c r="BC179" s="2" t="s">
        <v>423</v>
      </c>
      <c r="BD179" s="2">
        <v>10</v>
      </c>
      <c r="BE179" s="4">
        <v>42165</v>
      </c>
      <c r="BF179" s="5">
        <v>0.31944444444444442</v>
      </c>
      <c r="BG179" s="2" t="str" cm="1">
        <f t="array" ref="BG179">_xlfn.IFS(BF179&lt;TIMEVALUE("06:00"),"Night", BF179&gt;=TIMEVALUE("21:00"),"Night",BF179&gt;=TIMEVALUE("17:00"),"Evening",BF179&gt;=TIMEVALUE("12:00"),"Afternoon", BF179&gt;=TIMEVALUE("06:00"),"Morning")</f>
        <v>Morning</v>
      </c>
      <c r="BH179" s="2">
        <v>2015</v>
      </c>
      <c r="BI179" s="2" t="s">
        <v>474</v>
      </c>
      <c r="BJ179" s="2">
        <v>10</v>
      </c>
    </row>
    <row r="180" spans="1:62" x14ac:dyDescent="0.3">
      <c r="A180" s="2" t="s">
        <v>62</v>
      </c>
      <c r="B180" s="2">
        <v>5</v>
      </c>
      <c r="C180" s="2">
        <v>2</v>
      </c>
      <c r="D180" s="2">
        <v>25.92</v>
      </c>
      <c r="E180" s="2">
        <v>95.99</v>
      </c>
      <c r="F180" s="2" t="s">
        <v>87</v>
      </c>
      <c r="G180" s="2" t="s">
        <v>88</v>
      </c>
      <c r="H180" s="2">
        <v>9</v>
      </c>
      <c r="I180" s="2" t="s">
        <v>496</v>
      </c>
      <c r="J180" s="2" t="s">
        <v>66</v>
      </c>
      <c r="K180" s="2" t="s">
        <v>67</v>
      </c>
      <c r="L180" s="2" t="s">
        <v>703</v>
      </c>
      <c r="M180" s="2">
        <v>8524</v>
      </c>
      <c r="N180" s="2" t="s">
        <v>704</v>
      </c>
      <c r="O180" s="2" t="s">
        <v>70</v>
      </c>
      <c r="P180" s="2" t="s">
        <v>71</v>
      </c>
      <c r="Q180" s="2" t="s">
        <v>705</v>
      </c>
      <c r="R180" s="2">
        <v>725</v>
      </c>
      <c r="S180" s="2">
        <v>3</v>
      </c>
      <c r="T180" s="2" t="s">
        <v>466</v>
      </c>
      <c r="U180" s="2">
        <v>18.244960800000001</v>
      </c>
      <c r="V180" s="2">
        <v>-66.370536799999996</v>
      </c>
      <c r="W180" s="2" t="s">
        <v>528</v>
      </c>
      <c r="X180" s="2" t="s">
        <v>1074</v>
      </c>
      <c r="Y180" s="2" t="s">
        <v>530</v>
      </c>
      <c r="Z180" s="2">
        <v>8524</v>
      </c>
      <c r="AA180" s="3">
        <v>42955.425694444442</v>
      </c>
      <c r="AB180" s="2">
        <v>65109</v>
      </c>
      <c r="AC180" s="2">
        <v>191</v>
      </c>
      <c r="AD180" s="2">
        <v>4</v>
      </c>
      <c r="AE180" s="2">
        <v>0.04</v>
      </c>
      <c r="AF180" s="2" t="str" cm="1">
        <f t="array" ref="AF180">_xlfn.IFS(AE180=0, "No Discount ", AE180&lt;=0.08,"Low Discount", AE180&lt;=0.16,"Medium Discount", AE180&gt;0.16, "High Discount")</f>
        <v>Low Discount</v>
      </c>
      <c r="AG180" s="2">
        <v>162715</v>
      </c>
      <c r="AH180" s="2">
        <v>99.99</v>
      </c>
      <c r="AI180" s="2">
        <v>0.27</v>
      </c>
      <c r="AJ180" s="2" t="str" cm="1">
        <f t="array" ref="AJ180">_xlfn.IFS(AI180&lt;=0, "No Profit", AI180&lt;=0.16,"Low Profit",AI180&lt;=0.32,"Medium Profit",AI180&gt;0.32,"High Profit")</f>
        <v>Medium Profit</v>
      </c>
      <c r="AK180" s="2">
        <v>1</v>
      </c>
      <c r="AL180" s="2">
        <v>99.99</v>
      </c>
      <c r="AM180" s="2">
        <v>95.99</v>
      </c>
      <c r="AN180" s="2">
        <v>25.92</v>
      </c>
      <c r="AO180" s="2" t="s">
        <v>531</v>
      </c>
      <c r="AP180" s="2" t="s">
        <v>1029</v>
      </c>
      <c r="AQ180" s="2" t="s">
        <v>80</v>
      </c>
      <c r="AR180" s="2" t="s">
        <v>81</v>
      </c>
      <c r="AS180" s="2">
        <v>191</v>
      </c>
      <c r="AT180" s="2">
        <v>9</v>
      </c>
      <c r="AU180" s="2" t="s">
        <v>505</v>
      </c>
      <c r="AV180" s="2">
        <v>99.99</v>
      </c>
      <c r="AW180" s="2">
        <v>0</v>
      </c>
      <c r="AX180" s="2" t="s">
        <v>1075</v>
      </c>
      <c r="AY180" s="2" t="s">
        <v>162</v>
      </c>
      <c r="AZ180" s="4">
        <v>42955</v>
      </c>
      <c r="BA180" s="5">
        <v>0.42569444444444443</v>
      </c>
      <c r="BB180" s="2">
        <v>2017</v>
      </c>
      <c r="BC180" s="2" t="s">
        <v>482</v>
      </c>
      <c r="BD180" s="2">
        <v>8</v>
      </c>
      <c r="BE180" s="4">
        <v>42960</v>
      </c>
      <c r="BF180" s="5">
        <v>0.42569444444444443</v>
      </c>
      <c r="BG180" s="2" t="str" cm="1">
        <f t="array" ref="BG180">_xlfn.IFS(BF180&lt;TIMEVALUE("06:00"),"Night", BF180&gt;=TIMEVALUE("21:00"),"Night",BF180&gt;=TIMEVALUE("17:00"),"Evening",BF180&gt;=TIMEVALUE("12:00"),"Afternoon", BF180&gt;=TIMEVALUE("06:00"),"Morning")</f>
        <v>Morning</v>
      </c>
      <c r="BH180" s="2">
        <v>2017</v>
      </c>
      <c r="BI180" s="2" t="s">
        <v>482</v>
      </c>
      <c r="BJ180" s="2">
        <v>13</v>
      </c>
    </row>
    <row r="181" spans="1:62" x14ac:dyDescent="0.3">
      <c r="A181" s="2" t="s">
        <v>62</v>
      </c>
      <c r="B181" s="2">
        <v>4</v>
      </c>
      <c r="C181" s="2">
        <v>2</v>
      </c>
      <c r="D181" s="2">
        <v>-13.58</v>
      </c>
      <c r="E181" s="2">
        <v>94.99</v>
      </c>
      <c r="F181" s="2" t="s">
        <v>87</v>
      </c>
      <c r="G181" s="2" t="s">
        <v>88</v>
      </c>
      <c r="H181" s="2">
        <v>9</v>
      </c>
      <c r="I181" s="2" t="s">
        <v>496</v>
      </c>
      <c r="J181" s="2" t="s">
        <v>66</v>
      </c>
      <c r="K181" s="2" t="s">
        <v>67</v>
      </c>
      <c r="L181" s="2" t="s">
        <v>414</v>
      </c>
      <c r="M181" s="2">
        <v>3784</v>
      </c>
      <c r="N181" s="2" t="s">
        <v>338</v>
      </c>
      <c r="O181" s="2" t="s">
        <v>70</v>
      </c>
      <c r="P181" s="2" t="s">
        <v>71</v>
      </c>
      <c r="Q181" s="2" t="s">
        <v>1076</v>
      </c>
      <c r="R181" s="2">
        <v>725</v>
      </c>
      <c r="S181" s="2">
        <v>3</v>
      </c>
      <c r="T181" s="2" t="s">
        <v>466</v>
      </c>
      <c r="U181" s="2">
        <v>18.2322083</v>
      </c>
      <c r="V181" s="2">
        <v>-66.370628400000001</v>
      </c>
      <c r="W181" s="2" t="s">
        <v>528</v>
      </c>
      <c r="X181" s="2" t="s">
        <v>1077</v>
      </c>
      <c r="Y181" s="2" t="s">
        <v>557</v>
      </c>
      <c r="Z181" s="2">
        <v>3784</v>
      </c>
      <c r="AA181" s="2" t="s">
        <v>1078</v>
      </c>
      <c r="AB181" s="2">
        <v>15673</v>
      </c>
      <c r="AC181" s="2">
        <v>191</v>
      </c>
      <c r="AD181" s="2">
        <v>5</v>
      </c>
      <c r="AE181" s="2">
        <v>0.05</v>
      </c>
      <c r="AF181" s="2" t="str" cm="1">
        <f t="array" ref="AF181">_xlfn.IFS(AE181=0, "No Discount ", AE181&lt;=0.08,"Low Discount", AE181&lt;=0.16,"Medium Discount", AE181&gt;0.16, "High Discount")</f>
        <v>Low Discount</v>
      </c>
      <c r="AG181" s="2">
        <v>39186</v>
      </c>
      <c r="AH181" s="2">
        <v>99.99</v>
      </c>
      <c r="AI181" s="2">
        <v>-0.14000000000000001</v>
      </c>
      <c r="AJ181" s="2" t="str" cm="1">
        <f t="array" ref="AJ181">_xlfn.IFS(AI181&lt;=0, "No Profit", AI181&lt;=0.16,"Low Profit",AI181&lt;=0.32,"Medium Profit",AI181&gt;0.32,"High Profit")</f>
        <v>No Profit</v>
      </c>
      <c r="AK181" s="2">
        <v>1</v>
      </c>
      <c r="AL181" s="2">
        <v>99.99</v>
      </c>
      <c r="AM181" s="2">
        <v>94.99</v>
      </c>
      <c r="AN181" s="2">
        <v>-13.58</v>
      </c>
      <c r="AO181" s="2" t="s">
        <v>558</v>
      </c>
      <c r="AP181" s="2" t="s">
        <v>559</v>
      </c>
      <c r="AQ181" s="2" t="s">
        <v>80</v>
      </c>
      <c r="AR181" s="2" t="s">
        <v>81</v>
      </c>
      <c r="AS181" s="2">
        <v>191</v>
      </c>
      <c r="AT181" s="2">
        <v>9</v>
      </c>
      <c r="AU181" s="2" t="s">
        <v>505</v>
      </c>
      <c r="AV181" s="2">
        <v>99.99</v>
      </c>
      <c r="AW181" s="2">
        <v>0</v>
      </c>
      <c r="AX181" s="2" t="s">
        <v>1079</v>
      </c>
      <c r="AY181" s="2" t="s">
        <v>162</v>
      </c>
      <c r="AZ181" s="4">
        <v>42233</v>
      </c>
      <c r="BA181" s="5">
        <v>0.77430555555555558</v>
      </c>
      <c r="BB181" s="2">
        <v>2015</v>
      </c>
      <c r="BC181" s="2" t="s">
        <v>482</v>
      </c>
      <c r="BD181" s="2">
        <v>17</v>
      </c>
      <c r="BE181" s="4">
        <v>42237</v>
      </c>
      <c r="BF181" s="5">
        <v>0.77430555555555558</v>
      </c>
      <c r="BG181" s="2" t="str" cm="1">
        <f t="array" ref="BG181">_xlfn.IFS(BF181&lt;TIMEVALUE("06:00"),"Night", BF181&gt;=TIMEVALUE("21:00"),"Night",BF181&gt;=TIMEVALUE("17:00"),"Evening",BF181&gt;=TIMEVALUE("12:00"),"Afternoon", BF181&gt;=TIMEVALUE("06:00"),"Morning")</f>
        <v>Evening</v>
      </c>
      <c r="BH181" s="2">
        <v>2015</v>
      </c>
      <c r="BI181" s="2" t="s">
        <v>482</v>
      </c>
      <c r="BJ181" s="2">
        <v>21</v>
      </c>
    </row>
    <row r="182" spans="1:62" x14ac:dyDescent="0.3">
      <c r="A182" s="2" t="s">
        <v>62</v>
      </c>
      <c r="B182" s="2">
        <v>4</v>
      </c>
      <c r="C182" s="2">
        <v>2</v>
      </c>
      <c r="D182" s="2">
        <v>10.039999999999999</v>
      </c>
      <c r="E182" s="2">
        <v>41.84</v>
      </c>
      <c r="F182" s="2" t="s">
        <v>87</v>
      </c>
      <c r="G182" s="2" t="s">
        <v>88</v>
      </c>
      <c r="H182" s="2">
        <v>13</v>
      </c>
      <c r="I182" s="2" t="s">
        <v>464</v>
      </c>
      <c r="J182" s="2" t="s">
        <v>66</v>
      </c>
      <c r="K182" s="2" t="s">
        <v>67</v>
      </c>
      <c r="L182" s="2" t="s">
        <v>414</v>
      </c>
      <c r="M182" s="2">
        <v>10519</v>
      </c>
      <c r="N182" s="2" t="s">
        <v>425</v>
      </c>
      <c r="O182" s="2" t="s">
        <v>70</v>
      </c>
      <c r="P182" s="2" t="s">
        <v>71</v>
      </c>
      <c r="Q182" s="2" t="s">
        <v>1080</v>
      </c>
      <c r="R182" s="2">
        <v>725</v>
      </c>
      <c r="S182" s="2">
        <v>3</v>
      </c>
      <c r="T182" s="2" t="s">
        <v>466</v>
      </c>
      <c r="U182" s="2">
        <v>18.265211099999998</v>
      </c>
      <c r="V182" s="2">
        <v>-66.370552099999998</v>
      </c>
      <c r="W182" s="2" t="s">
        <v>528</v>
      </c>
      <c r="X182" s="2" t="s">
        <v>1081</v>
      </c>
      <c r="Y182" s="2" t="s">
        <v>549</v>
      </c>
      <c r="Z182" s="2">
        <v>10519</v>
      </c>
      <c r="AA182" s="2" t="s">
        <v>1082</v>
      </c>
      <c r="AB182" s="2">
        <v>18183</v>
      </c>
      <c r="AC182" s="2">
        <v>278</v>
      </c>
      <c r="AD182" s="2">
        <v>3.15</v>
      </c>
      <c r="AE182" s="2">
        <v>7.0000000000000007E-2</v>
      </c>
      <c r="AF182" s="2" t="str" cm="1">
        <f t="array" ref="AF182">_xlfn.IFS(AE182=0, "No Discount ", AE182&lt;=0.08,"Low Discount", AE182&lt;=0.16,"Medium Discount", AE182&gt;0.16, "High Discount")</f>
        <v>Low Discount</v>
      </c>
      <c r="AG182" s="2">
        <v>45455</v>
      </c>
      <c r="AH182" s="2">
        <v>44.99</v>
      </c>
      <c r="AI182" s="2">
        <v>0.24</v>
      </c>
      <c r="AJ182" s="2" t="str" cm="1">
        <f t="array" ref="AJ182">_xlfn.IFS(AI182&lt;=0, "No Profit", AI182&lt;=0.16,"Low Profit",AI182&lt;=0.32,"Medium Profit",AI182&gt;0.32,"High Profit")</f>
        <v>Medium Profit</v>
      </c>
      <c r="AK182" s="2">
        <v>1</v>
      </c>
      <c r="AL182" s="2">
        <v>44.99</v>
      </c>
      <c r="AM182" s="2">
        <v>41.84</v>
      </c>
      <c r="AN182" s="2">
        <v>10.039999999999999</v>
      </c>
      <c r="AO182" s="2" t="s">
        <v>531</v>
      </c>
      <c r="AP182" s="2" t="s">
        <v>1083</v>
      </c>
      <c r="AQ182" s="2" t="s">
        <v>80</v>
      </c>
      <c r="AR182" s="2" t="s">
        <v>81</v>
      </c>
      <c r="AS182" s="2">
        <v>278</v>
      </c>
      <c r="AT182" s="2">
        <v>13</v>
      </c>
      <c r="AU182" s="2" t="s">
        <v>472</v>
      </c>
      <c r="AV182" s="2">
        <v>44.99</v>
      </c>
      <c r="AW182" s="2">
        <v>0</v>
      </c>
      <c r="AX182" s="2" t="s">
        <v>1084</v>
      </c>
      <c r="AY182" s="2" t="s">
        <v>162</v>
      </c>
      <c r="AZ182" s="4">
        <v>42270</v>
      </c>
      <c r="BA182" s="5">
        <v>0.41458333333333336</v>
      </c>
      <c r="BB182" s="2">
        <v>2015</v>
      </c>
      <c r="BC182" s="2" t="s">
        <v>552</v>
      </c>
      <c r="BD182" s="2">
        <v>23</v>
      </c>
      <c r="BE182" s="4">
        <v>42274</v>
      </c>
      <c r="BF182" s="5">
        <v>0.41458333333333336</v>
      </c>
      <c r="BG182" s="2" t="str" cm="1">
        <f t="array" ref="BG182">_xlfn.IFS(BF182&lt;TIMEVALUE("06:00"),"Night", BF182&gt;=TIMEVALUE("21:00"),"Night",BF182&gt;=TIMEVALUE("17:00"),"Evening",BF182&gt;=TIMEVALUE("12:00"),"Afternoon", BF182&gt;=TIMEVALUE("06:00"),"Morning")</f>
        <v>Morning</v>
      </c>
      <c r="BH182" s="2">
        <v>2015</v>
      </c>
      <c r="BI182" s="2" t="s">
        <v>552</v>
      </c>
      <c r="BJ182" s="2">
        <v>27</v>
      </c>
    </row>
    <row r="183" spans="1:62" x14ac:dyDescent="0.3">
      <c r="A183" s="2" t="s">
        <v>62</v>
      </c>
      <c r="B183" s="2">
        <v>5</v>
      </c>
      <c r="C183" s="2">
        <v>2</v>
      </c>
      <c r="D183" s="2">
        <v>10.8</v>
      </c>
      <c r="E183" s="2">
        <v>89.99</v>
      </c>
      <c r="F183" s="2" t="s">
        <v>87</v>
      </c>
      <c r="G183" s="2" t="s">
        <v>88</v>
      </c>
      <c r="H183" s="2">
        <v>9</v>
      </c>
      <c r="I183" s="2" t="s">
        <v>496</v>
      </c>
      <c r="J183" s="2" t="s">
        <v>66</v>
      </c>
      <c r="K183" s="2" t="s">
        <v>67</v>
      </c>
      <c r="L183" s="2" t="s">
        <v>594</v>
      </c>
      <c r="M183" s="2">
        <v>7132</v>
      </c>
      <c r="N183" s="2" t="s">
        <v>1085</v>
      </c>
      <c r="O183" s="2" t="s">
        <v>70</v>
      </c>
      <c r="P183" s="2" t="s">
        <v>71</v>
      </c>
      <c r="Q183" s="2" t="s">
        <v>1086</v>
      </c>
      <c r="R183" s="2">
        <v>725</v>
      </c>
      <c r="S183" s="2">
        <v>3</v>
      </c>
      <c r="T183" s="2" t="s">
        <v>466</v>
      </c>
      <c r="U183" s="2">
        <v>18.285703699999999</v>
      </c>
      <c r="V183" s="2">
        <v>-66.370506300000002</v>
      </c>
      <c r="W183" s="2" t="s">
        <v>528</v>
      </c>
      <c r="X183" s="2" t="s">
        <v>1087</v>
      </c>
      <c r="Y183" s="2" t="s">
        <v>1088</v>
      </c>
      <c r="Z183" s="2">
        <v>7132</v>
      </c>
      <c r="AA183" s="2" t="s">
        <v>1089</v>
      </c>
      <c r="AB183" s="2">
        <v>20234</v>
      </c>
      <c r="AC183" s="2">
        <v>191</v>
      </c>
      <c r="AD183" s="2">
        <v>10</v>
      </c>
      <c r="AE183" s="2">
        <v>0.1</v>
      </c>
      <c r="AF183" s="2" t="str" cm="1">
        <f t="array" ref="AF183">_xlfn.IFS(AE183=0, "No Discount ", AE183&lt;=0.08,"Low Discount", AE183&lt;=0.16,"Medium Discount", AE183&gt;0.16, "High Discount")</f>
        <v>Medium Discount</v>
      </c>
      <c r="AG183" s="2">
        <v>50536</v>
      </c>
      <c r="AH183" s="2">
        <v>99.99</v>
      </c>
      <c r="AI183" s="2">
        <v>0.12</v>
      </c>
      <c r="AJ183" s="2" t="str" cm="1">
        <f t="array" ref="AJ183">_xlfn.IFS(AI183&lt;=0, "No Profit", AI183&lt;=0.16,"Low Profit",AI183&lt;=0.32,"Medium Profit",AI183&gt;0.32,"High Profit")</f>
        <v>Low Profit</v>
      </c>
      <c r="AK183" s="2">
        <v>1</v>
      </c>
      <c r="AL183" s="2">
        <v>99.99</v>
      </c>
      <c r="AM183" s="2">
        <v>89.99</v>
      </c>
      <c r="AN183" s="2">
        <v>10.8</v>
      </c>
      <c r="AO183" s="2" t="s">
        <v>531</v>
      </c>
      <c r="AP183" s="2" t="s">
        <v>1087</v>
      </c>
      <c r="AQ183" s="2" t="s">
        <v>80</v>
      </c>
      <c r="AR183" s="2" t="s">
        <v>81</v>
      </c>
      <c r="AS183" s="2">
        <v>191</v>
      </c>
      <c r="AT183" s="2">
        <v>9</v>
      </c>
      <c r="AU183" s="2" t="s">
        <v>505</v>
      </c>
      <c r="AV183" s="2">
        <v>99.99</v>
      </c>
      <c r="AW183" s="2">
        <v>0</v>
      </c>
      <c r="AX183" s="2" t="s">
        <v>1090</v>
      </c>
      <c r="AY183" s="2" t="s">
        <v>162</v>
      </c>
      <c r="AZ183" s="4">
        <v>42300</v>
      </c>
      <c r="BA183" s="5">
        <v>0.35486111111111113</v>
      </c>
      <c r="BB183" s="2">
        <v>2015</v>
      </c>
      <c r="BC183" s="2" t="s">
        <v>434</v>
      </c>
      <c r="BD183" s="2">
        <v>23</v>
      </c>
      <c r="BE183" s="4">
        <v>42305</v>
      </c>
      <c r="BF183" s="5">
        <v>0.35486111111111113</v>
      </c>
      <c r="BG183" s="2" t="str" cm="1">
        <f t="array" ref="BG183">_xlfn.IFS(BF183&lt;TIMEVALUE("06:00"),"Night", BF183&gt;=TIMEVALUE("21:00"),"Night",BF183&gt;=TIMEVALUE("17:00"),"Evening",BF183&gt;=TIMEVALUE("12:00"),"Afternoon", BF183&gt;=TIMEVALUE("06:00"),"Morning")</f>
        <v>Morning</v>
      </c>
      <c r="BH183" s="2">
        <v>2015</v>
      </c>
      <c r="BI183" s="2" t="s">
        <v>434</v>
      </c>
      <c r="BJ183" s="2">
        <v>28</v>
      </c>
    </row>
    <row r="184" spans="1:62" x14ac:dyDescent="0.3">
      <c r="A184" s="2" t="s">
        <v>62</v>
      </c>
      <c r="B184" s="2">
        <v>5</v>
      </c>
      <c r="C184" s="2">
        <v>2</v>
      </c>
      <c r="D184" s="2">
        <v>16.72</v>
      </c>
      <c r="E184" s="2">
        <v>87.99</v>
      </c>
      <c r="F184" s="2" t="s">
        <v>87</v>
      </c>
      <c r="G184" s="2" t="s">
        <v>88</v>
      </c>
      <c r="H184" s="2">
        <v>9</v>
      </c>
      <c r="I184" s="2" t="s">
        <v>496</v>
      </c>
      <c r="J184" s="2" t="s">
        <v>66</v>
      </c>
      <c r="K184" s="2" t="s">
        <v>67</v>
      </c>
      <c r="L184" s="2" t="s">
        <v>414</v>
      </c>
      <c r="M184" s="2">
        <v>3709</v>
      </c>
      <c r="N184" s="2" t="s">
        <v>1091</v>
      </c>
      <c r="O184" s="2" t="s">
        <v>70</v>
      </c>
      <c r="P184" s="2" t="s">
        <v>71</v>
      </c>
      <c r="Q184" s="2" t="s">
        <v>1092</v>
      </c>
      <c r="R184" s="2">
        <v>725</v>
      </c>
      <c r="S184" s="2">
        <v>3</v>
      </c>
      <c r="T184" s="2" t="s">
        <v>466</v>
      </c>
      <c r="U184" s="2">
        <v>18.296850200000002</v>
      </c>
      <c r="V184" s="2">
        <v>-66.370628400000001</v>
      </c>
      <c r="W184" s="2" t="s">
        <v>528</v>
      </c>
      <c r="X184" s="2" t="s">
        <v>1087</v>
      </c>
      <c r="Y184" s="2" t="s">
        <v>1088</v>
      </c>
      <c r="Z184" s="2">
        <v>3709</v>
      </c>
      <c r="AA184" s="3">
        <v>42315.78402777778</v>
      </c>
      <c r="AB184" s="2">
        <v>13139</v>
      </c>
      <c r="AC184" s="2">
        <v>191</v>
      </c>
      <c r="AD184" s="2">
        <v>12</v>
      </c>
      <c r="AE184" s="2">
        <v>0.12</v>
      </c>
      <c r="AF184" s="2" t="str" cm="1">
        <f t="array" ref="AF184">_xlfn.IFS(AE184=0, "No Discount ", AE184&lt;=0.08,"Low Discount", AE184&lt;=0.16,"Medium Discount", AE184&gt;0.16, "High Discount")</f>
        <v>Medium Discount</v>
      </c>
      <c r="AG184" s="2">
        <v>32867</v>
      </c>
      <c r="AH184" s="2">
        <v>99.99</v>
      </c>
      <c r="AI184" s="2">
        <v>0.19</v>
      </c>
      <c r="AJ184" s="2" t="str" cm="1">
        <f t="array" ref="AJ184">_xlfn.IFS(AI184&lt;=0, "No Profit", AI184&lt;=0.16,"Low Profit",AI184&lt;=0.32,"Medium Profit",AI184&gt;0.32,"High Profit")</f>
        <v>Medium Profit</v>
      </c>
      <c r="AK184" s="2">
        <v>1</v>
      </c>
      <c r="AL184" s="2">
        <v>99.99</v>
      </c>
      <c r="AM184" s="2">
        <v>87.99</v>
      </c>
      <c r="AN184" s="2">
        <v>16.72</v>
      </c>
      <c r="AO184" s="2" t="s">
        <v>531</v>
      </c>
      <c r="AP184" s="2" t="s">
        <v>1087</v>
      </c>
      <c r="AQ184" s="2" t="s">
        <v>80</v>
      </c>
      <c r="AR184" s="2" t="s">
        <v>81</v>
      </c>
      <c r="AS184" s="2">
        <v>191</v>
      </c>
      <c r="AT184" s="2">
        <v>9</v>
      </c>
      <c r="AU184" s="2" t="s">
        <v>505</v>
      </c>
      <c r="AV184" s="2">
        <v>99.99</v>
      </c>
      <c r="AW184" s="2">
        <v>0</v>
      </c>
      <c r="AX184" s="2" t="s">
        <v>1093</v>
      </c>
      <c r="AY184" s="2" t="s">
        <v>162</v>
      </c>
      <c r="AZ184" s="4">
        <v>42315</v>
      </c>
      <c r="BA184" s="5">
        <v>0.78402777777777777</v>
      </c>
      <c r="BB184" s="2">
        <v>2015</v>
      </c>
      <c r="BC184" s="2" t="s">
        <v>455</v>
      </c>
      <c r="BD184" s="2">
        <v>7</v>
      </c>
      <c r="BE184" s="4">
        <v>42201</v>
      </c>
      <c r="BF184" s="5">
        <v>0.78402777777777777</v>
      </c>
      <c r="BG184" s="2" t="str" cm="1">
        <f t="array" ref="BG184">_xlfn.IFS(BF184&lt;TIMEVALUE("06:00"),"Night", BF184&gt;=TIMEVALUE("21:00"),"Night",BF184&gt;=TIMEVALUE("17:00"),"Evening",BF184&gt;=TIMEVALUE("12:00"),"Afternoon", BF184&gt;=TIMEVALUE("06:00"),"Morning")</f>
        <v>Evening</v>
      </c>
      <c r="BH184" s="2">
        <v>2015</v>
      </c>
      <c r="BI184" s="2" t="s">
        <v>533</v>
      </c>
      <c r="BJ184" s="2">
        <v>16</v>
      </c>
    </row>
    <row r="185" spans="1:62" x14ac:dyDescent="0.3">
      <c r="A185" s="2" t="s">
        <v>86</v>
      </c>
      <c r="B185" s="2">
        <v>5</v>
      </c>
      <c r="C185" s="2">
        <v>4</v>
      </c>
      <c r="D185" s="2">
        <v>28.85</v>
      </c>
      <c r="E185" s="2">
        <v>128.22</v>
      </c>
      <c r="F185" s="2" t="s">
        <v>129</v>
      </c>
      <c r="G185" s="2" t="s">
        <v>64</v>
      </c>
      <c r="H185" s="2">
        <v>13</v>
      </c>
      <c r="I185" s="2" t="s">
        <v>464</v>
      </c>
      <c r="J185" s="2" t="s">
        <v>177</v>
      </c>
      <c r="K185" s="2" t="s">
        <v>102</v>
      </c>
      <c r="L185" s="2" t="s">
        <v>1094</v>
      </c>
      <c r="M185" s="2">
        <v>1509</v>
      </c>
      <c r="N185" s="2" t="s">
        <v>1095</v>
      </c>
      <c r="O185" s="2" t="s">
        <v>70</v>
      </c>
      <c r="P185" s="2" t="s">
        <v>133</v>
      </c>
      <c r="Q185" s="2" t="s">
        <v>1096</v>
      </c>
      <c r="R185" s="2">
        <v>11520</v>
      </c>
      <c r="S185" s="2">
        <v>3</v>
      </c>
      <c r="T185" s="2" t="s">
        <v>466</v>
      </c>
      <c r="U185" s="2">
        <v>40.654865299999997</v>
      </c>
      <c r="V185" s="2">
        <v>-73.587074299999998</v>
      </c>
      <c r="W185" s="2" t="s">
        <v>467</v>
      </c>
      <c r="X185" s="2" t="s">
        <v>1097</v>
      </c>
      <c r="Y185" s="2" t="s">
        <v>469</v>
      </c>
      <c r="Z185" s="2">
        <v>1509</v>
      </c>
      <c r="AA185" s="3">
        <v>42587.737500000003</v>
      </c>
      <c r="AB185" s="2">
        <v>33824</v>
      </c>
      <c r="AC185" s="2">
        <v>278</v>
      </c>
      <c r="AD185" s="2">
        <v>6.75</v>
      </c>
      <c r="AE185" s="2">
        <v>0.05</v>
      </c>
      <c r="AF185" s="2" t="str" cm="1">
        <f t="array" ref="AF185">_xlfn.IFS(AE185=0, "No Discount ", AE185&lt;=0.08,"Low Discount", AE185&lt;=0.16,"Medium Discount", AE185&gt;0.16, "High Discount")</f>
        <v>Low Discount</v>
      </c>
      <c r="AG185" s="2">
        <v>84424</v>
      </c>
      <c r="AH185" s="2">
        <v>44.99</v>
      </c>
      <c r="AI185" s="2">
        <v>0.23</v>
      </c>
      <c r="AJ185" s="2" t="str" cm="1">
        <f t="array" ref="AJ185">_xlfn.IFS(AI185&lt;=0, "No Profit", AI185&lt;=0.16,"Low Profit",AI185&lt;=0.32,"Medium Profit",AI185&gt;0.32,"High Profit")</f>
        <v>Medium Profit</v>
      </c>
      <c r="AK185" s="2">
        <v>3</v>
      </c>
      <c r="AL185" s="2">
        <v>134.97</v>
      </c>
      <c r="AM185" s="2">
        <v>128.22</v>
      </c>
      <c r="AN185" s="2">
        <v>28.85</v>
      </c>
      <c r="AO185" s="2" t="s">
        <v>493</v>
      </c>
      <c r="AP185" s="2" t="s">
        <v>1098</v>
      </c>
      <c r="AQ185" s="2" t="s">
        <v>175</v>
      </c>
      <c r="AR185" s="2">
        <v>77041</v>
      </c>
      <c r="AS185" s="2">
        <v>278</v>
      </c>
      <c r="AT185" s="2">
        <v>13</v>
      </c>
      <c r="AU185" s="2" t="s">
        <v>472</v>
      </c>
      <c r="AV185" s="2">
        <v>44.99</v>
      </c>
      <c r="AW185" s="2">
        <v>0</v>
      </c>
      <c r="AX185" s="2" t="s">
        <v>1099</v>
      </c>
      <c r="AY185" s="2" t="s">
        <v>83</v>
      </c>
      <c r="AZ185" s="4">
        <v>42587</v>
      </c>
      <c r="BA185" s="5">
        <v>0.73750000000000004</v>
      </c>
      <c r="BB185" s="2">
        <v>2016</v>
      </c>
      <c r="BC185" s="2" t="s">
        <v>482</v>
      </c>
      <c r="BD185" s="2">
        <v>5</v>
      </c>
      <c r="BE185" s="4">
        <v>42503</v>
      </c>
      <c r="BF185" s="5">
        <v>0.73750000000000004</v>
      </c>
      <c r="BG185" s="2" t="str" cm="1">
        <f t="array" ref="BG185">_xlfn.IFS(BF185&lt;TIMEVALUE("06:00"),"Night", BF185&gt;=TIMEVALUE("21:00"),"Night",BF185&gt;=TIMEVALUE("17:00"),"Evening",BF185&gt;=TIMEVALUE("12:00"),"Afternoon", BF185&gt;=TIMEVALUE("06:00"),"Morning")</f>
        <v>Evening</v>
      </c>
      <c r="BH185" s="2">
        <v>2016</v>
      </c>
      <c r="BI185" s="2" t="s">
        <v>443</v>
      </c>
      <c r="BJ185" s="2">
        <v>13</v>
      </c>
    </row>
    <row r="186" spans="1:62" x14ac:dyDescent="0.3">
      <c r="A186" s="2" t="s">
        <v>86</v>
      </c>
      <c r="B186" s="2">
        <v>5</v>
      </c>
      <c r="C186" s="2">
        <v>4</v>
      </c>
      <c r="D186" s="2">
        <v>133.91</v>
      </c>
      <c r="E186" s="2">
        <v>278.97000000000003</v>
      </c>
      <c r="F186" s="2" t="s">
        <v>129</v>
      </c>
      <c r="G186" s="2" t="s">
        <v>64</v>
      </c>
      <c r="H186" s="2">
        <v>9</v>
      </c>
      <c r="I186" s="2" t="s">
        <v>496</v>
      </c>
      <c r="J186" s="2" t="s">
        <v>1100</v>
      </c>
      <c r="K186" s="2" t="s">
        <v>102</v>
      </c>
      <c r="L186" s="2" t="s">
        <v>1101</v>
      </c>
      <c r="M186" s="2">
        <v>1636</v>
      </c>
      <c r="N186" s="2" t="s">
        <v>1095</v>
      </c>
      <c r="O186" s="2" t="s">
        <v>70</v>
      </c>
      <c r="P186" s="2" t="s">
        <v>1102</v>
      </c>
      <c r="Q186" s="2" t="s">
        <v>1103</v>
      </c>
      <c r="R186" s="2">
        <v>20744</v>
      </c>
      <c r="S186" s="2">
        <v>3</v>
      </c>
      <c r="T186" s="2" t="s">
        <v>466</v>
      </c>
      <c r="U186" s="2">
        <v>38.742664300000001</v>
      </c>
      <c r="V186" s="2">
        <v>-76.991798399999993</v>
      </c>
      <c r="W186" s="2" t="s">
        <v>467</v>
      </c>
      <c r="X186" s="2" t="s">
        <v>1104</v>
      </c>
      <c r="Y186" s="2" t="s">
        <v>469</v>
      </c>
      <c r="Z186" s="2">
        <v>1636</v>
      </c>
      <c r="AA186" s="3">
        <v>42404.82708333333</v>
      </c>
      <c r="AB186" s="2">
        <v>31364</v>
      </c>
      <c r="AC186" s="2">
        <v>191</v>
      </c>
      <c r="AD186" s="2">
        <v>21</v>
      </c>
      <c r="AE186" s="2">
        <v>7.0000000000000007E-2</v>
      </c>
      <c r="AF186" s="2" t="str" cm="1">
        <f t="array" ref="AF186">_xlfn.IFS(AE186=0, "No Discount ", AE186&lt;=0.08,"Low Discount", AE186&lt;=0.16,"Medium Discount", AE186&gt;0.16, "High Discount")</f>
        <v>Low Discount</v>
      </c>
      <c r="AG186" s="2">
        <v>78398</v>
      </c>
      <c r="AH186" s="2">
        <v>99.99</v>
      </c>
      <c r="AI186" s="2">
        <v>0.48</v>
      </c>
      <c r="AJ186" s="2" t="str" cm="1">
        <f t="array" ref="AJ186">_xlfn.IFS(AI186&lt;=0, "No Profit", AI186&lt;=0.16,"Low Profit",AI186&lt;=0.32,"Medium Profit",AI186&gt;0.32,"High Profit")</f>
        <v>High Profit</v>
      </c>
      <c r="AK186" s="2">
        <v>3</v>
      </c>
      <c r="AL186" s="2">
        <v>299.97000000000003</v>
      </c>
      <c r="AM186" s="2">
        <v>278.97000000000003</v>
      </c>
      <c r="AN186" s="2">
        <v>133.91</v>
      </c>
      <c r="AO186" s="2" t="s">
        <v>470</v>
      </c>
      <c r="AP186" s="2" t="s">
        <v>1105</v>
      </c>
      <c r="AQ186" s="2" t="s">
        <v>175</v>
      </c>
      <c r="AR186" s="2">
        <v>85234</v>
      </c>
      <c r="AS186" s="2">
        <v>191</v>
      </c>
      <c r="AT186" s="2">
        <v>9</v>
      </c>
      <c r="AU186" s="2" t="s">
        <v>505</v>
      </c>
      <c r="AV186" s="2">
        <v>99.99</v>
      </c>
      <c r="AW186" s="2">
        <v>0</v>
      </c>
      <c r="AX186" s="3">
        <v>42555.82708333333</v>
      </c>
      <c r="AY186" s="2" t="s">
        <v>83</v>
      </c>
      <c r="AZ186" s="4">
        <v>42404</v>
      </c>
      <c r="BA186" s="5">
        <v>0.82708333333333328</v>
      </c>
      <c r="BB186" s="2">
        <v>2016</v>
      </c>
      <c r="BC186" s="2" t="s">
        <v>423</v>
      </c>
      <c r="BD186" s="2">
        <v>4</v>
      </c>
      <c r="BE186" s="4">
        <v>42555</v>
      </c>
      <c r="BF186" s="5">
        <v>0.82708333333333328</v>
      </c>
      <c r="BG186" s="2" t="str" cm="1">
        <f t="array" ref="BG186">_xlfn.IFS(BF186&lt;TIMEVALUE("06:00"),"Night", BF186&gt;=TIMEVALUE("21:00"),"Night",BF186&gt;=TIMEVALUE("17:00"),"Evening",BF186&gt;=TIMEVALUE("12:00"),"Afternoon", BF186&gt;=TIMEVALUE("06:00"),"Morning")</f>
        <v>Evening</v>
      </c>
      <c r="BH186" s="2">
        <v>2016</v>
      </c>
      <c r="BI186" s="2" t="s">
        <v>533</v>
      </c>
      <c r="BJ186" s="2">
        <v>4</v>
      </c>
    </row>
    <row r="187" spans="1:62" x14ac:dyDescent="0.3">
      <c r="A187" s="2" t="s">
        <v>86</v>
      </c>
      <c r="B187" s="2">
        <v>6</v>
      </c>
      <c r="C187" s="2">
        <v>4</v>
      </c>
      <c r="D187" s="2">
        <v>79.16</v>
      </c>
      <c r="E187" s="2">
        <v>272.97000000000003</v>
      </c>
      <c r="F187" s="2" t="s">
        <v>129</v>
      </c>
      <c r="G187" s="2" t="s">
        <v>64</v>
      </c>
      <c r="H187" s="2">
        <v>9</v>
      </c>
      <c r="I187" s="2" t="s">
        <v>496</v>
      </c>
      <c r="J187" s="2" t="s">
        <v>1106</v>
      </c>
      <c r="K187" s="2" t="s">
        <v>102</v>
      </c>
      <c r="L187" s="2" t="s">
        <v>580</v>
      </c>
      <c r="M187" s="2">
        <v>2784</v>
      </c>
      <c r="N187" s="2" t="s">
        <v>425</v>
      </c>
      <c r="O187" s="2" t="s">
        <v>70</v>
      </c>
      <c r="P187" s="2" t="s">
        <v>105</v>
      </c>
      <c r="Q187" s="2" t="s">
        <v>1107</v>
      </c>
      <c r="R187" s="2">
        <v>93304</v>
      </c>
      <c r="S187" s="2">
        <v>3</v>
      </c>
      <c r="T187" s="2" t="s">
        <v>466</v>
      </c>
      <c r="U187" s="2">
        <v>35.362544999999997</v>
      </c>
      <c r="V187" s="2">
        <v>-119.01869960000001</v>
      </c>
      <c r="W187" s="2" t="s">
        <v>467</v>
      </c>
      <c r="X187" s="2" t="s">
        <v>101</v>
      </c>
      <c r="Y187" s="2" t="s">
        <v>469</v>
      </c>
      <c r="Z187" s="2">
        <v>2784</v>
      </c>
      <c r="AA187" s="2" t="s">
        <v>1108</v>
      </c>
      <c r="AB187" s="2">
        <v>40495</v>
      </c>
      <c r="AC187" s="2">
        <v>191</v>
      </c>
      <c r="AD187" s="2">
        <v>27</v>
      </c>
      <c r="AE187" s="2">
        <v>0.09</v>
      </c>
      <c r="AF187" s="2" t="str" cm="1">
        <f t="array" ref="AF187">_xlfn.IFS(AE187=0, "No Discount ", AE187&lt;=0.08,"Low Discount", AE187&lt;=0.16,"Medium Discount", AE187&gt;0.16, "High Discount")</f>
        <v>Medium Discount</v>
      </c>
      <c r="AG187" s="2">
        <v>101052</v>
      </c>
      <c r="AH187" s="2">
        <v>99.99</v>
      </c>
      <c r="AI187" s="2">
        <v>0.28999999999999998</v>
      </c>
      <c r="AJ187" s="2" t="str" cm="1">
        <f t="array" ref="AJ187">_xlfn.IFS(AI187&lt;=0, "No Profit", AI187&lt;=0.16,"Low Profit",AI187&lt;=0.32,"Medium Profit",AI187&gt;0.32,"High Profit")</f>
        <v>Medium Profit</v>
      </c>
      <c r="AK187" s="2">
        <v>3</v>
      </c>
      <c r="AL187" s="2">
        <v>299.97000000000003</v>
      </c>
      <c r="AM187" s="2">
        <v>272.97000000000003</v>
      </c>
      <c r="AN187" s="2">
        <v>79.16</v>
      </c>
      <c r="AO187" s="2" t="s">
        <v>470</v>
      </c>
      <c r="AP187" s="2" t="s">
        <v>479</v>
      </c>
      <c r="AQ187" s="2" t="s">
        <v>175</v>
      </c>
      <c r="AR187" s="2">
        <v>95123</v>
      </c>
      <c r="AS187" s="2">
        <v>191</v>
      </c>
      <c r="AT187" s="2">
        <v>9</v>
      </c>
      <c r="AU187" s="2" t="s">
        <v>505</v>
      </c>
      <c r="AV187" s="2">
        <v>99.99</v>
      </c>
      <c r="AW187" s="2">
        <v>0</v>
      </c>
      <c r="AX187" s="2" t="s">
        <v>1109</v>
      </c>
      <c r="AY187" s="2" t="s">
        <v>83</v>
      </c>
      <c r="AZ187" s="4">
        <v>42596</v>
      </c>
      <c r="BA187" s="5">
        <v>0.11874999999999999</v>
      </c>
      <c r="BB187" s="2">
        <v>2016</v>
      </c>
      <c r="BC187" s="2" t="s">
        <v>482</v>
      </c>
      <c r="BD187" s="2">
        <v>14</v>
      </c>
      <c r="BE187" s="4">
        <v>42602</v>
      </c>
      <c r="BF187" s="5">
        <v>0.11874999999999999</v>
      </c>
      <c r="BG187" s="2" t="str" cm="1">
        <f t="array" ref="BG187">_xlfn.IFS(BF187&lt;TIMEVALUE("06:00"),"Night", BF187&gt;=TIMEVALUE("21:00"),"Night",BF187&gt;=TIMEVALUE("17:00"),"Evening",BF187&gt;=TIMEVALUE("12:00"),"Afternoon", BF187&gt;=TIMEVALUE("06:00"),"Morning")</f>
        <v>Night</v>
      </c>
      <c r="BH187" s="2">
        <v>2016</v>
      </c>
      <c r="BI187" s="2" t="s">
        <v>482</v>
      </c>
      <c r="BJ187" s="2">
        <v>20</v>
      </c>
    </row>
    <row r="188" spans="1:62" x14ac:dyDescent="0.3">
      <c r="A188" s="2" t="s">
        <v>86</v>
      </c>
      <c r="B188" s="2">
        <v>5</v>
      </c>
      <c r="C188" s="2">
        <v>4</v>
      </c>
      <c r="D188" s="2">
        <v>19.11</v>
      </c>
      <c r="E188" s="2">
        <v>272.97000000000003</v>
      </c>
      <c r="F188" s="2" t="s">
        <v>129</v>
      </c>
      <c r="G188" s="2" t="s">
        <v>64</v>
      </c>
      <c r="H188" s="2">
        <v>9</v>
      </c>
      <c r="I188" s="2" t="s">
        <v>496</v>
      </c>
      <c r="J188" s="2" t="s">
        <v>1100</v>
      </c>
      <c r="K188" s="2" t="s">
        <v>102</v>
      </c>
      <c r="L188" s="2" t="s">
        <v>1101</v>
      </c>
      <c r="M188" s="2">
        <v>1636</v>
      </c>
      <c r="N188" s="2" t="s">
        <v>1095</v>
      </c>
      <c r="O188" s="2" t="s">
        <v>70</v>
      </c>
      <c r="P188" s="2" t="s">
        <v>1102</v>
      </c>
      <c r="Q188" s="2" t="s">
        <v>1103</v>
      </c>
      <c r="R188" s="2">
        <v>20744</v>
      </c>
      <c r="S188" s="2">
        <v>3</v>
      </c>
      <c r="T188" s="2" t="s">
        <v>466</v>
      </c>
      <c r="U188" s="2">
        <v>38.742664300000001</v>
      </c>
      <c r="V188" s="2">
        <v>-76.991798399999993</v>
      </c>
      <c r="W188" s="2" t="s">
        <v>467</v>
      </c>
      <c r="X188" s="2" t="s">
        <v>1104</v>
      </c>
      <c r="Y188" s="2" t="s">
        <v>469</v>
      </c>
      <c r="Z188" s="2">
        <v>1636</v>
      </c>
      <c r="AA188" s="3">
        <v>42404.82708333333</v>
      </c>
      <c r="AB188" s="2">
        <v>31364</v>
      </c>
      <c r="AC188" s="2">
        <v>191</v>
      </c>
      <c r="AD188" s="2">
        <v>27</v>
      </c>
      <c r="AE188" s="2">
        <v>0.09</v>
      </c>
      <c r="AF188" s="2" t="str" cm="1">
        <f t="array" ref="AF188">_xlfn.IFS(AE188=0, "No Discount ", AE188&lt;=0.08,"Low Discount", AE188&lt;=0.16,"Medium Discount", AE188&gt;0.16, "High Discount")</f>
        <v>Medium Discount</v>
      </c>
      <c r="AG188" s="2">
        <v>78396</v>
      </c>
      <c r="AH188" s="2">
        <v>99.99</v>
      </c>
      <c r="AI188" s="2">
        <v>7.0000000000000007E-2</v>
      </c>
      <c r="AJ188" s="2" t="str" cm="1">
        <f t="array" ref="AJ188">_xlfn.IFS(AI188&lt;=0, "No Profit", AI188&lt;=0.16,"Low Profit",AI188&lt;=0.32,"Medium Profit",AI188&gt;0.32,"High Profit")</f>
        <v>Low Profit</v>
      </c>
      <c r="AK188" s="2">
        <v>3</v>
      </c>
      <c r="AL188" s="2">
        <v>299.97000000000003</v>
      </c>
      <c r="AM188" s="2">
        <v>272.97000000000003</v>
      </c>
      <c r="AN188" s="2">
        <v>19.11</v>
      </c>
      <c r="AO188" s="2" t="s">
        <v>470</v>
      </c>
      <c r="AP188" s="2" t="s">
        <v>1105</v>
      </c>
      <c r="AQ188" s="2" t="s">
        <v>175</v>
      </c>
      <c r="AR188" s="2">
        <v>85234</v>
      </c>
      <c r="AS188" s="2">
        <v>191</v>
      </c>
      <c r="AT188" s="2">
        <v>9</v>
      </c>
      <c r="AU188" s="2" t="s">
        <v>505</v>
      </c>
      <c r="AV188" s="2">
        <v>99.99</v>
      </c>
      <c r="AW188" s="2">
        <v>0</v>
      </c>
      <c r="AX188" s="3">
        <v>42555.82708333333</v>
      </c>
      <c r="AY188" s="2" t="s">
        <v>83</v>
      </c>
      <c r="AZ188" s="4">
        <v>42404</v>
      </c>
      <c r="BA188" s="5">
        <v>0.82708333333333328</v>
      </c>
      <c r="BB188" s="2">
        <v>2016</v>
      </c>
      <c r="BC188" s="2" t="s">
        <v>423</v>
      </c>
      <c r="BD188" s="2">
        <v>4</v>
      </c>
      <c r="BE188" s="4">
        <v>42555</v>
      </c>
      <c r="BF188" s="5">
        <v>0.82708333333333328</v>
      </c>
      <c r="BG188" s="2" t="str" cm="1">
        <f t="array" ref="BG188">_xlfn.IFS(BF188&lt;TIMEVALUE("06:00"),"Night", BF188&gt;=TIMEVALUE("21:00"),"Night",BF188&gt;=TIMEVALUE("17:00"),"Evening",BF188&gt;=TIMEVALUE("12:00"),"Afternoon", BF188&gt;=TIMEVALUE("06:00"),"Morning")</f>
        <v>Evening</v>
      </c>
      <c r="BH188" s="2">
        <v>2016</v>
      </c>
      <c r="BI188" s="2" t="s">
        <v>533</v>
      </c>
      <c r="BJ188" s="2">
        <v>4</v>
      </c>
    </row>
    <row r="189" spans="1:62" x14ac:dyDescent="0.3">
      <c r="A189" s="2" t="s">
        <v>86</v>
      </c>
      <c r="B189" s="2">
        <v>2</v>
      </c>
      <c r="C189" s="2">
        <v>4</v>
      </c>
      <c r="D189" s="2">
        <v>10.77</v>
      </c>
      <c r="E189" s="2">
        <v>170.97</v>
      </c>
      <c r="F189" s="2" t="s">
        <v>129</v>
      </c>
      <c r="G189" s="2" t="s">
        <v>64</v>
      </c>
      <c r="H189" s="2">
        <v>17</v>
      </c>
      <c r="I189" s="2" t="s">
        <v>412</v>
      </c>
      <c r="J189" s="2" t="s">
        <v>1110</v>
      </c>
      <c r="K189" s="2" t="s">
        <v>102</v>
      </c>
      <c r="L189" s="2" t="s">
        <v>445</v>
      </c>
      <c r="M189" s="2">
        <v>9174</v>
      </c>
      <c r="N189" s="2" t="s">
        <v>425</v>
      </c>
      <c r="O189" s="2" t="s">
        <v>70</v>
      </c>
      <c r="P189" s="2" t="s">
        <v>133</v>
      </c>
      <c r="Q189" s="2" t="s">
        <v>1111</v>
      </c>
      <c r="R189" s="2">
        <v>11368</v>
      </c>
      <c r="S189" s="2">
        <v>4</v>
      </c>
      <c r="T189" s="2" t="s">
        <v>417</v>
      </c>
      <c r="U189" s="2">
        <v>40.742107400000002</v>
      </c>
      <c r="V189" s="2">
        <v>-73.869621300000006</v>
      </c>
      <c r="W189" s="2" t="s">
        <v>467</v>
      </c>
      <c r="X189" s="2" t="s">
        <v>1112</v>
      </c>
      <c r="Y189" s="2" t="s">
        <v>469</v>
      </c>
      <c r="Z189" s="2">
        <v>9174</v>
      </c>
      <c r="AA189" s="2" t="s">
        <v>1113</v>
      </c>
      <c r="AB189" s="2">
        <v>34506</v>
      </c>
      <c r="AC189" s="2">
        <v>365</v>
      </c>
      <c r="AD189" s="2">
        <v>9</v>
      </c>
      <c r="AE189" s="2">
        <v>0.05</v>
      </c>
      <c r="AF189" s="2" t="str" cm="1">
        <f t="array" ref="AF189">_xlfn.IFS(AE189=0, "No Discount ", AE189&lt;=0.08,"Low Discount", AE189&lt;=0.16,"Medium Discount", AE189&gt;0.16, "High Discount")</f>
        <v>Low Discount</v>
      </c>
      <c r="AG189" s="2">
        <v>86191</v>
      </c>
      <c r="AH189" s="2">
        <v>59.99</v>
      </c>
      <c r="AI189" s="2">
        <v>0.06</v>
      </c>
      <c r="AJ189" s="2" t="str" cm="1">
        <f t="array" ref="AJ189">_xlfn.IFS(AI189&lt;=0, "No Profit", AI189&lt;=0.16,"Low Profit",AI189&lt;=0.32,"Medium Profit",AI189&gt;0.32,"High Profit")</f>
        <v>Low Profit</v>
      </c>
      <c r="AK189" s="2">
        <v>3</v>
      </c>
      <c r="AL189" s="2">
        <v>179.97</v>
      </c>
      <c r="AM189" s="2">
        <v>170.97</v>
      </c>
      <c r="AN189" s="2">
        <v>10.77</v>
      </c>
      <c r="AO189" s="2" t="s">
        <v>470</v>
      </c>
      <c r="AP189" s="2" t="s">
        <v>479</v>
      </c>
      <c r="AQ189" s="2" t="s">
        <v>175</v>
      </c>
      <c r="AR189" s="2">
        <v>93727</v>
      </c>
      <c r="AS189" s="2">
        <v>365</v>
      </c>
      <c r="AT189" s="2">
        <v>17</v>
      </c>
      <c r="AU189" s="2" t="s">
        <v>421</v>
      </c>
      <c r="AV189" s="2">
        <v>59.99</v>
      </c>
      <c r="AW189" s="2">
        <v>0</v>
      </c>
      <c r="AX189" s="2" t="s">
        <v>1114</v>
      </c>
      <c r="AY189" s="2" t="s">
        <v>83</v>
      </c>
      <c r="AZ189" s="4">
        <v>42508</v>
      </c>
      <c r="BA189" s="5">
        <v>0.69305555555555554</v>
      </c>
      <c r="BB189" s="2">
        <v>2016</v>
      </c>
      <c r="BC189" s="2" t="s">
        <v>443</v>
      </c>
      <c r="BD189" s="2">
        <v>18</v>
      </c>
      <c r="BE189" s="4">
        <v>42510</v>
      </c>
      <c r="BF189" s="5">
        <v>0.69305555555555554</v>
      </c>
      <c r="BG189" s="2" t="str" cm="1">
        <f t="array" ref="BG189">_xlfn.IFS(BF189&lt;TIMEVALUE("06:00"),"Night", BF189&gt;=TIMEVALUE("21:00"),"Night",BF189&gt;=TIMEVALUE("17:00"),"Evening",BF189&gt;=TIMEVALUE("12:00"),"Afternoon", BF189&gt;=TIMEVALUE("06:00"),"Morning")</f>
        <v>Afternoon</v>
      </c>
      <c r="BH189" s="2">
        <v>2016</v>
      </c>
      <c r="BI189" s="2" t="s">
        <v>443</v>
      </c>
      <c r="BJ189" s="2">
        <v>20</v>
      </c>
    </row>
    <row r="190" spans="1:62" x14ac:dyDescent="0.3">
      <c r="A190" s="2" t="s">
        <v>86</v>
      </c>
      <c r="B190" s="2">
        <v>3</v>
      </c>
      <c r="C190" s="2">
        <v>4</v>
      </c>
      <c r="D190" s="2">
        <v>-284.52999999999997</v>
      </c>
      <c r="E190" s="2">
        <v>167.37</v>
      </c>
      <c r="F190" s="2" t="s">
        <v>129</v>
      </c>
      <c r="G190" s="2" t="s">
        <v>64</v>
      </c>
      <c r="H190" s="2">
        <v>17</v>
      </c>
      <c r="I190" s="2" t="s">
        <v>412</v>
      </c>
      <c r="J190" s="2" t="s">
        <v>1115</v>
      </c>
      <c r="K190" s="2" t="s">
        <v>102</v>
      </c>
      <c r="L190" s="2" t="s">
        <v>1116</v>
      </c>
      <c r="M190" s="2">
        <v>122</v>
      </c>
      <c r="N190" s="2" t="s">
        <v>425</v>
      </c>
      <c r="O190" s="2" t="s">
        <v>70</v>
      </c>
      <c r="P190" s="2" t="s">
        <v>1117</v>
      </c>
      <c r="Q190" s="2" t="s">
        <v>1118</v>
      </c>
      <c r="R190" s="2">
        <v>45238</v>
      </c>
      <c r="S190" s="2">
        <v>4</v>
      </c>
      <c r="T190" s="2" t="s">
        <v>417</v>
      </c>
      <c r="U190" s="2">
        <v>39.288494100000001</v>
      </c>
      <c r="V190" s="2">
        <v>-84.355117800000002</v>
      </c>
      <c r="W190" s="2" t="s">
        <v>467</v>
      </c>
      <c r="X190" s="2" t="s">
        <v>1119</v>
      </c>
      <c r="Y190" s="2" t="s">
        <v>469</v>
      </c>
      <c r="Z190" s="2">
        <v>122</v>
      </c>
      <c r="AA190" s="3">
        <v>42495.569444444445</v>
      </c>
      <c r="AB190" s="2">
        <v>33607</v>
      </c>
      <c r="AC190" s="2">
        <v>365</v>
      </c>
      <c r="AD190" s="2">
        <v>12.6</v>
      </c>
      <c r="AE190" s="2">
        <v>7.0000000000000007E-2</v>
      </c>
      <c r="AF190" s="2" t="str" cm="1">
        <f t="array" ref="AF190">_xlfn.IFS(AE190=0, "No Discount ", AE190&lt;=0.08,"Low Discount", AE190&lt;=0.16,"Medium Discount", AE190&gt;0.16, "High Discount")</f>
        <v>Low Discount</v>
      </c>
      <c r="AG190" s="2">
        <v>83892</v>
      </c>
      <c r="AH190" s="2">
        <v>59.99</v>
      </c>
      <c r="AI190" s="2">
        <v>-1.7</v>
      </c>
      <c r="AJ190" s="2" t="str" cm="1">
        <f t="array" ref="AJ190">_xlfn.IFS(AI190&lt;=0, "No Profit", AI190&lt;=0.16,"Low Profit",AI190&lt;=0.32,"Medium Profit",AI190&gt;0.32,"High Profit")</f>
        <v>No Profit</v>
      </c>
      <c r="AK190" s="2">
        <v>3</v>
      </c>
      <c r="AL190" s="2">
        <v>179.97</v>
      </c>
      <c r="AM190" s="2">
        <v>167.37</v>
      </c>
      <c r="AN190" s="2">
        <v>-284.52999999999997</v>
      </c>
      <c r="AO190" s="2" t="s">
        <v>470</v>
      </c>
      <c r="AP190" s="2" t="s">
        <v>1105</v>
      </c>
      <c r="AQ190" s="2" t="s">
        <v>175</v>
      </c>
      <c r="AR190" s="2">
        <v>85345</v>
      </c>
      <c r="AS190" s="2">
        <v>365</v>
      </c>
      <c r="AT190" s="2">
        <v>17</v>
      </c>
      <c r="AU190" s="2" t="s">
        <v>421</v>
      </c>
      <c r="AV190" s="2">
        <v>59.99</v>
      </c>
      <c r="AW190" s="2">
        <v>0</v>
      </c>
      <c r="AX190" s="3">
        <v>42587.569444444445</v>
      </c>
      <c r="AY190" s="2" t="s">
        <v>83</v>
      </c>
      <c r="AZ190" s="4">
        <v>42495</v>
      </c>
      <c r="BA190" s="5">
        <v>0.56944444444444442</v>
      </c>
      <c r="BB190" s="2">
        <v>2016</v>
      </c>
      <c r="BC190" s="2" t="s">
        <v>443</v>
      </c>
      <c r="BD190" s="2">
        <v>5</v>
      </c>
      <c r="BE190" s="4">
        <v>42587</v>
      </c>
      <c r="BF190" s="5">
        <v>0.56944444444444442</v>
      </c>
      <c r="BG190" s="2" t="str" cm="1">
        <f t="array" ref="BG190">_xlfn.IFS(BF190&lt;TIMEVALUE("06:00"),"Night", BF190&gt;=TIMEVALUE("21:00"),"Night",BF190&gt;=TIMEVALUE("17:00"),"Evening",BF190&gt;=TIMEVALUE("12:00"),"Afternoon", BF190&gt;=TIMEVALUE("06:00"),"Morning")</f>
        <v>Afternoon</v>
      </c>
      <c r="BH190" s="2">
        <v>2016</v>
      </c>
      <c r="BI190" s="2" t="s">
        <v>482</v>
      </c>
      <c r="BJ190" s="2">
        <v>5</v>
      </c>
    </row>
    <row r="191" spans="1:62" x14ac:dyDescent="0.3">
      <c r="A191" s="2" t="s">
        <v>86</v>
      </c>
      <c r="B191" s="2">
        <v>3</v>
      </c>
      <c r="C191" s="2">
        <v>4</v>
      </c>
      <c r="D191" s="2">
        <v>69.680000000000007</v>
      </c>
      <c r="E191" s="2">
        <v>158.37</v>
      </c>
      <c r="F191" s="2" t="s">
        <v>129</v>
      </c>
      <c r="G191" s="2" t="s">
        <v>64</v>
      </c>
      <c r="H191" s="2">
        <v>17</v>
      </c>
      <c r="I191" s="2" t="s">
        <v>412</v>
      </c>
      <c r="J191" s="2" t="s">
        <v>1120</v>
      </c>
      <c r="K191" s="2" t="s">
        <v>102</v>
      </c>
      <c r="L191" s="2" t="s">
        <v>1121</v>
      </c>
      <c r="M191" s="2">
        <v>3800</v>
      </c>
      <c r="N191" s="2" t="s">
        <v>425</v>
      </c>
      <c r="O191" s="2" t="s">
        <v>70</v>
      </c>
      <c r="P191" s="2" t="s">
        <v>1102</v>
      </c>
      <c r="Q191" s="2" t="s">
        <v>1122</v>
      </c>
      <c r="R191" s="2">
        <v>20874</v>
      </c>
      <c r="S191" s="2">
        <v>4</v>
      </c>
      <c r="T191" s="2" t="s">
        <v>417</v>
      </c>
      <c r="U191" s="2">
        <v>39.183658600000001</v>
      </c>
      <c r="V191" s="2">
        <v>-77.2654572</v>
      </c>
      <c r="W191" s="2" t="s">
        <v>467</v>
      </c>
      <c r="X191" s="2" t="s">
        <v>1115</v>
      </c>
      <c r="Y191" s="2" t="s">
        <v>469</v>
      </c>
      <c r="Z191" s="2">
        <v>3800</v>
      </c>
      <c r="AA191" s="2" t="s">
        <v>1123</v>
      </c>
      <c r="AB191" s="2">
        <v>32617</v>
      </c>
      <c r="AC191" s="2">
        <v>365</v>
      </c>
      <c r="AD191" s="2">
        <v>21.6</v>
      </c>
      <c r="AE191" s="2">
        <v>0.12</v>
      </c>
      <c r="AF191" s="2" t="str" cm="1">
        <f t="array" ref="AF191">_xlfn.IFS(AE191=0, "No Discount ", AE191&lt;=0.08,"Low Discount", AE191&lt;=0.16,"Medium Discount", AE191&gt;0.16, "High Discount")</f>
        <v>Medium Discount</v>
      </c>
      <c r="AG191" s="2">
        <v>81596</v>
      </c>
      <c r="AH191" s="2">
        <v>59.99</v>
      </c>
      <c r="AI191" s="2">
        <v>0.44</v>
      </c>
      <c r="AJ191" s="2" t="str" cm="1">
        <f t="array" ref="AJ191">_xlfn.IFS(AI191&lt;=0, "No Profit", AI191&lt;=0.16,"Low Profit",AI191&lt;=0.32,"Medium Profit",AI191&gt;0.32,"High Profit")</f>
        <v>High Profit</v>
      </c>
      <c r="AK191" s="2">
        <v>3</v>
      </c>
      <c r="AL191" s="2">
        <v>179.97</v>
      </c>
      <c r="AM191" s="2">
        <v>158.37</v>
      </c>
      <c r="AN191" s="2">
        <v>69.680000000000007</v>
      </c>
      <c r="AO191" s="2" t="s">
        <v>1124</v>
      </c>
      <c r="AP191" s="2" t="s">
        <v>1125</v>
      </c>
      <c r="AQ191" s="2" t="s">
        <v>175</v>
      </c>
      <c r="AR191" s="2">
        <v>45231</v>
      </c>
      <c r="AS191" s="2">
        <v>365</v>
      </c>
      <c r="AT191" s="2">
        <v>17</v>
      </c>
      <c r="AU191" s="2" t="s">
        <v>421</v>
      </c>
      <c r="AV191" s="2">
        <v>59.99</v>
      </c>
      <c r="AW191" s="2">
        <v>0</v>
      </c>
      <c r="AX191" s="2" t="s">
        <v>1126</v>
      </c>
      <c r="AY191" s="2" t="s">
        <v>83</v>
      </c>
      <c r="AZ191" s="4">
        <v>42481</v>
      </c>
      <c r="BA191" s="5">
        <v>0.11805555555555555</v>
      </c>
      <c r="BB191" s="2">
        <v>2016</v>
      </c>
      <c r="BC191" s="2" t="s">
        <v>487</v>
      </c>
      <c r="BD191" s="2">
        <v>21</v>
      </c>
      <c r="BE191" s="4">
        <v>42484</v>
      </c>
      <c r="BF191" s="5">
        <v>0.11805555555555555</v>
      </c>
      <c r="BG191" s="2" t="str" cm="1">
        <f t="array" ref="BG191">_xlfn.IFS(BF191&lt;TIMEVALUE("06:00"),"Night", BF191&gt;=TIMEVALUE("21:00"),"Night",BF191&gt;=TIMEVALUE("17:00"),"Evening",BF191&gt;=TIMEVALUE("12:00"),"Afternoon", BF191&gt;=TIMEVALUE("06:00"),"Morning")</f>
        <v>Night</v>
      </c>
      <c r="BH191" s="2">
        <v>2016</v>
      </c>
      <c r="BI191" s="2" t="s">
        <v>487</v>
      </c>
      <c r="BJ191" s="2">
        <v>24</v>
      </c>
    </row>
    <row r="192" spans="1:62" x14ac:dyDescent="0.3">
      <c r="A192" s="2" t="s">
        <v>86</v>
      </c>
      <c r="B192" s="2">
        <v>2</v>
      </c>
      <c r="C192" s="2">
        <v>4</v>
      </c>
      <c r="D192" s="2">
        <v>7.48</v>
      </c>
      <c r="E192" s="2">
        <v>118.77</v>
      </c>
      <c r="F192" s="2" t="s">
        <v>129</v>
      </c>
      <c r="G192" s="2" t="s">
        <v>64</v>
      </c>
      <c r="H192" s="2">
        <v>29</v>
      </c>
      <c r="I192" s="2" t="s">
        <v>424</v>
      </c>
      <c r="J192" s="2" t="s">
        <v>1127</v>
      </c>
      <c r="K192" s="2" t="s">
        <v>102</v>
      </c>
      <c r="L192" s="2" t="s">
        <v>414</v>
      </c>
      <c r="M192" s="2">
        <v>10029</v>
      </c>
      <c r="N192" s="2" t="s">
        <v>1128</v>
      </c>
      <c r="O192" s="2" t="s">
        <v>70</v>
      </c>
      <c r="P192" s="2" t="s">
        <v>333</v>
      </c>
      <c r="Q192" s="2" t="s">
        <v>1129</v>
      </c>
      <c r="R192" s="2">
        <v>75006</v>
      </c>
      <c r="S192" s="2">
        <v>5</v>
      </c>
      <c r="T192" s="2" t="s">
        <v>427</v>
      </c>
      <c r="U192" s="2">
        <v>32.965930899999996</v>
      </c>
      <c r="V192" s="2">
        <v>-96.849021899999997</v>
      </c>
      <c r="W192" s="2" t="s">
        <v>467</v>
      </c>
      <c r="X192" s="2" t="s">
        <v>1130</v>
      </c>
      <c r="Y192" s="2" t="s">
        <v>469</v>
      </c>
      <c r="Z192" s="2">
        <v>10029</v>
      </c>
      <c r="AA192" s="3">
        <v>42376.340277777781</v>
      </c>
      <c r="AB192" s="2">
        <v>37496</v>
      </c>
      <c r="AC192" s="2">
        <v>627</v>
      </c>
      <c r="AD192" s="2">
        <v>1.2</v>
      </c>
      <c r="AE192" s="2">
        <v>0.01</v>
      </c>
      <c r="AF192" s="2" t="str" cm="1">
        <f t="array" ref="AF192">_xlfn.IFS(AE192=0, "No Discount ", AE192&lt;=0.08,"Low Discount", AE192&lt;=0.16,"Medium Discount", AE192&gt;0.16, "High Discount")</f>
        <v>Low Discount</v>
      </c>
      <c r="AG192" s="2">
        <v>93579</v>
      </c>
      <c r="AH192" s="2">
        <v>39.99</v>
      </c>
      <c r="AI192" s="2">
        <v>0.06</v>
      </c>
      <c r="AJ192" s="2" t="str" cm="1">
        <f t="array" ref="AJ192">_xlfn.IFS(AI192&lt;=0, "No Profit", AI192&lt;=0.16,"Low Profit",AI192&lt;=0.32,"Medium Profit",AI192&gt;0.32,"High Profit")</f>
        <v>Low Profit</v>
      </c>
      <c r="AK192" s="2">
        <v>3</v>
      </c>
      <c r="AL192" s="2">
        <v>119.97</v>
      </c>
      <c r="AM192" s="2">
        <v>118.77</v>
      </c>
      <c r="AN192" s="2">
        <v>7.48</v>
      </c>
      <c r="AO192" s="2" t="s">
        <v>493</v>
      </c>
      <c r="AP192" s="2" t="s">
        <v>1131</v>
      </c>
      <c r="AQ192" s="2" t="s">
        <v>175</v>
      </c>
      <c r="AR192" s="2">
        <v>47201</v>
      </c>
      <c r="AS192" s="2">
        <v>627</v>
      </c>
      <c r="AT192" s="2">
        <v>29</v>
      </c>
      <c r="AU192" s="2" t="s">
        <v>432</v>
      </c>
      <c r="AV192" s="2">
        <v>39.99</v>
      </c>
      <c r="AW192" s="2">
        <v>0</v>
      </c>
      <c r="AX192" s="3">
        <v>42436.340277777781</v>
      </c>
      <c r="AY192" s="2" t="s">
        <v>83</v>
      </c>
      <c r="AZ192" s="4">
        <v>42376</v>
      </c>
      <c r="BA192" s="5">
        <v>0.34027777777777779</v>
      </c>
      <c r="BB192" s="2">
        <v>2016</v>
      </c>
      <c r="BC192" s="2" t="s">
        <v>84</v>
      </c>
      <c r="BD192" s="2">
        <v>7</v>
      </c>
      <c r="BE192" s="4">
        <v>42436</v>
      </c>
      <c r="BF192" s="5">
        <v>0.34027777777777779</v>
      </c>
      <c r="BG192" s="2" t="str" cm="1">
        <f t="array" ref="BG192">_xlfn.IFS(BF192&lt;TIMEVALUE("06:00"),"Night", BF192&gt;=TIMEVALUE("21:00"),"Night",BF192&gt;=TIMEVALUE("17:00"),"Evening",BF192&gt;=TIMEVALUE("12:00"),"Afternoon", BF192&gt;=TIMEVALUE("06:00"),"Morning")</f>
        <v>Morning</v>
      </c>
      <c r="BH192" s="2">
        <v>2016</v>
      </c>
      <c r="BI192" s="2" t="s">
        <v>85</v>
      </c>
      <c r="BJ192" s="2">
        <v>7</v>
      </c>
    </row>
    <row r="193" spans="1:62" x14ac:dyDescent="0.3">
      <c r="A193" s="2" t="s">
        <v>86</v>
      </c>
      <c r="B193" s="2">
        <v>3</v>
      </c>
      <c r="C193" s="2">
        <v>4</v>
      </c>
      <c r="D193" s="2">
        <v>11.03</v>
      </c>
      <c r="E193" s="2">
        <v>73.5</v>
      </c>
      <c r="F193" s="2" t="s">
        <v>129</v>
      </c>
      <c r="G193" s="2" t="s">
        <v>64</v>
      </c>
      <c r="H193" s="2">
        <v>26</v>
      </c>
      <c r="I193" s="2" t="s">
        <v>1132</v>
      </c>
      <c r="J193" s="2" t="s">
        <v>1120</v>
      </c>
      <c r="K193" s="2" t="s">
        <v>102</v>
      </c>
      <c r="L193" s="2" t="s">
        <v>1121</v>
      </c>
      <c r="M193" s="2">
        <v>3800</v>
      </c>
      <c r="N193" s="2" t="s">
        <v>425</v>
      </c>
      <c r="O193" s="2" t="s">
        <v>70</v>
      </c>
      <c r="P193" s="2" t="s">
        <v>1102</v>
      </c>
      <c r="Q193" s="2" t="s">
        <v>1122</v>
      </c>
      <c r="R193" s="2">
        <v>20874</v>
      </c>
      <c r="S193" s="2">
        <v>5</v>
      </c>
      <c r="T193" s="2" t="s">
        <v>427</v>
      </c>
      <c r="U193" s="2">
        <v>39.183658600000001</v>
      </c>
      <c r="V193" s="2">
        <v>-77.2654572</v>
      </c>
      <c r="W193" s="2" t="s">
        <v>467</v>
      </c>
      <c r="X193" s="2" t="s">
        <v>1115</v>
      </c>
      <c r="Y193" s="2" t="s">
        <v>469</v>
      </c>
      <c r="Z193" s="2">
        <v>3800</v>
      </c>
      <c r="AA193" s="2" t="s">
        <v>1123</v>
      </c>
      <c r="AB193" s="2">
        <v>32617</v>
      </c>
      <c r="AC193" s="2">
        <v>567</v>
      </c>
      <c r="AD193" s="2">
        <v>1.5</v>
      </c>
      <c r="AE193" s="2">
        <v>0.02</v>
      </c>
      <c r="AF193" s="2" t="str" cm="1">
        <f t="array" ref="AF193">_xlfn.IFS(AE193=0, "No Discount ", AE193&lt;=0.08,"Low Discount", AE193&lt;=0.16,"Medium Discount", AE193&gt;0.16, "High Discount")</f>
        <v>Low Discount</v>
      </c>
      <c r="AG193" s="2">
        <v>81595</v>
      </c>
      <c r="AH193" s="2">
        <v>25</v>
      </c>
      <c r="AI193" s="2">
        <v>0.15</v>
      </c>
      <c r="AJ193" s="2" t="str" cm="1">
        <f t="array" ref="AJ193">_xlfn.IFS(AI193&lt;=0, "No Profit", AI193&lt;=0.16,"Low Profit",AI193&lt;=0.32,"Medium Profit",AI193&gt;0.32,"High Profit")</f>
        <v>Low Profit</v>
      </c>
      <c r="AK193" s="2">
        <v>3</v>
      </c>
      <c r="AL193" s="2">
        <v>75</v>
      </c>
      <c r="AM193" s="2">
        <v>73.5</v>
      </c>
      <c r="AN193" s="2">
        <v>11.03</v>
      </c>
      <c r="AO193" s="2" t="s">
        <v>1124</v>
      </c>
      <c r="AP193" s="2" t="s">
        <v>1125</v>
      </c>
      <c r="AQ193" s="2" t="s">
        <v>175</v>
      </c>
      <c r="AR193" s="2">
        <v>45231</v>
      </c>
      <c r="AS193" s="2">
        <v>567</v>
      </c>
      <c r="AT193" s="2">
        <v>26</v>
      </c>
      <c r="AU193" s="2" t="s">
        <v>1133</v>
      </c>
      <c r="AV193" s="2">
        <v>25</v>
      </c>
      <c r="AW193" s="2">
        <v>0</v>
      </c>
      <c r="AX193" s="2" t="s">
        <v>1126</v>
      </c>
      <c r="AY193" s="2" t="s">
        <v>83</v>
      </c>
      <c r="AZ193" s="4">
        <v>42481</v>
      </c>
      <c r="BA193" s="5">
        <v>0.11805555555555555</v>
      </c>
      <c r="BB193" s="2">
        <v>2016</v>
      </c>
      <c r="BC193" s="2" t="s">
        <v>487</v>
      </c>
      <c r="BD193" s="2">
        <v>21</v>
      </c>
      <c r="BE193" s="4">
        <v>42484</v>
      </c>
      <c r="BF193" s="5">
        <v>0.11805555555555555</v>
      </c>
      <c r="BG193" s="2" t="str" cm="1">
        <f t="array" ref="BG193">_xlfn.IFS(BF193&lt;TIMEVALUE("06:00"),"Night", BF193&gt;=TIMEVALUE("21:00"),"Night",BF193&gt;=TIMEVALUE("17:00"),"Evening",BF193&gt;=TIMEVALUE("12:00"),"Afternoon", BF193&gt;=TIMEVALUE("06:00"),"Morning")</f>
        <v>Night</v>
      </c>
      <c r="BH193" s="2">
        <v>2016</v>
      </c>
      <c r="BI193" s="2" t="s">
        <v>487</v>
      </c>
      <c r="BJ193" s="2">
        <v>24</v>
      </c>
    </row>
    <row r="194" spans="1:62" x14ac:dyDescent="0.3">
      <c r="A194" s="2" t="s">
        <v>86</v>
      </c>
      <c r="B194" s="2">
        <v>6</v>
      </c>
      <c r="C194" s="2">
        <v>4</v>
      </c>
      <c r="D194" s="2">
        <v>-24.82</v>
      </c>
      <c r="E194" s="2">
        <v>132</v>
      </c>
      <c r="F194" s="2" t="s">
        <v>129</v>
      </c>
      <c r="G194" s="2" t="s">
        <v>64</v>
      </c>
      <c r="H194" s="2">
        <v>24</v>
      </c>
      <c r="I194" s="2" t="s">
        <v>435</v>
      </c>
      <c r="J194" s="2" t="s">
        <v>1097</v>
      </c>
      <c r="K194" s="2" t="s">
        <v>102</v>
      </c>
      <c r="L194" s="2" t="s">
        <v>1134</v>
      </c>
      <c r="M194" s="2">
        <v>2805</v>
      </c>
      <c r="N194" s="2" t="s">
        <v>425</v>
      </c>
      <c r="O194" s="2" t="s">
        <v>70</v>
      </c>
      <c r="P194" s="2" t="s">
        <v>333</v>
      </c>
      <c r="Q194" s="2" t="s">
        <v>1135</v>
      </c>
      <c r="R194" s="2">
        <v>77093</v>
      </c>
      <c r="S194" s="2">
        <v>5</v>
      </c>
      <c r="T194" s="2" t="s">
        <v>427</v>
      </c>
      <c r="U194" s="2">
        <v>29.8343563</v>
      </c>
      <c r="V194" s="2">
        <v>-95.3379288</v>
      </c>
      <c r="W194" s="2" t="s">
        <v>467</v>
      </c>
      <c r="X194" s="2" t="s">
        <v>1136</v>
      </c>
      <c r="Y194" s="2" t="s">
        <v>1137</v>
      </c>
      <c r="Z194" s="2">
        <v>2805</v>
      </c>
      <c r="AA194" s="2" t="s">
        <v>1138</v>
      </c>
      <c r="AB194" s="2">
        <v>49075</v>
      </c>
      <c r="AC194" s="2">
        <v>502</v>
      </c>
      <c r="AD194" s="2">
        <v>18</v>
      </c>
      <c r="AE194" s="2">
        <v>0.12</v>
      </c>
      <c r="AF194" s="2" t="str" cm="1">
        <f t="array" ref="AF194">_xlfn.IFS(AE194=0, "No Discount ", AE194&lt;=0.08,"Low Discount", AE194&lt;=0.16,"Medium Discount", AE194&gt;0.16, "High Discount")</f>
        <v>Medium Discount</v>
      </c>
      <c r="AG194" s="2">
        <v>122703</v>
      </c>
      <c r="AH194" s="2">
        <v>50</v>
      </c>
      <c r="AI194" s="2">
        <v>-0.19</v>
      </c>
      <c r="AJ194" s="2" t="str" cm="1">
        <f t="array" ref="AJ194">_xlfn.IFS(AI194&lt;=0, "No Profit", AI194&lt;=0.16,"Low Profit",AI194&lt;=0.32,"Medium Profit",AI194&gt;0.32,"High Profit")</f>
        <v>No Profit</v>
      </c>
      <c r="AK194" s="2">
        <v>3</v>
      </c>
      <c r="AL194" s="2">
        <v>150</v>
      </c>
      <c r="AM194" s="2">
        <v>132</v>
      </c>
      <c r="AN194" s="2">
        <v>-24.82</v>
      </c>
      <c r="AO194" s="2" t="s">
        <v>1137</v>
      </c>
      <c r="AP194" s="2" t="s">
        <v>1139</v>
      </c>
      <c r="AQ194" s="2" t="s">
        <v>175</v>
      </c>
      <c r="AR194" s="2" t="s">
        <v>81</v>
      </c>
      <c r="AS194" s="2">
        <v>502</v>
      </c>
      <c r="AT194" s="2">
        <v>24</v>
      </c>
      <c r="AU194" s="2" t="s">
        <v>442</v>
      </c>
      <c r="AV194" s="2">
        <v>50</v>
      </c>
      <c r="AW194" s="2">
        <v>0</v>
      </c>
      <c r="AX194" s="2" t="s">
        <v>1140</v>
      </c>
      <c r="AY194" s="2" t="s">
        <v>83</v>
      </c>
      <c r="AZ194" s="4">
        <v>42721</v>
      </c>
      <c r="BA194" s="5">
        <v>0.36666666666666664</v>
      </c>
      <c r="BB194" s="2">
        <v>2016</v>
      </c>
      <c r="BC194" s="2" t="s">
        <v>357</v>
      </c>
      <c r="BD194" s="2">
        <v>17</v>
      </c>
      <c r="BE194" s="4">
        <v>42727</v>
      </c>
      <c r="BF194" s="5">
        <v>0.36666666666666664</v>
      </c>
      <c r="BG194" s="2" t="str" cm="1">
        <f t="array" ref="BG194">_xlfn.IFS(BF194&lt;TIMEVALUE("06:00"),"Night", BF194&gt;=TIMEVALUE("21:00"),"Night",BF194&gt;=TIMEVALUE("17:00"),"Evening",BF194&gt;=TIMEVALUE("12:00"),"Afternoon", BF194&gt;=TIMEVALUE("06:00"),"Morning")</f>
        <v>Morning</v>
      </c>
      <c r="BH194" s="2">
        <v>2016</v>
      </c>
      <c r="BI194" s="2" t="s">
        <v>357</v>
      </c>
      <c r="BJ194" s="2">
        <v>23</v>
      </c>
    </row>
    <row r="195" spans="1:62" x14ac:dyDescent="0.3">
      <c r="A195" s="2" t="s">
        <v>86</v>
      </c>
      <c r="B195" s="2">
        <v>5</v>
      </c>
      <c r="C195" s="2">
        <v>4</v>
      </c>
      <c r="D195" s="2">
        <v>33</v>
      </c>
      <c r="E195" s="2">
        <v>132</v>
      </c>
      <c r="F195" s="2" t="s">
        <v>129</v>
      </c>
      <c r="G195" s="2" t="s">
        <v>64</v>
      </c>
      <c r="H195" s="2">
        <v>24</v>
      </c>
      <c r="I195" s="2" t="s">
        <v>435</v>
      </c>
      <c r="J195" s="2" t="s">
        <v>177</v>
      </c>
      <c r="K195" s="2" t="s">
        <v>102</v>
      </c>
      <c r="L195" s="2" t="s">
        <v>1094</v>
      </c>
      <c r="M195" s="2">
        <v>1509</v>
      </c>
      <c r="N195" s="2" t="s">
        <v>1095</v>
      </c>
      <c r="O195" s="2" t="s">
        <v>70</v>
      </c>
      <c r="P195" s="2" t="s">
        <v>133</v>
      </c>
      <c r="Q195" s="2" t="s">
        <v>1096</v>
      </c>
      <c r="R195" s="2">
        <v>11520</v>
      </c>
      <c r="S195" s="2">
        <v>5</v>
      </c>
      <c r="T195" s="2" t="s">
        <v>427</v>
      </c>
      <c r="U195" s="2">
        <v>40.654865299999997</v>
      </c>
      <c r="V195" s="2">
        <v>-73.587074299999998</v>
      </c>
      <c r="W195" s="2" t="s">
        <v>467</v>
      </c>
      <c r="X195" s="2" t="s">
        <v>1097</v>
      </c>
      <c r="Y195" s="2" t="s">
        <v>469</v>
      </c>
      <c r="Z195" s="2">
        <v>1509</v>
      </c>
      <c r="AA195" s="3">
        <v>42587.737500000003</v>
      </c>
      <c r="AB195" s="2">
        <v>33824</v>
      </c>
      <c r="AC195" s="2">
        <v>502</v>
      </c>
      <c r="AD195" s="2">
        <v>18</v>
      </c>
      <c r="AE195" s="2">
        <v>0.12</v>
      </c>
      <c r="AF195" s="2" t="str" cm="1">
        <f t="array" ref="AF195">_xlfn.IFS(AE195=0, "No Discount ", AE195&lt;=0.08,"Low Discount", AE195&lt;=0.16,"Medium Discount", AE195&gt;0.16, "High Discount")</f>
        <v>Medium Discount</v>
      </c>
      <c r="AG195" s="2">
        <v>84425</v>
      </c>
      <c r="AH195" s="2">
        <v>50</v>
      </c>
      <c r="AI195" s="2">
        <v>0.25</v>
      </c>
      <c r="AJ195" s="2" t="str" cm="1">
        <f t="array" ref="AJ195">_xlfn.IFS(AI195&lt;=0, "No Profit", AI195&lt;=0.16,"Low Profit",AI195&lt;=0.32,"Medium Profit",AI195&gt;0.32,"High Profit")</f>
        <v>Medium Profit</v>
      </c>
      <c r="AK195" s="2">
        <v>3</v>
      </c>
      <c r="AL195" s="2">
        <v>150</v>
      </c>
      <c r="AM195" s="2">
        <v>132</v>
      </c>
      <c r="AN195" s="2">
        <v>33</v>
      </c>
      <c r="AO195" s="2" t="s">
        <v>493</v>
      </c>
      <c r="AP195" s="2" t="s">
        <v>1098</v>
      </c>
      <c r="AQ195" s="2" t="s">
        <v>175</v>
      </c>
      <c r="AR195" s="2">
        <v>77041</v>
      </c>
      <c r="AS195" s="2">
        <v>502</v>
      </c>
      <c r="AT195" s="2">
        <v>24</v>
      </c>
      <c r="AU195" s="2" t="s">
        <v>442</v>
      </c>
      <c r="AV195" s="2">
        <v>50</v>
      </c>
      <c r="AW195" s="2">
        <v>0</v>
      </c>
      <c r="AX195" s="2" t="s">
        <v>1099</v>
      </c>
      <c r="AY195" s="2" t="s">
        <v>83</v>
      </c>
      <c r="AZ195" s="4">
        <v>42587</v>
      </c>
      <c r="BA195" s="5">
        <v>0.73750000000000004</v>
      </c>
      <c r="BB195" s="2">
        <v>2016</v>
      </c>
      <c r="BC195" s="2" t="s">
        <v>482</v>
      </c>
      <c r="BD195" s="2">
        <v>5</v>
      </c>
      <c r="BE195" s="4">
        <v>42503</v>
      </c>
      <c r="BF195" s="5">
        <v>0.73750000000000004</v>
      </c>
      <c r="BG195" s="2" t="str" cm="1">
        <f t="array" ref="BG195">_xlfn.IFS(BF195&lt;TIMEVALUE("06:00"),"Night", BF195&gt;=TIMEVALUE("21:00"),"Night",BF195&gt;=TIMEVALUE("17:00"),"Evening",BF195&gt;=TIMEVALUE("12:00"),"Afternoon", BF195&gt;=TIMEVALUE("06:00"),"Morning")</f>
        <v>Evening</v>
      </c>
      <c r="BH195" s="2">
        <v>2016</v>
      </c>
      <c r="BI195" s="2" t="s">
        <v>443</v>
      </c>
      <c r="BJ195" s="2">
        <v>13</v>
      </c>
    </row>
    <row r="196" spans="1:62" x14ac:dyDescent="0.3">
      <c r="A196" s="2" t="s">
        <v>86</v>
      </c>
      <c r="B196" s="2">
        <v>6</v>
      </c>
      <c r="C196" s="2">
        <v>4</v>
      </c>
      <c r="D196" s="2">
        <v>36.54</v>
      </c>
      <c r="E196" s="2">
        <v>130.5</v>
      </c>
      <c r="F196" s="2" t="s">
        <v>129</v>
      </c>
      <c r="G196" s="2" t="s">
        <v>64</v>
      </c>
      <c r="H196" s="2">
        <v>24</v>
      </c>
      <c r="I196" s="2" t="s">
        <v>435</v>
      </c>
      <c r="J196" s="2" t="s">
        <v>1097</v>
      </c>
      <c r="K196" s="2" t="s">
        <v>102</v>
      </c>
      <c r="L196" s="2" t="s">
        <v>1134</v>
      </c>
      <c r="M196" s="2">
        <v>2805</v>
      </c>
      <c r="N196" s="2" t="s">
        <v>425</v>
      </c>
      <c r="O196" s="2" t="s">
        <v>70</v>
      </c>
      <c r="P196" s="2" t="s">
        <v>333</v>
      </c>
      <c r="Q196" s="2" t="s">
        <v>1135</v>
      </c>
      <c r="R196" s="2">
        <v>77093</v>
      </c>
      <c r="S196" s="2">
        <v>5</v>
      </c>
      <c r="T196" s="2" t="s">
        <v>427</v>
      </c>
      <c r="U196" s="2">
        <v>29.8343563</v>
      </c>
      <c r="V196" s="2">
        <v>-95.3379288</v>
      </c>
      <c r="W196" s="2" t="s">
        <v>467</v>
      </c>
      <c r="X196" s="2" t="s">
        <v>1136</v>
      </c>
      <c r="Y196" s="2" t="s">
        <v>1137</v>
      </c>
      <c r="Z196" s="2">
        <v>2805</v>
      </c>
      <c r="AA196" s="2" t="s">
        <v>1138</v>
      </c>
      <c r="AB196" s="2">
        <v>49075</v>
      </c>
      <c r="AC196" s="2">
        <v>502</v>
      </c>
      <c r="AD196" s="2">
        <v>19.5</v>
      </c>
      <c r="AE196" s="2">
        <v>0.13</v>
      </c>
      <c r="AF196" s="2" t="str" cm="1">
        <f t="array" ref="AF196">_xlfn.IFS(AE196=0, "No Discount ", AE196&lt;=0.08,"Low Discount", AE196&lt;=0.16,"Medium Discount", AE196&gt;0.16, "High Discount")</f>
        <v>Medium Discount</v>
      </c>
      <c r="AG196" s="2">
        <v>122700</v>
      </c>
      <c r="AH196" s="2">
        <v>50</v>
      </c>
      <c r="AI196" s="2">
        <v>0.28000000000000003</v>
      </c>
      <c r="AJ196" s="2" t="str" cm="1">
        <f t="array" ref="AJ196">_xlfn.IFS(AI196&lt;=0, "No Profit", AI196&lt;=0.16,"Low Profit",AI196&lt;=0.32,"Medium Profit",AI196&gt;0.32,"High Profit")</f>
        <v>Medium Profit</v>
      </c>
      <c r="AK196" s="2">
        <v>3</v>
      </c>
      <c r="AL196" s="2">
        <v>150</v>
      </c>
      <c r="AM196" s="2">
        <v>130.5</v>
      </c>
      <c r="AN196" s="2">
        <v>36.54</v>
      </c>
      <c r="AO196" s="2" t="s">
        <v>1137</v>
      </c>
      <c r="AP196" s="2" t="s">
        <v>1139</v>
      </c>
      <c r="AQ196" s="2" t="s">
        <v>175</v>
      </c>
      <c r="AR196" s="2" t="s">
        <v>81</v>
      </c>
      <c r="AS196" s="2">
        <v>502</v>
      </c>
      <c r="AT196" s="2">
        <v>24</v>
      </c>
      <c r="AU196" s="2" t="s">
        <v>442</v>
      </c>
      <c r="AV196" s="2">
        <v>50</v>
      </c>
      <c r="AW196" s="2">
        <v>0</v>
      </c>
      <c r="AX196" s="2" t="s">
        <v>1140</v>
      </c>
      <c r="AY196" s="2" t="s">
        <v>83</v>
      </c>
      <c r="AZ196" s="4">
        <v>42721</v>
      </c>
      <c r="BA196" s="5">
        <v>0.36666666666666664</v>
      </c>
      <c r="BB196" s="2">
        <v>2016</v>
      </c>
      <c r="BC196" s="2" t="s">
        <v>357</v>
      </c>
      <c r="BD196" s="2">
        <v>17</v>
      </c>
      <c r="BE196" s="4">
        <v>42727</v>
      </c>
      <c r="BF196" s="5">
        <v>0.36666666666666664</v>
      </c>
      <c r="BG196" s="2" t="str" cm="1">
        <f t="array" ref="BG196">_xlfn.IFS(BF196&lt;TIMEVALUE("06:00"),"Night", BF196&gt;=TIMEVALUE("21:00"),"Night",BF196&gt;=TIMEVALUE("17:00"),"Evening",BF196&gt;=TIMEVALUE("12:00"),"Afternoon", BF196&gt;=TIMEVALUE("06:00"),"Morning")</f>
        <v>Morning</v>
      </c>
      <c r="BH196" s="2">
        <v>2016</v>
      </c>
      <c r="BI196" s="2" t="s">
        <v>357</v>
      </c>
      <c r="BJ196" s="2">
        <v>23</v>
      </c>
    </row>
    <row r="197" spans="1:62" x14ac:dyDescent="0.3">
      <c r="A197" s="2" t="s">
        <v>86</v>
      </c>
      <c r="B197" s="2">
        <v>4</v>
      </c>
      <c r="C197" s="2">
        <v>4</v>
      </c>
      <c r="D197" s="2">
        <v>-76.37</v>
      </c>
      <c r="E197" s="2">
        <v>99.58</v>
      </c>
      <c r="F197" s="2" t="s">
        <v>129</v>
      </c>
      <c r="G197" s="2" t="s">
        <v>64</v>
      </c>
      <c r="H197" s="2">
        <v>29</v>
      </c>
      <c r="I197" s="2" t="s">
        <v>424</v>
      </c>
      <c r="J197" s="2" t="s">
        <v>343</v>
      </c>
      <c r="K197" s="2" t="s">
        <v>102</v>
      </c>
      <c r="L197" s="2" t="s">
        <v>414</v>
      </c>
      <c r="M197" s="2">
        <v>12253</v>
      </c>
      <c r="N197" s="2" t="s">
        <v>1141</v>
      </c>
      <c r="O197" s="2" t="s">
        <v>70</v>
      </c>
      <c r="P197" s="2" t="s">
        <v>280</v>
      </c>
      <c r="Q197" s="2" t="s">
        <v>1142</v>
      </c>
      <c r="R197" s="2">
        <v>17013</v>
      </c>
      <c r="S197" s="2">
        <v>5</v>
      </c>
      <c r="T197" s="2" t="s">
        <v>427</v>
      </c>
      <c r="U197" s="2">
        <v>40.237281799999998</v>
      </c>
      <c r="V197" s="2">
        <v>-76.9679565</v>
      </c>
      <c r="W197" s="2" t="s">
        <v>467</v>
      </c>
      <c r="X197" s="2" t="s">
        <v>1143</v>
      </c>
      <c r="Y197" s="2" t="s">
        <v>1137</v>
      </c>
      <c r="Z197" s="2">
        <v>12253</v>
      </c>
      <c r="AA197" s="2" t="s">
        <v>1144</v>
      </c>
      <c r="AB197" s="2">
        <v>41623</v>
      </c>
      <c r="AC197" s="2">
        <v>627</v>
      </c>
      <c r="AD197" s="2">
        <v>20.39</v>
      </c>
      <c r="AE197" s="2">
        <v>0.17</v>
      </c>
      <c r="AF197" s="2" t="str" cm="1">
        <f t="array" ref="AF197">_xlfn.IFS(AE197=0, "No Discount ", AE197&lt;=0.08,"Low Discount", AE197&lt;=0.16,"Medium Discount", AE197&gt;0.16, "High Discount")</f>
        <v>High Discount</v>
      </c>
      <c r="AG197" s="2">
        <v>103905</v>
      </c>
      <c r="AH197" s="2">
        <v>39.99</v>
      </c>
      <c r="AI197" s="2">
        <v>-0.77</v>
      </c>
      <c r="AJ197" s="2" t="str" cm="1">
        <f t="array" ref="AJ197">_xlfn.IFS(AI197&lt;=0, "No Profit", AI197&lt;=0.16,"Low Profit",AI197&lt;=0.32,"Medium Profit",AI197&gt;0.32,"High Profit")</f>
        <v>No Profit</v>
      </c>
      <c r="AK197" s="2">
        <v>3</v>
      </c>
      <c r="AL197" s="2">
        <v>119.97</v>
      </c>
      <c r="AM197" s="2">
        <v>99.58</v>
      </c>
      <c r="AN197" s="2">
        <v>-76.37</v>
      </c>
      <c r="AO197" s="2" t="s">
        <v>1137</v>
      </c>
      <c r="AP197" s="2" t="s">
        <v>1139</v>
      </c>
      <c r="AQ197" s="2" t="s">
        <v>175</v>
      </c>
      <c r="AR197" s="2" t="s">
        <v>81</v>
      </c>
      <c r="AS197" s="2">
        <v>627</v>
      </c>
      <c r="AT197" s="2">
        <v>29</v>
      </c>
      <c r="AU197" s="2" t="s">
        <v>432</v>
      </c>
      <c r="AV197" s="2">
        <v>39.99</v>
      </c>
      <c r="AW197" s="2">
        <v>0</v>
      </c>
      <c r="AX197" s="3">
        <v>42438.584722222222</v>
      </c>
      <c r="AY197" s="2" t="s">
        <v>83</v>
      </c>
      <c r="AZ197" s="4">
        <v>42612</v>
      </c>
      <c r="BA197" s="5">
        <v>0.58472222222222225</v>
      </c>
      <c r="BB197" s="2">
        <v>2016</v>
      </c>
      <c r="BC197" s="2" t="s">
        <v>482</v>
      </c>
      <c r="BD197" s="2">
        <v>30</v>
      </c>
      <c r="BE197" s="4">
        <v>42438</v>
      </c>
      <c r="BF197" s="5">
        <v>0.58472222222222225</v>
      </c>
      <c r="BG197" s="2" t="str" cm="1">
        <f t="array" ref="BG197">_xlfn.IFS(BF197&lt;TIMEVALUE("06:00"),"Night", BF197&gt;=TIMEVALUE("21:00"),"Night",BF197&gt;=TIMEVALUE("17:00"),"Evening",BF197&gt;=TIMEVALUE("12:00"),"Afternoon", BF197&gt;=TIMEVALUE("06:00"),"Morning")</f>
        <v>Afternoon</v>
      </c>
      <c r="BH197" s="2">
        <v>2016</v>
      </c>
      <c r="BI197" s="2" t="s">
        <v>85</v>
      </c>
      <c r="BJ197" s="2">
        <v>9</v>
      </c>
    </row>
    <row r="198" spans="1:62" x14ac:dyDescent="0.3">
      <c r="A198" s="2" t="s">
        <v>86</v>
      </c>
      <c r="B198" s="2">
        <v>2</v>
      </c>
      <c r="C198" s="2">
        <v>4</v>
      </c>
      <c r="D198" s="2">
        <v>8.76</v>
      </c>
      <c r="E198" s="2">
        <v>99.58</v>
      </c>
      <c r="F198" s="2" t="s">
        <v>129</v>
      </c>
      <c r="G198" s="2" t="s">
        <v>64</v>
      </c>
      <c r="H198" s="2">
        <v>29</v>
      </c>
      <c r="I198" s="2" t="s">
        <v>424</v>
      </c>
      <c r="J198" s="2" t="s">
        <v>110</v>
      </c>
      <c r="K198" s="2" t="s">
        <v>102</v>
      </c>
      <c r="L198" s="2" t="s">
        <v>828</v>
      </c>
      <c r="M198" s="2">
        <v>3528</v>
      </c>
      <c r="N198" s="2" t="s">
        <v>1145</v>
      </c>
      <c r="O198" s="2" t="s">
        <v>70</v>
      </c>
      <c r="P198" s="2" t="s">
        <v>105</v>
      </c>
      <c r="Q198" s="2" t="s">
        <v>1146</v>
      </c>
      <c r="R198" s="2">
        <v>90023</v>
      </c>
      <c r="S198" s="2">
        <v>5</v>
      </c>
      <c r="T198" s="2" t="s">
        <v>427</v>
      </c>
      <c r="U198" s="2">
        <v>34.203399699999999</v>
      </c>
      <c r="V198" s="2">
        <v>-118.6059036</v>
      </c>
      <c r="W198" s="2" t="s">
        <v>467</v>
      </c>
      <c r="X198" s="2" t="s">
        <v>1147</v>
      </c>
      <c r="Y198" s="2" t="s">
        <v>469</v>
      </c>
      <c r="Z198" s="2">
        <v>3528</v>
      </c>
      <c r="AA198" s="2" t="s">
        <v>1148</v>
      </c>
      <c r="AB198" s="2">
        <v>39271</v>
      </c>
      <c r="AC198" s="2">
        <v>627</v>
      </c>
      <c r="AD198" s="2">
        <v>20.39</v>
      </c>
      <c r="AE198" s="2">
        <v>0.17</v>
      </c>
      <c r="AF198" s="2" t="str" cm="1">
        <f t="array" ref="AF198">_xlfn.IFS(AE198=0, "No Discount ", AE198&lt;=0.08,"Low Discount", AE198&lt;=0.16,"Medium Discount", AE198&gt;0.16, "High Discount")</f>
        <v>High Discount</v>
      </c>
      <c r="AG198" s="2">
        <v>98043</v>
      </c>
      <c r="AH198" s="2">
        <v>39.99</v>
      </c>
      <c r="AI198" s="2">
        <v>0.09</v>
      </c>
      <c r="AJ198" s="2" t="str" cm="1">
        <f t="array" ref="AJ198">_xlfn.IFS(AI198&lt;=0, "No Profit", AI198&lt;=0.16,"Low Profit",AI198&lt;=0.32,"Medium Profit",AI198&gt;0.32,"High Profit")</f>
        <v>Low Profit</v>
      </c>
      <c r="AK198" s="2">
        <v>3</v>
      </c>
      <c r="AL198" s="2">
        <v>119.97</v>
      </c>
      <c r="AM198" s="2">
        <v>99.58</v>
      </c>
      <c r="AN198" s="2">
        <v>8.76</v>
      </c>
      <c r="AO198" s="2" t="s">
        <v>1124</v>
      </c>
      <c r="AP198" s="2" t="s">
        <v>1149</v>
      </c>
      <c r="AQ198" s="2" t="s">
        <v>175</v>
      </c>
      <c r="AR198" s="2">
        <v>19134</v>
      </c>
      <c r="AS198" s="2">
        <v>627</v>
      </c>
      <c r="AT198" s="2">
        <v>29</v>
      </c>
      <c r="AU198" s="2" t="s">
        <v>432</v>
      </c>
      <c r="AV198" s="2">
        <v>39.99</v>
      </c>
      <c r="AW198" s="2">
        <v>0</v>
      </c>
      <c r="AX198" s="2" t="s">
        <v>1150</v>
      </c>
      <c r="AY198" s="2" t="s">
        <v>83</v>
      </c>
      <c r="AZ198" s="4">
        <v>42578</v>
      </c>
      <c r="BA198" s="5">
        <v>0.25069444444444444</v>
      </c>
      <c r="BB198" s="2">
        <v>2016</v>
      </c>
      <c r="BC198" s="2" t="s">
        <v>533</v>
      </c>
      <c r="BD198" s="2">
        <v>27</v>
      </c>
      <c r="BE198" s="4">
        <v>42580</v>
      </c>
      <c r="BF198" s="5">
        <v>0.25069444444444444</v>
      </c>
      <c r="BG198" s="2" t="str" cm="1">
        <f t="array" ref="BG198">_xlfn.IFS(BF198&lt;TIMEVALUE("06:00"),"Night", BF198&gt;=TIMEVALUE("21:00"),"Night",BF198&gt;=TIMEVALUE("17:00"),"Evening",BF198&gt;=TIMEVALUE("12:00"),"Afternoon", BF198&gt;=TIMEVALUE("06:00"),"Morning")</f>
        <v>Morning</v>
      </c>
      <c r="BH198" s="2">
        <v>2016</v>
      </c>
      <c r="BI198" s="2" t="s">
        <v>533</v>
      </c>
      <c r="BJ198" s="2">
        <v>29</v>
      </c>
    </row>
    <row r="199" spans="1:62" x14ac:dyDescent="0.3">
      <c r="A199" s="2" t="s">
        <v>86</v>
      </c>
      <c r="B199" s="2">
        <v>4</v>
      </c>
      <c r="C199" s="2">
        <v>4</v>
      </c>
      <c r="D199" s="2">
        <v>36.369999999999997</v>
      </c>
      <c r="E199" s="2">
        <v>74.22</v>
      </c>
      <c r="F199" s="2" t="s">
        <v>129</v>
      </c>
      <c r="G199" s="2" t="s">
        <v>64</v>
      </c>
      <c r="H199" s="2">
        <v>40</v>
      </c>
      <c r="I199" s="2" t="s">
        <v>1151</v>
      </c>
      <c r="J199" s="2" t="s">
        <v>1152</v>
      </c>
      <c r="K199" s="2" t="s">
        <v>102</v>
      </c>
      <c r="L199" s="2" t="s">
        <v>1153</v>
      </c>
      <c r="M199" s="2">
        <v>11018</v>
      </c>
      <c r="N199" s="2" t="s">
        <v>425</v>
      </c>
      <c r="O199" s="2" t="s">
        <v>70</v>
      </c>
      <c r="P199" s="2" t="s">
        <v>1154</v>
      </c>
      <c r="Q199" s="2" t="s">
        <v>1155</v>
      </c>
      <c r="R199" s="2">
        <v>96706</v>
      </c>
      <c r="S199" s="2">
        <v>6</v>
      </c>
      <c r="T199" s="2" t="s">
        <v>515</v>
      </c>
      <c r="U199" s="2">
        <v>21.311855300000001</v>
      </c>
      <c r="V199" s="2">
        <v>-158.0046844</v>
      </c>
      <c r="W199" s="2" t="s">
        <v>467</v>
      </c>
      <c r="X199" s="2" t="s">
        <v>1156</v>
      </c>
      <c r="Y199" s="2" t="s">
        <v>469</v>
      </c>
      <c r="Z199" s="2">
        <v>11018</v>
      </c>
      <c r="AA199" s="2" t="s">
        <v>1157</v>
      </c>
      <c r="AB199" s="2">
        <v>38598</v>
      </c>
      <c r="AC199" s="2">
        <v>893</v>
      </c>
      <c r="AD199" s="2">
        <v>0.75</v>
      </c>
      <c r="AE199" s="2">
        <v>0.01</v>
      </c>
      <c r="AF199" s="2" t="str" cm="1">
        <f t="array" ref="AF199">_xlfn.IFS(AE199=0, "No Discount ", AE199&lt;=0.08,"Low Discount", AE199&lt;=0.16,"Medium Discount", AE199&gt;0.16, "High Discount")</f>
        <v>Low Discount</v>
      </c>
      <c r="AG199" s="2">
        <v>96337</v>
      </c>
      <c r="AH199" s="2">
        <v>24.99</v>
      </c>
      <c r="AI199" s="2">
        <v>0.49</v>
      </c>
      <c r="AJ199" s="2" t="str" cm="1">
        <f t="array" ref="AJ199">_xlfn.IFS(AI199&lt;=0, "No Profit", AI199&lt;=0.16,"Low Profit",AI199&lt;=0.32,"Medium Profit",AI199&gt;0.32,"High Profit")</f>
        <v>High Profit</v>
      </c>
      <c r="AK199" s="2">
        <v>3</v>
      </c>
      <c r="AL199" s="2">
        <v>74.97</v>
      </c>
      <c r="AM199" s="2">
        <v>74.22</v>
      </c>
      <c r="AN199" s="2">
        <v>36.369999999999997</v>
      </c>
      <c r="AO199" s="2" t="s">
        <v>493</v>
      </c>
      <c r="AP199" s="2" t="s">
        <v>1158</v>
      </c>
      <c r="AQ199" s="2" t="s">
        <v>175</v>
      </c>
      <c r="AR199" s="2">
        <v>60016</v>
      </c>
      <c r="AS199" s="2">
        <v>893</v>
      </c>
      <c r="AT199" s="2">
        <v>40</v>
      </c>
      <c r="AU199" s="2" t="s">
        <v>1159</v>
      </c>
      <c r="AV199" s="2">
        <v>24.99</v>
      </c>
      <c r="AW199" s="2">
        <v>0</v>
      </c>
      <c r="AX199" s="2" t="s">
        <v>1160</v>
      </c>
      <c r="AY199" s="2" t="s">
        <v>83</v>
      </c>
      <c r="AZ199" s="4">
        <v>42568</v>
      </c>
      <c r="BA199" s="5">
        <v>0.42638888888888887</v>
      </c>
      <c r="BB199" s="2">
        <v>2016</v>
      </c>
      <c r="BC199" s="2" t="s">
        <v>533</v>
      </c>
      <c r="BD199" s="2">
        <v>17</v>
      </c>
      <c r="BE199" s="4">
        <v>42572</v>
      </c>
      <c r="BF199" s="5">
        <v>0.42638888888888887</v>
      </c>
      <c r="BG199" s="2" t="str" cm="1">
        <f t="array" ref="BG199">_xlfn.IFS(BF199&lt;TIMEVALUE("06:00"),"Night", BF199&gt;=TIMEVALUE("21:00"),"Night",BF199&gt;=TIMEVALUE("17:00"),"Evening",BF199&gt;=TIMEVALUE("12:00"),"Afternoon", BF199&gt;=TIMEVALUE("06:00"),"Morning")</f>
        <v>Morning</v>
      </c>
      <c r="BH199" s="2">
        <v>2016</v>
      </c>
      <c r="BI199" s="2" t="s">
        <v>533</v>
      </c>
      <c r="BJ199" s="2">
        <v>21</v>
      </c>
    </row>
    <row r="200" spans="1:62" x14ac:dyDescent="0.3">
      <c r="A200" s="2" t="s">
        <v>86</v>
      </c>
      <c r="B200" s="2">
        <v>6</v>
      </c>
      <c r="C200" s="2">
        <v>4</v>
      </c>
      <c r="D200" s="2">
        <v>18.13</v>
      </c>
      <c r="E200" s="2">
        <v>40.29</v>
      </c>
      <c r="F200" s="2" t="s">
        <v>129</v>
      </c>
      <c r="G200" s="2" t="s">
        <v>64</v>
      </c>
      <c r="H200" s="2">
        <v>41</v>
      </c>
      <c r="I200" s="2" t="s">
        <v>512</v>
      </c>
      <c r="J200" s="2" t="s">
        <v>1161</v>
      </c>
      <c r="K200" s="2" t="s">
        <v>102</v>
      </c>
      <c r="L200" s="2" t="s">
        <v>414</v>
      </c>
      <c r="M200" s="2">
        <v>3222</v>
      </c>
      <c r="N200" s="2" t="s">
        <v>1162</v>
      </c>
      <c r="O200" s="2" t="s">
        <v>70</v>
      </c>
      <c r="P200" s="2" t="s">
        <v>1163</v>
      </c>
      <c r="Q200" s="2" t="s">
        <v>1164</v>
      </c>
      <c r="R200" s="2">
        <v>8701</v>
      </c>
      <c r="S200" s="2">
        <v>6</v>
      </c>
      <c r="T200" s="2" t="s">
        <v>515</v>
      </c>
      <c r="U200" s="2">
        <v>40.096359300000003</v>
      </c>
      <c r="V200" s="2">
        <v>-74.215240499999993</v>
      </c>
      <c r="W200" s="2" t="s">
        <v>467</v>
      </c>
      <c r="X200" s="2" t="s">
        <v>1165</v>
      </c>
      <c r="Y200" s="2" t="s">
        <v>469</v>
      </c>
      <c r="Z200" s="2">
        <v>3222</v>
      </c>
      <c r="AA200" s="3">
        <v>42528.43472222222</v>
      </c>
      <c r="AB200" s="2">
        <v>37845</v>
      </c>
      <c r="AC200" s="2">
        <v>924</v>
      </c>
      <c r="AD200" s="2">
        <v>7.68</v>
      </c>
      <c r="AE200" s="2">
        <v>0.16</v>
      </c>
      <c r="AF200" s="2" t="str" cm="1">
        <f t="array" ref="AF200">_xlfn.IFS(AE200=0, "No Discount ", AE200&lt;=0.08,"Low Discount", AE200&lt;=0.16,"Medium Discount", AE200&gt;0.16, "High Discount")</f>
        <v>Medium Discount</v>
      </c>
      <c r="AG200" s="2">
        <v>94445</v>
      </c>
      <c r="AH200" s="2">
        <v>15.99</v>
      </c>
      <c r="AI200" s="2">
        <v>0.45</v>
      </c>
      <c r="AJ200" s="2" t="str" cm="1">
        <f t="array" ref="AJ200">_xlfn.IFS(AI200&lt;=0, "No Profit", AI200&lt;=0.16,"Low Profit",AI200&lt;=0.32,"Medium Profit",AI200&gt;0.32,"High Profit")</f>
        <v>High Profit</v>
      </c>
      <c r="AK200" s="2">
        <v>3</v>
      </c>
      <c r="AL200" s="2">
        <v>47.97</v>
      </c>
      <c r="AM200" s="2">
        <v>40.29</v>
      </c>
      <c r="AN200" s="2">
        <v>18.13</v>
      </c>
      <c r="AO200" s="2" t="s">
        <v>493</v>
      </c>
      <c r="AP200" s="2" t="s">
        <v>1158</v>
      </c>
      <c r="AQ200" s="2" t="s">
        <v>175</v>
      </c>
      <c r="AR200" s="2">
        <v>60126</v>
      </c>
      <c r="AS200" s="2">
        <v>924</v>
      </c>
      <c r="AT200" s="2">
        <v>41</v>
      </c>
      <c r="AU200" s="2" t="s">
        <v>1166</v>
      </c>
      <c r="AV200" s="2">
        <v>15.99</v>
      </c>
      <c r="AW200" s="2">
        <v>0</v>
      </c>
      <c r="AX200" s="3">
        <v>42711.43472222222</v>
      </c>
      <c r="AY200" s="2" t="s">
        <v>83</v>
      </c>
      <c r="AZ200" s="4">
        <v>42528</v>
      </c>
      <c r="BA200" s="5">
        <v>0.43472222222222223</v>
      </c>
      <c r="BB200" s="2">
        <v>2016</v>
      </c>
      <c r="BC200" s="2" t="s">
        <v>474</v>
      </c>
      <c r="BD200" s="2">
        <v>7</v>
      </c>
      <c r="BE200" s="4">
        <v>42711</v>
      </c>
      <c r="BF200" s="5">
        <v>0.43472222222222223</v>
      </c>
      <c r="BG200" s="2" t="str" cm="1">
        <f t="array" ref="BG200">_xlfn.IFS(BF200&lt;TIMEVALUE("06:00"),"Night", BF200&gt;=TIMEVALUE("21:00"),"Night",BF200&gt;=TIMEVALUE("17:00"),"Evening",BF200&gt;=TIMEVALUE("12:00"),"Afternoon", BF200&gt;=TIMEVALUE("06:00"),"Morning")</f>
        <v>Morning</v>
      </c>
      <c r="BH200" s="2">
        <v>2016</v>
      </c>
      <c r="BI200" s="2" t="s">
        <v>357</v>
      </c>
      <c r="BJ200" s="2">
        <v>7</v>
      </c>
    </row>
    <row r="201" spans="1:62" x14ac:dyDescent="0.3">
      <c r="A201" s="2" t="s">
        <v>86</v>
      </c>
      <c r="B201" s="2">
        <v>2</v>
      </c>
      <c r="C201" s="2">
        <v>4</v>
      </c>
      <c r="D201" s="2">
        <v>-12.99</v>
      </c>
      <c r="E201" s="2">
        <v>227.96</v>
      </c>
      <c r="F201" s="2" t="s">
        <v>129</v>
      </c>
      <c r="G201" s="2" t="s">
        <v>64</v>
      </c>
      <c r="H201" s="2">
        <v>17</v>
      </c>
      <c r="I201" s="2" t="s">
        <v>412</v>
      </c>
      <c r="J201" s="2" t="s">
        <v>1167</v>
      </c>
      <c r="K201" s="2" t="s">
        <v>102</v>
      </c>
      <c r="L201" s="2" t="s">
        <v>761</v>
      </c>
      <c r="M201" s="2">
        <v>6246</v>
      </c>
      <c r="N201" s="2" t="s">
        <v>1168</v>
      </c>
      <c r="O201" s="2" t="s">
        <v>70</v>
      </c>
      <c r="P201" s="2" t="s">
        <v>133</v>
      </c>
      <c r="Q201" s="2" t="s">
        <v>1169</v>
      </c>
      <c r="R201" s="2">
        <v>13440</v>
      </c>
      <c r="S201" s="2">
        <v>4</v>
      </c>
      <c r="T201" s="2" t="s">
        <v>417</v>
      </c>
      <c r="U201" s="2">
        <v>43.216625200000003</v>
      </c>
      <c r="V201" s="2">
        <v>-75.456039399999995</v>
      </c>
      <c r="W201" s="2" t="s">
        <v>500</v>
      </c>
      <c r="X201" s="2" t="s">
        <v>1170</v>
      </c>
      <c r="Y201" s="2" t="s">
        <v>1171</v>
      </c>
      <c r="Z201" s="2">
        <v>6246</v>
      </c>
      <c r="AA201" s="3">
        <v>42622.920138888891</v>
      </c>
      <c r="AB201" s="2">
        <v>42331</v>
      </c>
      <c r="AC201" s="2">
        <v>365</v>
      </c>
      <c r="AD201" s="2">
        <v>12</v>
      </c>
      <c r="AE201" s="2">
        <v>0.05</v>
      </c>
      <c r="AF201" s="2" t="str" cm="1">
        <f t="array" ref="AF201">_xlfn.IFS(AE201=0, "No Discount ", AE201&lt;=0.08,"Low Discount", AE201&lt;=0.16,"Medium Discount", AE201&gt;0.16, "High Discount")</f>
        <v>Low Discount</v>
      </c>
      <c r="AG201" s="2">
        <v>105703</v>
      </c>
      <c r="AH201" s="2">
        <v>59.99</v>
      </c>
      <c r="AI201" s="2">
        <v>-0.06</v>
      </c>
      <c r="AJ201" s="2" t="str" cm="1">
        <f t="array" ref="AJ201">_xlfn.IFS(AI201&lt;=0, "No Profit", AI201&lt;=0.16,"Low Profit",AI201&lt;=0.32,"Medium Profit",AI201&gt;0.32,"High Profit")</f>
        <v>No Profit</v>
      </c>
      <c r="AK201" s="2">
        <v>4</v>
      </c>
      <c r="AL201" s="2">
        <v>239.96</v>
      </c>
      <c r="AM201" s="2">
        <v>227.96</v>
      </c>
      <c r="AN201" s="2">
        <v>-12.99</v>
      </c>
      <c r="AO201" s="2" t="s">
        <v>876</v>
      </c>
      <c r="AP201" s="2" t="s">
        <v>1172</v>
      </c>
      <c r="AQ201" s="2" t="s">
        <v>137</v>
      </c>
      <c r="AR201" s="2" t="s">
        <v>81</v>
      </c>
      <c r="AS201" s="2">
        <v>365</v>
      </c>
      <c r="AT201" s="2">
        <v>17</v>
      </c>
      <c r="AU201" s="2" t="s">
        <v>421</v>
      </c>
      <c r="AV201" s="2">
        <v>59.99</v>
      </c>
      <c r="AW201" s="2">
        <v>0</v>
      </c>
      <c r="AX201" s="3">
        <v>42683.920138888891</v>
      </c>
      <c r="AY201" s="2" t="s">
        <v>83</v>
      </c>
      <c r="AZ201" s="4">
        <v>42622</v>
      </c>
      <c r="BA201" s="5">
        <v>0.92013888888888884</v>
      </c>
      <c r="BB201" s="2">
        <v>2016</v>
      </c>
      <c r="BC201" s="2" t="s">
        <v>552</v>
      </c>
      <c r="BD201" s="2">
        <v>9</v>
      </c>
      <c r="BE201" s="4">
        <v>42683</v>
      </c>
      <c r="BF201" s="5">
        <v>0.92013888888888884</v>
      </c>
      <c r="BG201" s="2" t="str" cm="1">
        <f t="array" ref="BG201">_xlfn.IFS(BF201&lt;TIMEVALUE("06:00"),"Night", BF201&gt;=TIMEVALUE("21:00"),"Night",BF201&gt;=TIMEVALUE("17:00"),"Evening",BF201&gt;=TIMEVALUE("12:00"),"Afternoon", BF201&gt;=TIMEVALUE("06:00"),"Morning")</f>
        <v>Night</v>
      </c>
      <c r="BH201" s="2">
        <v>2016</v>
      </c>
      <c r="BI201" s="2" t="s">
        <v>455</v>
      </c>
      <c r="BJ201" s="2">
        <v>9</v>
      </c>
    </row>
    <row r="202" spans="1:62" x14ac:dyDescent="0.3">
      <c r="A202" s="2" t="s">
        <v>86</v>
      </c>
      <c r="B202" s="2">
        <v>6</v>
      </c>
      <c r="C202" s="2">
        <v>4</v>
      </c>
      <c r="D202" s="2">
        <v>74.040000000000006</v>
      </c>
      <c r="E202" s="2">
        <v>203.97</v>
      </c>
      <c r="F202" s="2" t="s">
        <v>129</v>
      </c>
      <c r="G202" s="2" t="s">
        <v>64</v>
      </c>
      <c r="H202" s="2">
        <v>17</v>
      </c>
      <c r="I202" s="2" t="s">
        <v>412</v>
      </c>
      <c r="J202" s="2" t="s">
        <v>1173</v>
      </c>
      <c r="K202" s="2" t="s">
        <v>102</v>
      </c>
      <c r="L202" s="2" t="s">
        <v>570</v>
      </c>
      <c r="M202" s="2">
        <v>8741</v>
      </c>
      <c r="N202" s="2" t="s">
        <v>425</v>
      </c>
      <c r="O202" s="2" t="s">
        <v>70</v>
      </c>
      <c r="P202" s="2" t="s">
        <v>105</v>
      </c>
      <c r="Q202" s="2" t="s">
        <v>1174</v>
      </c>
      <c r="R202" s="2">
        <v>92083</v>
      </c>
      <c r="S202" s="2">
        <v>4</v>
      </c>
      <c r="T202" s="2" t="s">
        <v>417</v>
      </c>
      <c r="U202" s="2">
        <v>33.211219800000002</v>
      </c>
      <c r="V202" s="2">
        <v>-117.25106049999999</v>
      </c>
      <c r="W202" s="2" t="s">
        <v>500</v>
      </c>
      <c r="X202" s="2" t="s">
        <v>1175</v>
      </c>
      <c r="Y202" s="2" t="s">
        <v>1176</v>
      </c>
      <c r="Z202" s="2">
        <v>8741</v>
      </c>
      <c r="AA202" s="2" t="s">
        <v>1177</v>
      </c>
      <c r="AB202" s="2">
        <v>41345</v>
      </c>
      <c r="AC202" s="2">
        <v>365</v>
      </c>
      <c r="AD202" s="2">
        <v>35.99</v>
      </c>
      <c r="AE202" s="2">
        <v>0.15</v>
      </c>
      <c r="AF202" s="2" t="str" cm="1">
        <f t="array" ref="AF202">_xlfn.IFS(AE202=0, "No Discount ", AE202&lt;=0.08,"Low Discount", AE202&lt;=0.16,"Medium Discount", AE202&gt;0.16, "High Discount")</f>
        <v>Medium Discount</v>
      </c>
      <c r="AG202" s="2">
        <v>103211</v>
      </c>
      <c r="AH202" s="2">
        <v>59.99</v>
      </c>
      <c r="AI202" s="2">
        <v>0.36</v>
      </c>
      <c r="AJ202" s="2" t="str" cm="1">
        <f t="array" ref="AJ202">_xlfn.IFS(AI202&lt;=0, "No Profit", AI202&lt;=0.16,"Low Profit",AI202&lt;=0.32,"Medium Profit",AI202&gt;0.32,"High Profit")</f>
        <v>High Profit</v>
      </c>
      <c r="AK202" s="2">
        <v>4</v>
      </c>
      <c r="AL202" s="2">
        <v>239.96</v>
      </c>
      <c r="AM202" s="2">
        <v>203.97</v>
      </c>
      <c r="AN202" s="2">
        <v>74.040000000000006</v>
      </c>
      <c r="AO202" s="2" t="s">
        <v>523</v>
      </c>
      <c r="AP202" s="2" t="s">
        <v>1178</v>
      </c>
      <c r="AQ202" s="2" t="s">
        <v>137</v>
      </c>
      <c r="AR202" s="2" t="s">
        <v>81</v>
      </c>
      <c r="AS202" s="2">
        <v>365</v>
      </c>
      <c r="AT202" s="2">
        <v>17</v>
      </c>
      <c r="AU202" s="2" t="s">
        <v>421</v>
      </c>
      <c r="AV202" s="2">
        <v>59.99</v>
      </c>
      <c r="AW202" s="2">
        <v>0</v>
      </c>
      <c r="AX202" s="3">
        <v>42378.526388888888</v>
      </c>
      <c r="AY202" s="2" t="s">
        <v>83</v>
      </c>
      <c r="AZ202" s="4">
        <v>42608</v>
      </c>
      <c r="BA202" s="5">
        <v>0.52638888888888891</v>
      </c>
      <c r="BB202" s="2">
        <v>2016</v>
      </c>
      <c r="BC202" s="2" t="s">
        <v>482</v>
      </c>
      <c r="BD202" s="2">
        <v>26</v>
      </c>
      <c r="BE202" s="4">
        <v>42378</v>
      </c>
      <c r="BF202" s="5">
        <v>0.52638888888888891</v>
      </c>
      <c r="BG202" s="2" t="str" cm="1">
        <f t="array" ref="BG202">_xlfn.IFS(BF202&lt;TIMEVALUE("06:00"),"Night", BF202&gt;=TIMEVALUE("21:00"),"Night",BF202&gt;=TIMEVALUE("17:00"),"Evening",BF202&gt;=TIMEVALUE("12:00"),"Afternoon", BF202&gt;=TIMEVALUE("06:00"),"Morning")</f>
        <v>Afternoon</v>
      </c>
      <c r="BH202" s="2">
        <v>2016</v>
      </c>
      <c r="BI202" s="2" t="s">
        <v>84</v>
      </c>
      <c r="BJ202" s="2">
        <v>9</v>
      </c>
    </row>
    <row r="203" spans="1:62" x14ac:dyDescent="0.3">
      <c r="A203" s="2" t="s">
        <v>86</v>
      </c>
      <c r="B203" s="2">
        <v>4</v>
      </c>
      <c r="C203" s="2">
        <v>4</v>
      </c>
      <c r="D203" s="2">
        <v>90</v>
      </c>
      <c r="E203" s="2">
        <v>200</v>
      </c>
      <c r="F203" s="2" t="s">
        <v>129</v>
      </c>
      <c r="G203" s="2" t="s">
        <v>64</v>
      </c>
      <c r="H203" s="2">
        <v>24</v>
      </c>
      <c r="I203" s="2" t="s">
        <v>435</v>
      </c>
      <c r="J203" s="2" t="s">
        <v>1179</v>
      </c>
      <c r="K203" s="2" t="s">
        <v>102</v>
      </c>
      <c r="L203" s="2" t="s">
        <v>436</v>
      </c>
      <c r="M203" s="2">
        <v>8050</v>
      </c>
      <c r="N203" s="2" t="s">
        <v>425</v>
      </c>
      <c r="O203" s="2" t="s">
        <v>70</v>
      </c>
      <c r="P203" s="2" t="s">
        <v>333</v>
      </c>
      <c r="Q203" s="2" t="s">
        <v>1180</v>
      </c>
      <c r="R203" s="2">
        <v>76106</v>
      </c>
      <c r="S203" s="2">
        <v>5</v>
      </c>
      <c r="T203" s="2" t="s">
        <v>427</v>
      </c>
      <c r="U203" s="2">
        <v>32.801391600000002</v>
      </c>
      <c r="V203" s="2">
        <v>-97.330253600000006</v>
      </c>
      <c r="W203" s="2" t="s">
        <v>500</v>
      </c>
      <c r="X203" s="2" t="s">
        <v>1181</v>
      </c>
      <c r="Y203" s="2" t="s">
        <v>1182</v>
      </c>
      <c r="Z203" s="2">
        <v>8050</v>
      </c>
      <c r="AA203" s="2" t="s">
        <v>1183</v>
      </c>
      <c r="AB203" s="2">
        <v>51168</v>
      </c>
      <c r="AC203" s="2">
        <v>502</v>
      </c>
      <c r="AD203" s="2">
        <v>0</v>
      </c>
      <c r="AE203" s="2">
        <v>0</v>
      </c>
      <c r="AF203" s="2" t="str" cm="1">
        <f t="array" ref="AF203">_xlfn.IFS(AE203=0, "No Discount ", AE203&lt;=0.08,"Low Discount", AE203&lt;=0.16,"Medium Discount", AE203&gt;0.16, "High Discount")</f>
        <v xml:space="preserve">No Discount </v>
      </c>
      <c r="AG203" s="2">
        <v>127882</v>
      </c>
      <c r="AH203" s="2">
        <v>50</v>
      </c>
      <c r="AI203" s="2">
        <v>0.45</v>
      </c>
      <c r="AJ203" s="2" t="str" cm="1">
        <f t="array" ref="AJ203">_xlfn.IFS(AI203&lt;=0, "No Profit", AI203&lt;=0.16,"Low Profit",AI203&lt;=0.32,"Medium Profit",AI203&gt;0.32,"High Profit")</f>
        <v>High Profit</v>
      </c>
      <c r="AK203" s="2">
        <v>4</v>
      </c>
      <c r="AL203" s="2">
        <v>200</v>
      </c>
      <c r="AM203" s="2">
        <v>200</v>
      </c>
      <c r="AN203" s="2">
        <v>90</v>
      </c>
      <c r="AO203" s="2" t="s">
        <v>503</v>
      </c>
      <c r="AP203" s="2" t="s">
        <v>1184</v>
      </c>
      <c r="AQ203" s="2" t="s">
        <v>137</v>
      </c>
      <c r="AR203" s="2" t="s">
        <v>81</v>
      </c>
      <c r="AS203" s="2">
        <v>502</v>
      </c>
      <c r="AT203" s="2">
        <v>24</v>
      </c>
      <c r="AU203" s="2" t="s">
        <v>442</v>
      </c>
      <c r="AV203" s="2">
        <v>50</v>
      </c>
      <c r="AW203" s="2">
        <v>0</v>
      </c>
      <c r="AX203" s="2" t="s">
        <v>1185</v>
      </c>
      <c r="AY203" s="2" t="s">
        <v>83</v>
      </c>
      <c r="AZ203" s="4">
        <v>42751</v>
      </c>
      <c r="BA203" s="5">
        <v>0.9194444444444444</v>
      </c>
      <c r="BB203" s="2">
        <v>2017</v>
      </c>
      <c r="BC203" s="2" t="s">
        <v>84</v>
      </c>
      <c r="BD203" s="2">
        <v>16</v>
      </c>
      <c r="BE203" s="4">
        <v>42755</v>
      </c>
      <c r="BF203" s="5">
        <v>0.9194444444444444</v>
      </c>
      <c r="BG203" s="2" t="str" cm="1">
        <f t="array" ref="BG203">_xlfn.IFS(BF203&lt;TIMEVALUE("06:00"),"Night", BF203&gt;=TIMEVALUE("21:00"),"Night",BF203&gt;=TIMEVALUE("17:00"),"Evening",BF203&gt;=TIMEVALUE("12:00"),"Afternoon", BF203&gt;=TIMEVALUE("06:00"),"Morning")</f>
        <v>Night</v>
      </c>
      <c r="BH203" s="2">
        <v>2017</v>
      </c>
      <c r="BI203" s="2" t="s">
        <v>84</v>
      </c>
      <c r="BJ203" s="2">
        <v>20</v>
      </c>
    </row>
    <row r="204" spans="1:62" x14ac:dyDescent="0.3">
      <c r="A204" s="2" t="s">
        <v>86</v>
      </c>
      <c r="B204" s="2">
        <v>4</v>
      </c>
      <c r="C204" s="2">
        <v>4</v>
      </c>
      <c r="D204" s="2">
        <v>-2.19</v>
      </c>
      <c r="E204" s="2">
        <v>156.76</v>
      </c>
      <c r="F204" s="2" t="s">
        <v>129</v>
      </c>
      <c r="G204" s="2" t="s">
        <v>64</v>
      </c>
      <c r="H204" s="2">
        <v>29</v>
      </c>
      <c r="I204" s="2" t="s">
        <v>424</v>
      </c>
      <c r="J204" s="2" t="s">
        <v>1179</v>
      </c>
      <c r="K204" s="2" t="s">
        <v>102</v>
      </c>
      <c r="L204" s="2" t="s">
        <v>436</v>
      </c>
      <c r="M204" s="2">
        <v>8050</v>
      </c>
      <c r="N204" s="2" t="s">
        <v>425</v>
      </c>
      <c r="O204" s="2" t="s">
        <v>70</v>
      </c>
      <c r="P204" s="2" t="s">
        <v>333</v>
      </c>
      <c r="Q204" s="2" t="s">
        <v>1180</v>
      </c>
      <c r="R204" s="2">
        <v>76106</v>
      </c>
      <c r="S204" s="2">
        <v>5</v>
      </c>
      <c r="T204" s="2" t="s">
        <v>427</v>
      </c>
      <c r="U204" s="2">
        <v>32.801391600000002</v>
      </c>
      <c r="V204" s="2">
        <v>-97.330253600000006</v>
      </c>
      <c r="W204" s="2" t="s">
        <v>500</v>
      </c>
      <c r="X204" s="2" t="s">
        <v>1181</v>
      </c>
      <c r="Y204" s="2" t="s">
        <v>1182</v>
      </c>
      <c r="Z204" s="2">
        <v>8050</v>
      </c>
      <c r="AA204" s="2" t="s">
        <v>1183</v>
      </c>
      <c r="AB204" s="2">
        <v>51168</v>
      </c>
      <c r="AC204" s="2">
        <v>627</v>
      </c>
      <c r="AD204" s="2">
        <v>3.2</v>
      </c>
      <c r="AE204" s="2">
        <v>0.02</v>
      </c>
      <c r="AF204" s="2" t="str" cm="1">
        <f t="array" ref="AF204">_xlfn.IFS(AE204=0, "No Discount ", AE204&lt;=0.08,"Low Discount", AE204&lt;=0.16,"Medium Discount", AE204&gt;0.16, "High Discount")</f>
        <v>Low Discount</v>
      </c>
      <c r="AG204" s="2">
        <v>127881</v>
      </c>
      <c r="AH204" s="2">
        <v>39.99</v>
      </c>
      <c r="AI204" s="2">
        <v>-0.01</v>
      </c>
      <c r="AJ204" s="2" t="str" cm="1">
        <f t="array" ref="AJ204">_xlfn.IFS(AI204&lt;=0, "No Profit", AI204&lt;=0.16,"Low Profit",AI204&lt;=0.32,"Medium Profit",AI204&gt;0.32,"High Profit")</f>
        <v>No Profit</v>
      </c>
      <c r="AK204" s="2">
        <v>4</v>
      </c>
      <c r="AL204" s="2">
        <v>159.96</v>
      </c>
      <c r="AM204" s="2">
        <v>156.76</v>
      </c>
      <c r="AN204" s="2">
        <v>-2.19</v>
      </c>
      <c r="AO204" s="2" t="s">
        <v>503</v>
      </c>
      <c r="AP204" s="2" t="s">
        <v>1184</v>
      </c>
      <c r="AQ204" s="2" t="s">
        <v>137</v>
      </c>
      <c r="AR204" s="2" t="s">
        <v>81</v>
      </c>
      <c r="AS204" s="2">
        <v>627</v>
      </c>
      <c r="AT204" s="2">
        <v>29</v>
      </c>
      <c r="AU204" s="2" t="s">
        <v>432</v>
      </c>
      <c r="AV204" s="2">
        <v>39.99</v>
      </c>
      <c r="AW204" s="2">
        <v>0</v>
      </c>
      <c r="AX204" s="2" t="s">
        <v>1185</v>
      </c>
      <c r="AY204" s="2" t="s">
        <v>83</v>
      </c>
      <c r="AZ204" s="4">
        <v>42751</v>
      </c>
      <c r="BA204" s="5">
        <v>0.9194444444444444</v>
      </c>
      <c r="BB204" s="2">
        <v>2017</v>
      </c>
      <c r="BC204" s="2" t="s">
        <v>84</v>
      </c>
      <c r="BD204" s="2">
        <v>16</v>
      </c>
      <c r="BE204" s="4">
        <v>42755</v>
      </c>
      <c r="BF204" s="5">
        <v>0.9194444444444444</v>
      </c>
      <c r="BG204" s="2" t="str" cm="1">
        <f t="array" ref="BG204">_xlfn.IFS(BF204&lt;TIMEVALUE("06:00"),"Night", BF204&gt;=TIMEVALUE("21:00"),"Night",BF204&gt;=TIMEVALUE("17:00"),"Evening",BF204&gt;=TIMEVALUE("12:00"),"Afternoon", BF204&gt;=TIMEVALUE("06:00"),"Morning")</f>
        <v>Night</v>
      </c>
      <c r="BH204" s="2">
        <v>2017</v>
      </c>
      <c r="BI204" s="2" t="s">
        <v>84</v>
      </c>
      <c r="BJ204" s="2">
        <v>20</v>
      </c>
    </row>
    <row r="205" spans="1:62" x14ac:dyDescent="0.3">
      <c r="A205" s="2" t="s">
        <v>86</v>
      </c>
      <c r="B205" s="2">
        <v>5</v>
      </c>
      <c r="C205" s="2">
        <v>4</v>
      </c>
      <c r="D205" s="2">
        <v>85.05</v>
      </c>
      <c r="E205" s="2">
        <v>189</v>
      </c>
      <c r="F205" s="2" t="s">
        <v>129</v>
      </c>
      <c r="G205" s="2" t="s">
        <v>64</v>
      </c>
      <c r="H205" s="2">
        <v>24</v>
      </c>
      <c r="I205" s="2" t="s">
        <v>435</v>
      </c>
      <c r="J205" s="2" t="s">
        <v>1186</v>
      </c>
      <c r="K205" s="2" t="s">
        <v>102</v>
      </c>
      <c r="L205" s="2" t="s">
        <v>414</v>
      </c>
      <c r="M205" s="2">
        <v>5474</v>
      </c>
      <c r="N205" s="2" t="s">
        <v>612</v>
      </c>
      <c r="O205" s="2" t="s">
        <v>70</v>
      </c>
      <c r="P205" s="2" t="s">
        <v>1187</v>
      </c>
      <c r="Q205" s="2" t="s">
        <v>1188</v>
      </c>
      <c r="R205" s="2">
        <v>54935</v>
      </c>
      <c r="S205" s="2">
        <v>5</v>
      </c>
      <c r="T205" s="2" t="s">
        <v>427</v>
      </c>
      <c r="U205" s="2">
        <v>43.785690299999999</v>
      </c>
      <c r="V205" s="2">
        <v>-88.474380499999995</v>
      </c>
      <c r="W205" s="2" t="s">
        <v>500</v>
      </c>
      <c r="X205" s="2" t="s">
        <v>866</v>
      </c>
      <c r="Y205" s="2" t="s">
        <v>867</v>
      </c>
      <c r="Z205" s="2">
        <v>5474</v>
      </c>
      <c r="AA205" s="2" t="s">
        <v>1189</v>
      </c>
      <c r="AB205" s="2">
        <v>43599</v>
      </c>
      <c r="AC205" s="2">
        <v>502</v>
      </c>
      <c r="AD205" s="2">
        <v>11</v>
      </c>
      <c r="AE205" s="2">
        <v>0.06</v>
      </c>
      <c r="AF205" s="2" t="str" cm="1">
        <f t="array" ref="AF205">_xlfn.IFS(AE205=0, "No Discount ", AE205&lt;=0.08,"Low Discount", AE205&lt;=0.16,"Medium Discount", AE205&gt;0.16, "High Discount")</f>
        <v>Low Discount</v>
      </c>
      <c r="AG205" s="2">
        <v>108885</v>
      </c>
      <c r="AH205" s="2">
        <v>50</v>
      </c>
      <c r="AI205" s="2">
        <v>0.45</v>
      </c>
      <c r="AJ205" s="2" t="str" cm="1">
        <f t="array" ref="AJ205">_xlfn.IFS(AI205&lt;=0, "No Profit", AI205&lt;=0.16,"Low Profit",AI205&lt;=0.32,"Medium Profit",AI205&gt;0.32,"High Profit")</f>
        <v>High Profit</v>
      </c>
      <c r="AK205" s="2">
        <v>4</v>
      </c>
      <c r="AL205" s="2">
        <v>200</v>
      </c>
      <c r="AM205" s="2">
        <v>189</v>
      </c>
      <c r="AN205" s="2">
        <v>85.05</v>
      </c>
      <c r="AO205" s="2" t="s">
        <v>523</v>
      </c>
      <c r="AP205" s="2" t="s">
        <v>866</v>
      </c>
      <c r="AQ205" s="2" t="s">
        <v>137</v>
      </c>
      <c r="AR205" s="2" t="s">
        <v>81</v>
      </c>
      <c r="AS205" s="2">
        <v>502</v>
      </c>
      <c r="AT205" s="2">
        <v>24</v>
      </c>
      <c r="AU205" s="2" t="s">
        <v>442</v>
      </c>
      <c r="AV205" s="2">
        <v>50</v>
      </c>
      <c r="AW205" s="2">
        <v>0</v>
      </c>
      <c r="AX205" s="3">
        <v>42439.429861111108</v>
      </c>
      <c r="AY205" s="2" t="s">
        <v>83</v>
      </c>
      <c r="AZ205" s="4">
        <v>42641</v>
      </c>
      <c r="BA205" s="5">
        <v>0.42986111111111114</v>
      </c>
      <c r="BB205" s="2">
        <v>2016</v>
      </c>
      <c r="BC205" s="2" t="s">
        <v>552</v>
      </c>
      <c r="BD205" s="2">
        <v>28</v>
      </c>
      <c r="BE205" s="4">
        <v>42439</v>
      </c>
      <c r="BF205" s="5">
        <v>0.42986111111111114</v>
      </c>
      <c r="BG205" s="2" t="str" cm="1">
        <f t="array" ref="BG205">_xlfn.IFS(BF205&lt;TIMEVALUE("06:00"),"Night", BF205&gt;=TIMEVALUE("21:00"),"Night",BF205&gt;=TIMEVALUE("17:00"),"Evening",BF205&gt;=TIMEVALUE("12:00"),"Afternoon", BF205&gt;=TIMEVALUE("06:00"),"Morning")</f>
        <v>Morning</v>
      </c>
      <c r="BH205" s="2">
        <v>2016</v>
      </c>
      <c r="BI205" s="2" t="s">
        <v>85</v>
      </c>
      <c r="BJ205" s="2">
        <v>10</v>
      </c>
    </row>
    <row r="206" spans="1:62" x14ac:dyDescent="0.3">
      <c r="A206" s="2" t="s">
        <v>86</v>
      </c>
      <c r="B206" s="2">
        <v>2</v>
      </c>
      <c r="C206" s="2">
        <v>4</v>
      </c>
      <c r="D206" s="2">
        <v>3.04</v>
      </c>
      <c r="E206" s="2">
        <v>79.97</v>
      </c>
      <c r="F206" s="2" t="s">
        <v>129</v>
      </c>
      <c r="G206" s="2" t="s">
        <v>64</v>
      </c>
      <c r="H206" s="2">
        <v>40</v>
      </c>
      <c r="I206" s="2" t="s">
        <v>1151</v>
      </c>
      <c r="J206" s="2" t="s">
        <v>1147</v>
      </c>
      <c r="K206" s="2" t="s">
        <v>102</v>
      </c>
      <c r="L206" s="2" t="s">
        <v>414</v>
      </c>
      <c r="M206" s="2">
        <v>474</v>
      </c>
      <c r="N206" s="2" t="s">
        <v>1190</v>
      </c>
      <c r="O206" s="2" t="s">
        <v>70</v>
      </c>
      <c r="P206" s="2" t="s">
        <v>280</v>
      </c>
      <c r="Q206" s="2" t="s">
        <v>1191</v>
      </c>
      <c r="R206" s="2">
        <v>19139</v>
      </c>
      <c r="S206" s="2">
        <v>6</v>
      </c>
      <c r="T206" s="2" t="s">
        <v>515</v>
      </c>
      <c r="U206" s="2">
        <v>39.796619399999997</v>
      </c>
      <c r="V206" s="2">
        <v>-75.470069899999999</v>
      </c>
      <c r="W206" s="2" t="s">
        <v>500</v>
      </c>
      <c r="X206" s="2" t="s">
        <v>1192</v>
      </c>
      <c r="Y206" s="2" t="s">
        <v>888</v>
      </c>
      <c r="Z206" s="2">
        <v>474</v>
      </c>
      <c r="AA206" s="3">
        <v>42438.643055555556</v>
      </c>
      <c r="AB206" s="2">
        <v>41901</v>
      </c>
      <c r="AC206" s="2">
        <v>905</v>
      </c>
      <c r="AD206" s="2">
        <v>19.989999999999998</v>
      </c>
      <c r="AE206" s="2">
        <v>0.2</v>
      </c>
      <c r="AF206" s="2" t="str" cm="1">
        <f t="array" ref="AF206">_xlfn.IFS(AE206=0, "No Discount ", AE206&lt;=0.08,"Low Discount", AE206&lt;=0.16,"Medium Discount", AE206&gt;0.16, "High Discount")</f>
        <v>High Discount</v>
      </c>
      <c r="AG206" s="2">
        <v>104591</v>
      </c>
      <c r="AH206" s="2">
        <v>24.99</v>
      </c>
      <c r="AI206" s="2">
        <v>0.04</v>
      </c>
      <c r="AJ206" s="2" t="str" cm="1">
        <f t="array" ref="AJ206">_xlfn.IFS(AI206&lt;=0, "No Profit", AI206&lt;=0.16,"Low Profit",AI206&lt;=0.32,"Medium Profit",AI206&gt;0.32,"High Profit")</f>
        <v>Low Profit</v>
      </c>
      <c r="AK206" s="2">
        <v>4</v>
      </c>
      <c r="AL206" s="2">
        <v>99.96</v>
      </c>
      <c r="AM206" s="2">
        <v>79.97</v>
      </c>
      <c r="AN206" s="2">
        <v>3.04</v>
      </c>
      <c r="AO206" s="2" t="s">
        <v>503</v>
      </c>
      <c r="AP206" s="2" t="s">
        <v>1193</v>
      </c>
      <c r="AQ206" s="2" t="s">
        <v>137</v>
      </c>
      <c r="AR206" s="2" t="s">
        <v>81</v>
      </c>
      <c r="AS206" s="2">
        <v>905</v>
      </c>
      <c r="AT206" s="2">
        <v>40</v>
      </c>
      <c r="AU206" s="2" t="s">
        <v>1194</v>
      </c>
      <c r="AV206" s="2">
        <v>24.99</v>
      </c>
      <c r="AW206" s="2">
        <v>0</v>
      </c>
      <c r="AX206" s="3">
        <v>42499.643055555556</v>
      </c>
      <c r="AY206" s="2" t="s">
        <v>83</v>
      </c>
      <c r="AZ206" s="4">
        <v>42438</v>
      </c>
      <c r="BA206" s="5">
        <v>0.6430555555555556</v>
      </c>
      <c r="BB206" s="2">
        <v>2016</v>
      </c>
      <c r="BC206" s="2" t="s">
        <v>85</v>
      </c>
      <c r="BD206" s="2">
        <v>9</v>
      </c>
      <c r="BE206" s="4">
        <v>42499</v>
      </c>
      <c r="BF206" s="5">
        <v>0.6430555555555556</v>
      </c>
      <c r="BG206" s="2" t="str" cm="1">
        <f t="array" ref="BG206">_xlfn.IFS(BF206&lt;TIMEVALUE("06:00"),"Night", BF206&gt;=TIMEVALUE("21:00"),"Night",BF206&gt;=TIMEVALUE("17:00"),"Evening",BF206&gt;=TIMEVALUE("12:00"),"Afternoon", BF206&gt;=TIMEVALUE("06:00"),"Morning")</f>
        <v>Afternoon</v>
      </c>
      <c r="BH206" s="2">
        <v>2016</v>
      </c>
      <c r="BI206" s="2" t="s">
        <v>443</v>
      </c>
      <c r="BJ206" s="2">
        <v>9</v>
      </c>
    </row>
    <row r="207" spans="1:62" x14ac:dyDescent="0.3">
      <c r="A207" s="2" t="s">
        <v>86</v>
      </c>
      <c r="B207" s="2">
        <v>2</v>
      </c>
      <c r="C207" s="2">
        <v>4</v>
      </c>
      <c r="D207" s="2">
        <v>-266.79000000000002</v>
      </c>
      <c r="E207" s="2">
        <v>363.96</v>
      </c>
      <c r="F207" s="2" t="s">
        <v>63</v>
      </c>
      <c r="G207" s="2" t="s">
        <v>64</v>
      </c>
      <c r="H207" s="2">
        <v>9</v>
      </c>
      <c r="I207" s="2" t="s">
        <v>496</v>
      </c>
      <c r="J207" s="2" t="s">
        <v>1139</v>
      </c>
      <c r="K207" s="2" t="s">
        <v>102</v>
      </c>
      <c r="L207" s="2" t="s">
        <v>414</v>
      </c>
      <c r="M207" s="2">
        <v>12255</v>
      </c>
      <c r="N207" s="2" t="s">
        <v>1031</v>
      </c>
      <c r="O207" s="2" t="s">
        <v>70</v>
      </c>
      <c r="P207" s="2" t="s">
        <v>105</v>
      </c>
      <c r="Q207" s="2" t="s">
        <v>1195</v>
      </c>
      <c r="R207" s="2">
        <v>91764</v>
      </c>
      <c r="S207" s="2">
        <v>3</v>
      </c>
      <c r="T207" s="2" t="s">
        <v>466</v>
      </c>
      <c r="U207" s="2">
        <v>34.0765648</v>
      </c>
      <c r="V207" s="2">
        <v>-117.61409</v>
      </c>
      <c r="W207" s="2" t="s">
        <v>500</v>
      </c>
      <c r="X207" s="2" t="s">
        <v>1196</v>
      </c>
      <c r="Y207" s="2" t="s">
        <v>1197</v>
      </c>
      <c r="Z207" s="2">
        <v>12255</v>
      </c>
      <c r="AA207" s="2" t="s">
        <v>1198</v>
      </c>
      <c r="AB207" s="2">
        <v>42751</v>
      </c>
      <c r="AC207" s="2">
        <v>191</v>
      </c>
      <c r="AD207" s="2">
        <v>36</v>
      </c>
      <c r="AE207" s="2">
        <v>0.09</v>
      </c>
      <c r="AF207" s="2" t="str" cm="1">
        <f t="array" ref="AF207">_xlfn.IFS(AE207=0, "No Discount ", AE207&lt;=0.08,"Low Discount", AE207&lt;=0.16,"Medium Discount", AE207&gt;0.16, "High Discount")</f>
        <v>Medium Discount</v>
      </c>
      <c r="AG207" s="2">
        <v>106706</v>
      </c>
      <c r="AH207" s="2">
        <v>99.99</v>
      </c>
      <c r="AI207" s="2">
        <v>-0.73</v>
      </c>
      <c r="AJ207" s="2" t="str" cm="1">
        <f t="array" ref="AJ207">_xlfn.IFS(AI207&lt;=0, "No Profit", AI207&lt;=0.16,"Low Profit",AI207&lt;=0.32,"Medium Profit",AI207&gt;0.32,"High Profit")</f>
        <v>No Profit</v>
      </c>
      <c r="AK207" s="2">
        <v>4</v>
      </c>
      <c r="AL207" s="2">
        <v>399.96</v>
      </c>
      <c r="AM207" s="2">
        <v>363.96</v>
      </c>
      <c r="AN207" s="2">
        <v>-266.79000000000002</v>
      </c>
      <c r="AO207" s="2" t="s">
        <v>876</v>
      </c>
      <c r="AP207" s="2" t="s">
        <v>1199</v>
      </c>
      <c r="AQ207" s="2" t="s">
        <v>97</v>
      </c>
      <c r="AR207" s="2" t="s">
        <v>81</v>
      </c>
      <c r="AS207" s="2">
        <v>191</v>
      </c>
      <c r="AT207" s="2">
        <v>9</v>
      </c>
      <c r="AU207" s="2" t="s">
        <v>505</v>
      </c>
      <c r="AV207" s="2">
        <v>99.99</v>
      </c>
      <c r="AW207" s="2">
        <v>0</v>
      </c>
      <c r="AX207" s="2" t="s">
        <v>1200</v>
      </c>
      <c r="AY207" s="2" t="s">
        <v>83</v>
      </c>
      <c r="AZ207" s="4">
        <v>42629</v>
      </c>
      <c r="BA207" s="5">
        <v>5.0694444444444445E-2</v>
      </c>
      <c r="BB207" s="2">
        <v>2016</v>
      </c>
      <c r="BC207" s="2" t="s">
        <v>552</v>
      </c>
      <c r="BD207" s="2">
        <v>16</v>
      </c>
      <c r="BE207" s="4">
        <v>42631</v>
      </c>
      <c r="BF207" s="5">
        <v>5.0694444444444445E-2</v>
      </c>
      <c r="BG207" s="2" t="str" cm="1">
        <f t="array" ref="BG207">_xlfn.IFS(BF207&lt;TIMEVALUE("06:00"),"Night", BF207&gt;=TIMEVALUE("21:00"),"Night",BF207&gt;=TIMEVALUE("17:00"),"Evening",BF207&gt;=TIMEVALUE("12:00"),"Afternoon", BF207&gt;=TIMEVALUE("06:00"),"Morning")</f>
        <v>Night</v>
      </c>
      <c r="BH207" s="2">
        <v>2016</v>
      </c>
      <c r="BI207" s="2" t="s">
        <v>552</v>
      </c>
      <c r="BJ207" s="2">
        <v>18</v>
      </c>
    </row>
    <row r="208" spans="1:62" x14ac:dyDescent="0.3">
      <c r="A208" s="2" t="s">
        <v>86</v>
      </c>
      <c r="B208" s="2">
        <v>4</v>
      </c>
      <c r="C208" s="2">
        <v>4</v>
      </c>
      <c r="D208" s="2">
        <v>64.790000000000006</v>
      </c>
      <c r="E208" s="2">
        <v>239.96</v>
      </c>
      <c r="F208" s="2" t="s">
        <v>100</v>
      </c>
      <c r="G208" s="2" t="s">
        <v>64</v>
      </c>
      <c r="H208" s="2">
        <v>17</v>
      </c>
      <c r="I208" s="2" t="s">
        <v>412</v>
      </c>
      <c r="J208" s="2" t="s">
        <v>1201</v>
      </c>
      <c r="K208" s="2" t="s">
        <v>102</v>
      </c>
      <c r="L208" s="2" t="s">
        <v>1202</v>
      </c>
      <c r="M208" s="2">
        <v>10288</v>
      </c>
      <c r="N208" s="2" t="s">
        <v>425</v>
      </c>
      <c r="O208" s="2" t="s">
        <v>70</v>
      </c>
      <c r="P208" s="2" t="s">
        <v>152</v>
      </c>
      <c r="Q208" s="2" t="s">
        <v>1203</v>
      </c>
      <c r="R208" s="2">
        <v>32765</v>
      </c>
      <c r="S208" s="2">
        <v>4</v>
      </c>
      <c r="T208" s="2" t="s">
        <v>417</v>
      </c>
      <c r="U208" s="2">
        <v>28.622177099999998</v>
      </c>
      <c r="V208" s="2">
        <v>-81.207557699999995</v>
      </c>
      <c r="W208" s="2" t="s">
        <v>500</v>
      </c>
      <c r="X208" s="2" t="s">
        <v>1204</v>
      </c>
      <c r="Y208" s="2" t="s">
        <v>522</v>
      </c>
      <c r="Z208" s="2">
        <v>10288</v>
      </c>
      <c r="AA208" s="2" t="s">
        <v>1205</v>
      </c>
      <c r="AB208" s="2">
        <v>45088</v>
      </c>
      <c r="AC208" s="2">
        <v>365</v>
      </c>
      <c r="AD208" s="2">
        <v>0</v>
      </c>
      <c r="AE208" s="2">
        <v>0</v>
      </c>
      <c r="AF208" s="2" t="str" cm="1">
        <f t="array" ref="AF208">_xlfn.IFS(AE208=0, "No Discount ", AE208&lt;=0.08,"Low Discount", AE208&lt;=0.16,"Medium Discount", AE208&gt;0.16, "High Discount")</f>
        <v xml:space="preserve">No Discount </v>
      </c>
      <c r="AG208" s="2">
        <v>112591</v>
      </c>
      <c r="AH208" s="2">
        <v>59.99</v>
      </c>
      <c r="AI208" s="2">
        <v>0.27</v>
      </c>
      <c r="AJ208" s="2" t="str" cm="1">
        <f t="array" ref="AJ208">_xlfn.IFS(AI208&lt;=0, "No Profit", AI208&lt;=0.16,"Low Profit",AI208&lt;=0.32,"Medium Profit",AI208&gt;0.32,"High Profit")</f>
        <v>Medium Profit</v>
      </c>
      <c r="AK208" s="2">
        <v>4</v>
      </c>
      <c r="AL208" s="2">
        <v>239.96</v>
      </c>
      <c r="AM208" s="2">
        <v>239.96</v>
      </c>
      <c r="AN208" s="2">
        <v>64.790000000000006</v>
      </c>
      <c r="AO208" s="2" t="s">
        <v>523</v>
      </c>
      <c r="AP208" s="2" t="s">
        <v>1206</v>
      </c>
      <c r="AQ208" s="2" t="s">
        <v>97</v>
      </c>
      <c r="AR208" s="2" t="s">
        <v>81</v>
      </c>
      <c r="AS208" s="2">
        <v>365</v>
      </c>
      <c r="AT208" s="2">
        <v>17</v>
      </c>
      <c r="AU208" s="2" t="s">
        <v>421</v>
      </c>
      <c r="AV208" s="2">
        <v>59.99</v>
      </c>
      <c r="AW208" s="2">
        <v>0</v>
      </c>
      <c r="AX208" s="2" t="s">
        <v>1207</v>
      </c>
      <c r="AY208" s="2" t="s">
        <v>83</v>
      </c>
      <c r="AZ208" s="4">
        <v>42663</v>
      </c>
      <c r="BA208" s="5">
        <v>0.16597222222222222</v>
      </c>
      <c r="BB208" s="2">
        <v>2016</v>
      </c>
      <c r="BC208" s="2" t="s">
        <v>434</v>
      </c>
      <c r="BD208" s="2">
        <v>20</v>
      </c>
      <c r="BE208" s="4">
        <v>42667</v>
      </c>
      <c r="BF208" s="5">
        <v>0.16597222222222222</v>
      </c>
      <c r="BG208" s="2" t="str" cm="1">
        <f t="array" ref="BG208">_xlfn.IFS(BF208&lt;TIMEVALUE("06:00"),"Night", BF208&gt;=TIMEVALUE("21:00"),"Night",BF208&gt;=TIMEVALUE("17:00"),"Evening",BF208&gt;=TIMEVALUE("12:00"),"Afternoon", BF208&gt;=TIMEVALUE("06:00"),"Morning")</f>
        <v>Night</v>
      </c>
      <c r="BH208" s="2">
        <v>2016</v>
      </c>
      <c r="BI208" s="2" t="s">
        <v>434</v>
      </c>
      <c r="BJ208" s="2">
        <v>24</v>
      </c>
    </row>
    <row r="209" spans="1:62" x14ac:dyDescent="0.3">
      <c r="A209" s="2" t="s">
        <v>86</v>
      </c>
      <c r="B209" s="2">
        <v>5</v>
      </c>
      <c r="C209" s="2">
        <v>4</v>
      </c>
      <c r="D209" s="2">
        <v>83.62</v>
      </c>
      <c r="E209" s="2">
        <v>230.36</v>
      </c>
      <c r="F209" s="2" t="s">
        <v>87</v>
      </c>
      <c r="G209" s="2" t="s">
        <v>88</v>
      </c>
      <c r="H209" s="2">
        <v>17</v>
      </c>
      <c r="I209" s="2" t="s">
        <v>412</v>
      </c>
      <c r="J209" s="2" t="s">
        <v>1208</v>
      </c>
      <c r="K209" s="2" t="s">
        <v>102</v>
      </c>
      <c r="L209" s="2" t="s">
        <v>414</v>
      </c>
      <c r="M209" s="2">
        <v>4717</v>
      </c>
      <c r="N209" s="2" t="s">
        <v>879</v>
      </c>
      <c r="O209" s="2" t="s">
        <v>70</v>
      </c>
      <c r="P209" s="2" t="s">
        <v>133</v>
      </c>
      <c r="Q209" s="2" t="s">
        <v>1209</v>
      </c>
      <c r="R209" s="2">
        <v>14221</v>
      </c>
      <c r="S209" s="2">
        <v>4</v>
      </c>
      <c r="T209" s="2" t="s">
        <v>417</v>
      </c>
      <c r="U209" s="2">
        <v>42.966621400000001</v>
      </c>
      <c r="V209" s="2">
        <v>-78.741943399999997</v>
      </c>
      <c r="W209" s="2" t="s">
        <v>500</v>
      </c>
      <c r="X209" s="2" t="s">
        <v>1210</v>
      </c>
      <c r="Y209" s="2" t="s">
        <v>895</v>
      </c>
      <c r="Z209" s="2">
        <v>4717</v>
      </c>
      <c r="AA209" s="3">
        <v>42917.007638888892</v>
      </c>
      <c r="AB209" s="2">
        <v>50489</v>
      </c>
      <c r="AC209" s="2">
        <v>365</v>
      </c>
      <c r="AD209" s="2">
        <v>9.6</v>
      </c>
      <c r="AE209" s="2">
        <v>0.04</v>
      </c>
      <c r="AF209" s="2" t="str" cm="1">
        <f t="array" ref="AF209">_xlfn.IFS(AE209=0, "No Discount ", AE209&lt;=0.08,"Low Discount", AE209&lt;=0.16,"Medium Discount", AE209&gt;0.16, "High Discount")</f>
        <v>Low Discount</v>
      </c>
      <c r="AG209" s="2">
        <v>126156</v>
      </c>
      <c r="AH209" s="2">
        <v>59.99</v>
      </c>
      <c r="AI209" s="2">
        <v>0.36</v>
      </c>
      <c r="AJ209" s="2" t="str" cm="1">
        <f t="array" ref="AJ209">_xlfn.IFS(AI209&lt;=0, "No Profit", AI209&lt;=0.16,"Low Profit",AI209&lt;=0.32,"Medium Profit",AI209&gt;0.32,"High Profit")</f>
        <v>High Profit</v>
      </c>
      <c r="AK209" s="2">
        <v>4</v>
      </c>
      <c r="AL209" s="2">
        <v>239.96</v>
      </c>
      <c r="AM209" s="2">
        <v>230.36</v>
      </c>
      <c r="AN209" s="2">
        <v>83.62</v>
      </c>
      <c r="AO209" s="2" t="s">
        <v>523</v>
      </c>
      <c r="AP209" s="2" t="s">
        <v>1211</v>
      </c>
      <c r="AQ209" s="2" t="s">
        <v>97</v>
      </c>
      <c r="AR209" s="2" t="s">
        <v>81</v>
      </c>
      <c r="AS209" s="2">
        <v>365</v>
      </c>
      <c r="AT209" s="2">
        <v>17</v>
      </c>
      <c r="AU209" s="2" t="s">
        <v>421</v>
      </c>
      <c r="AV209" s="2">
        <v>59.99</v>
      </c>
      <c r="AW209" s="2">
        <v>0</v>
      </c>
      <c r="AX209" s="3">
        <v>43070.007638888892</v>
      </c>
      <c r="AY209" s="2" t="s">
        <v>83</v>
      </c>
      <c r="AZ209" s="4">
        <v>42917</v>
      </c>
      <c r="BA209" s="5">
        <v>7.6388888888888886E-3</v>
      </c>
      <c r="BB209" s="2">
        <v>2017</v>
      </c>
      <c r="BC209" s="2" t="s">
        <v>533</v>
      </c>
      <c r="BD209" s="2">
        <v>1</v>
      </c>
      <c r="BE209" s="4">
        <v>43070</v>
      </c>
      <c r="BF209" s="5">
        <v>7.6388888888888886E-3</v>
      </c>
      <c r="BG209" s="2" t="str" cm="1">
        <f t="array" ref="BG209">_xlfn.IFS(BF209&lt;TIMEVALUE("06:00"),"Night", BF209&gt;=TIMEVALUE("21:00"),"Night",BF209&gt;=TIMEVALUE("17:00"),"Evening",BF209&gt;=TIMEVALUE("12:00"),"Afternoon", BF209&gt;=TIMEVALUE("06:00"),"Morning")</f>
        <v>Night</v>
      </c>
      <c r="BH209" s="2">
        <v>2017</v>
      </c>
      <c r="BI209" s="2" t="s">
        <v>357</v>
      </c>
      <c r="BJ209" s="2">
        <v>1</v>
      </c>
    </row>
    <row r="210" spans="1:62" x14ac:dyDescent="0.3">
      <c r="A210" s="2" t="s">
        <v>86</v>
      </c>
      <c r="B210" s="2">
        <v>5</v>
      </c>
      <c r="C210" s="2">
        <v>4</v>
      </c>
      <c r="D210" s="2">
        <v>74.09</v>
      </c>
      <c r="E210" s="2">
        <v>227.96</v>
      </c>
      <c r="F210" s="2" t="s">
        <v>87</v>
      </c>
      <c r="G210" s="2" t="s">
        <v>88</v>
      </c>
      <c r="H210" s="2">
        <v>17</v>
      </c>
      <c r="I210" s="2" t="s">
        <v>412</v>
      </c>
      <c r="J210" s="2" t="s">
        <v>1212</v>
      </c>
      <c r="K210" s="2" t="s">
        <v>102</v>
      </c>
      <c r="L210" s="2" t="s">
        <v>1213</v>
      </c>
      <c r="M210" s="2">
        <v>4799</v>
      </c>
      <c r="N210" s="2" t="s">
        <v>187</v>
      </c>
      <c r="O210" s="2" t="s">
        <v>70</v>
      </c>
      <c r="P210" s="2" t="s">
        <v>1154</v>
      </c>
      <c r="Q210" s="2" t="s">
        <v>1214</v>
      </c>
      <c r="R210" s="2">
        <v>96822</v>
      </c>
      <c r="S210" s="2">
        <v>4</v>
      </c>
      <c r="T210" s="2" t="s">
        <v>417</v>
      </c>
      <c r="U210" s="2">
        <v>21.3056202</v>
      </c>
      <c r="V210" s="2">
        <v>-157.8386993</v>
      </c>
      <c r="W210" s="2" t="s">
        <v>500</v>
      </c>
      <c r="X210" s="2" t="s">
        <v>516</v>
      </c>
      <c r="Y210" s="2" t="s">
        <v>517</v>
      </c>
      <c r="Z210" s="2">
        <v>4799</v>
      </c>
      <c r="AA210" s="3">
        <v>42653.254166666666</v>
      </c>
      <c r="AB210" s="2">
        <v>44409</v>
      </c>
      <c r="AC210" s="2">
        <v>365</v>
      </c>
      <c r="AD210" s="2">
        <v>12</v>
      </c>
      <c r="AE210" s="2">
        <v>0.05</v>
      </c>
      <c r="AF210" s="2" t="str" cm="1">
        <f t="array" ref="AF210">_xlfn.IFS(AE210=0, "No Discount ", AE210&lt;=0.08,"Low Discount", AE210&lt;=0.16,"Medium Discount", AE210&gt;0.16, "High Discount")</f>
        <v>Low Discount</v>
      </c>
      <c r="AG210" s="2">
        <v>110862</v>
      </c>
      <c r="AH210" s="2">
        <v>59.99</v>
      </c>
      <c r="AI210" s="2">
        <v>0.33</v>
      </c>
      <c r="AJ210" s="2" t="str" cm="1">
        <f t="array" ref="AJ210">_xlfn.IFS(AI210&lt;=0, "No Profit", AI210&lt;=0.16,"Low Profit",AI210&lt;=0.32,"Medium Profit",AI210&gt;0.32,"High Profit")</f>
        <v>High Profit</v>
      </c>
      <c r="AK210" s="2">
        <v>4</v>
      </c>
      <c r="AL210" s="2">
        <v>239.96</v>
      </c>
      <c r="AM210" s="2">
        <v>227.96</v>
      </c>
      <c r="AN210" s="2">
        <v>74.09</v>
      </c>
      <c r="AO210" s="2" t="s">
        <v>503</v>
      </c>
      <c r="AP210" s="2" t="s">
        <v>516</v>
      </c>
      <c r="AQ210" s="2" t="s">
        <v>97</v>
      </c>
      <c r="AR210" s="2" t="s">
        <v>81</v>
      </c>
      <c r="AS210" s="2">
        <v>365</v>
      </c>
      <c r="AT210" s="2">
        <v>17</v>
      </c>
      <c r="AU210" s="2" t="s">
        <v>421</v>
      </c>
      <c r="AV210" s="2">
        <v>59.99</v>
      </c>
      <c r="AW210" s="2">
        <v>0</v>
      </c>
      <c r="AX210" s="2" t="s">
        <v>1215</v>
      </c>
      <c r="AY210" s="2" t="s">
        <v>83</v>
      </c>
      <c r="AZ210" s="4">
        <v>42653</v>
      </c>
      <c r="BA210" s="5">
        <v>0.25416666666666665</v>
      </c>
      <c r="BB210" s="2">
        <v>2016</v>
      </c>
      <c r="BC210" s="2" t="s">
        <v>434</v>
      </c>
      <c r="BD210" s="2">
        <v>10</v>
      </c>
      <c r="BE210" s="4">
        <v>42658</v>
      </c>
      <c r="BF210" s="5">
        <v>0.25416666666666665</v>
      </c>
      <c r="BG210" s="2" t="str" cm="1">
        <f t="array" ref="BG210">_xlfn.IFS(BF210&lt;TIMEVALUE("06:00"),"Night", BF210&gt;=TIMEVALUE("21:00"),"Night",BF210&gt;=TIMEVALUE("17:00"),"Evening",BF210&gt;=TIMEVALUE("12:00"),"Afternoon", BF210&gt;=TIMEVALUE("06:00"),"Morning")</f>
        <v>Morning</v>
      </c>
      <c r="BH210" s="2">
        <v>2016</v>
      </c>
      <c r="BI210" s="2" t="s">
        <v>434</v>
      </c>
      <c r="BJ210" s="2">
        <v>15</v>
      </c>
    </row>
    <row r="211" spans="1:62" x14ac:dyDescent="0.3">
      <c r="A211" s="2" t="s">
        <v>86</v>
      </c>
      <c r="B211" s="2">
        <v>2</v>
      </c>
      <c r="C211" s="2">
        <v>4</v>
      </c>
      <c r="D211" s="2">
        <v>92.97</v>
      </c>
      <c r="E211" s="2">
        <v>226.76</v>
      </c>
      <c r="F211" s="2" t="s">
        <v>63</v>
      </c>
      <c r="G211" s="2" t="s">
        <v>64</v>
      </c>
      <c r="H211" s="2">
        <v>17</v>
      </c>
      <c r="I211" s="2" t="s">
        <v>412</v>
      </c>
      <c r="J211" s="2" t="s">
        <v>1216</v>
      </c>
      <c r="K211" s="2" t="s">
        <v>102</v>
      </c>
      <c r="L211" s="2" t="s">
        <v>1217</v>
      </c>
      <c r="M211" s="2">
        <v>4533</v>
      </c>
      <c r="N211" s="2" t="s">
        <v>1218</v>
      </c>
      <c r="O211" s="2" t="s">
        <v>70</v>
      </c>
      <c r="P211" s="2" t="s">
        <v>105</v>
      </c>
      <c r="Q211" s="2" t="s">
        <v>1219</v>
      </c>
      <c r="R211" s="2">
        <v>92056</v>
      </c>
      <c r="S211" s="2">
        <v>4</v>
      </c>
      <c r="T211" s="2" t="s">
        <v>417</v>
      </c>
      <c r="U211" s="2">
        <v>33.185874900000002</v>
      </c>
      <c r="V211" s="2">
        <v>-117.36585239999999</v>
      </c>
      <c r="W211" s="2" t="s">
        <v>500</v>
      </c>
      <c r="X211" s="2" t="s">
        <v>1220</v>
      </c>
      <c r="Y211" s="2" t="s">
        <v>895</v>
      </c>
      <c r="Z211" s="2">
        <v>4533</v>
      </c>
      <c r="AA211" s="3">
        <v>42530.5625</v>
      </c>
      <c r="AB211" s="2">
        <v>42101</v>
      </c>
      <c r="AC211" s="2">
        <v>365</v>
      </c>
      <c r="AD211" s="2">
        <v>13.2</v>
      </c>
      <c r="AE211" s="2">
        <v>0.06</v>
      </c>
      <c r="AF211" s="2" t="str" cm="1">
        <f t="array" ref="AF211">_xlfn.IFS(AE211=0, "No Discount ", AE211&lt;=0.08,"Low Discount", AE211&lt;=0.16,"Medium Discount", AE211&gt;0.16, "High Discount")</f>
        <v>Low Discount</v>
      </c>
      <c r="AG211" s="2">
        <v>105115</v>
      </c>
      <c r="AH211" s="2">
        <v>59.99</v>
      </c>
      <c r="AI211" s="2">
        <v>0.41</v>
      </c>
      <c r="AJ211" s="2" t="str" cm="1">
        <f t="array" ref="AJ211">_xlfn.IFS(AI211&lt;=0, "No Profit", AI211&lt;=0.16,"Low Profit",AI211&lt;=0.32,"Medium Profit",AI211&gt;0.32,"High Profit")</f>
        <v>High Profit</v>
      </c>
      <c r="AK211" s="2">
        <v>4</v>
      </c>
      <c r="AL211" s="2">
        <v>239.96</v>
      </c>
      <c r="AM211" s="2">
        <v>226.76</v>
      </c>
      <c r="AN211" s="2">
        <v>92.97</v>
      </c>
      <c r="AO211" s="2" t="s">
        <v>523</v>
      </c>
      <c r="AP211" s="2" t="s">
        <v>1221</v>
      </c>
      <c r="AQ211" s="2" t="s">
        <v>97</v>
      </c>
      <c r="AR211" s="2" t="s">
        <v>81</v>
      </c>
      <c r="AS211" s="2">
        <v>365</v>
      </c>
      <c r="AT211" s="2">
        <v>17</v>
      </c>
      <c r="AU211" s="2" t="s">
        <v>421</v>
      </c>
      <c r="AV211" s="2">
        <v>59.99</v>
      </c>
      <c r="AW211" s="2">
        <v>0</v>
      </c>
      <c r="AX211" s="3">
        <v>42591.5625</v>
      </c>
      <c r="AY211" s="2" t="s">
        <v>83</v>
      </c>
      <c r="AZ211" s="4">
        <v>42530</v>
      </c>
      <c r="BA211" s="5">
        <v>0.5625</v>
      </c>
      <c r="BB211" s="2">
        <v>2016</v>
      </c>
      <c r="BC211" s="2" t="s">
        <v>474</v>
      </c>
      <c r="BD211" s="2">
        <v>9</v>
      </c>
      <c r="BE211" s="4">
        <v>42591</v>
      </c>
      <c r="BF211" s="5">
        <v>0.5625</v>
      </c>
      <c r="BG211" s="2" t="str" cm="1">
        <f t="array" ref="BG211">_xlfn.IFS(BF211&lt;TIMEVALUE("06:00"),"Night", BF211&gt;=TIMEVALUE("21:00"),"Night",BF211&gt;=TIMEVALUE("17:00"),"Evening",BF211&gt;=TIMEVALUE("12:00"),"Afternoon", BF211&gt;=TIMEVALUE("06:00"),"Morning")</f>
        <v>Afternoon</v>
      </c>
      <c r="BH211" s="2">
        <v>2016</v>
      </c>
      <c r="BI211" s="2" t="s">
        <v>482</v>
      </c>
      <c r="BJ211" s="2">
        <v>9</v>
      </c>
    </row>
    <row r="212" spans="1:62" x14ac:dyDescent="0.3">
      <c r="A212" s="2" t="s">
        <v>86</v>
      </c>
      <c r="B212" s="2">
        <v>5</v>
      </c>
      <c r="C212" s="2">
        <v>4</v>
      </c>
      <c r="D212" s="2">
        <v>70.56</v>
      </c>
      <c r="E212" s="2">
        <v>208.77</v>
      </c>
      <c r="F212" s="2" t="s">
        <v>87</v>
      </c>
      <c r="G212" s="2" t="s">
        <v>88</v>
      </c>
      <c r="H212" s="2">
        <v>17</v>
      </c>
      <c r="I212" s="2" t="s">
        <v>412</v>
      </c>
      <c r="J212" s="2" t="s">
        <v>1222</v>
      </c>
      <c r="K212" s="2" t="s">
        <v>102</v>
      </c>
      <c r="L212" s="2" t="s">
        <v>1223</v>
      </c>
      <c r="M212" s="2">
        <v>12383</v>
      </c>
      <c r="N212" s="2" t="s">
        <v>743</v>
      </c>
      <c r="O212" s="2" t="s">
        <v>70</v>
      </c>
      <c r="P212" s="2" t="s">
        <v>133</v>
      </c>
      <c r="Q212" s="2" t="s">
        <v>1224</v>
      </c>
      <c r="R212" s="2">
        <v>14120</v>
      </c>
      <c r="S212" s="2">
        <v>4</v>
      </c>
      <c r="T212" s="2" t="s">
        <v>417</v>
      </c>
      <c r="U212" s="2">
        <v>43.029102299999998</v>
      </c>
      <c r="V212" s="2">
        <v>-78.873420699999997</v>
      </c>
      <c r="W212" s="2" t="s">
        <v>500</v>
      </c>
      <c r="X212" s="2" t="s">
        <v>881</v>
      </c>
      <c r="Y212" s="2" t="s">
        <v>522</v>
      </c>
      <c r="Z212" s="2">
        <v>12383</v>
      </c>
      <c r="AA212" s="3">
        <v>42887.059027777781</v>
      </c>
      <c r="AB212" s="2">
        <v>50424</v>
      </c>
      <c r="AC212" s="2">
        <v>365</v>
      </c>
      <c r="AD212" s="2">
        <v>31.19</v>
      </c>
      <c r="AE212" s="2">
        <v>0.13</v>
      </c>
      <c r="AF212" s="2" t="str" cm="1">
        <f t="array" ref="AF212">_xlfn.IFS(AE212=0, "No Discount ", AE212&lt;=0.08,"Low Discount", AE212&lt;=0.16,"Medium Discount", AE212&gt;0.16, "High Discount")</f>
        <v>Medium Discount</v>
      </c>
      <c r="AG212" s="2">
        <v>125992</v>
      </c>
      <c r="AH212" s="2">
        <v>59.99</v>
      </c>
      <c r="AI212" s="2">
        <v>0.34</v>
      </c>
      <c r="AJ212" s="2" t="str" cm="1">
        <f t="array" ref="AJ212">_xlfn.IFS(AI212&lt;=0, "No Profit", AI212&lt;=0.16,"Low Profit",AI212&lt;=0.32,"Medium Profit",AI212&gt;0.32,"High Profit")</f>
        <v>High Profit</v>
      </c>
      <c r="AK212" s="2">
        <v>4</v>
      </c>
      <c r="AL212" s="2">
        <v>239.96</v>
      </c>
      <c r="AM212" s="2">
        <v>208.77</v>
      </c>
      <c r="AN212" s="2">
        <v>70.56</v>
      </c>
      <c r="AO212" s="2" t="s">
        <v>523</v>
      </c>
      <c r="AP212" s="2" t="s">
        <v>883</v>
      </c>
      <c r="AQ212" s="2" t="s">
        <v>97</v>
      </c>
      <c r="AR212" s="2" t="s">
        <v>81</v>
      </c>
      <c r="AS212" s="2">
        <v>365</v>
      </c>
      <c r="AT212" s="2">
        <v>17</v>
      </c>
      <c r="AU212" s="2" t="s">
        <v>421</v>
      </c>
      <c r="AV212" s="2">
        <v>59.99</v>
      </c>
      <c r="AW212" s="2">
        <v>0</v>
      </c>
      <c r="AX212" s="3">
        <v>43040.059027777781</v>
      </c>
      <c r="AY212" s="2" t="s">
        <v>83</v>
      </c>
      <c r="AZ212" s="4">
        <v>42887</v>
      </c>
      <c r="BA212" s="5">
        <v>5.9027777777777776E-2</v>
      </c>
      <c r="BB212" s="2">
        <v>2017</v>
      </c>
      <c r="BC212" s="2" t="s">
        <v>474</v>
      </c>
      <c r="BD212" s="2">
        <v>1</v>
      </c>
      <c r="BE212" s="4">
        <v>43040</v>
      </c>
      <c r="BF212" s="5">
        <v>5.9027777777777776E-2</v>
      </c>
      <c r="BG212" s="2" t="str" cm="1">
        <f t="array" ref="BG212">_xlfn.IFS(BF212&lt;TIMEVALUE("06:00"),"Night", BF212&gt;=TIMEVALUE("21:00"),"Night",BF212&gt;=TIMEVALUE("17:00"),"Evening",BF212&gt;=TIMEVALUE("12:00"),"Afternoon", BF212&gt;=TIMEVALUE("06:00"),"Morning")</f>
        <v>Night</v>
      </c>
      <c r="BH212" s="2">
        <v>2017</v>
      </c>
      <c r="BI212" s="2" t="s">
        <v>455</v>
      </c>
      <c r="BJ212" s="2">
        <v>1</v>
      </c>
    </row>
    <row r="213" spans="1:62" x14ac:dyDescent="0.3">
      <c r="A213" s="2" t="s">
        <v>86</v>
      </c>
      <c r="B213" s="2">
        <v>6</v>
      </c>
      <c r="C213" s="2">
        <v>4</v>
      </c>
      <c r="D213" s="2">
        <v>96</v>
      </c>
      <c r="E213" s="2">
        <v>200</v>
      </c>
      <c r="F213" s="2" t="s">
        <v>87</v>
      </c>
      <c r="G213" s="2" t="s">
        <v>88</v>
      </c>
      <c r="H213" s="2">
        <v>24</v>
      </c>
      <c r="I213" s="2" t="s">
        <v>435</v>
      </c>
      <c r="J213" s="2" t="s">
        <v>1225</v>
      </c>
      <c r="K213" s="2" t="s">
        <v>102</v>
      </c>
      <c r="L213" s="2" t="s">
        <v>1226</v>
      </c>
      <c r="M213" s="2">
        <v>3518</v>
      </c>
      <c r="N213" s="2" t="s">
        <v>425</v>
      </c>
      <c r="O213" s="2" t="s">
        <v>70</v>
      </c>
      <c r="P213" s="2" t="s">
        <v>105</v>
      </c>
      <c r="Q213" s="2" t="s">
        <v>1227</v>
      </c>
      <c r="R213" s="2">
        <v>93611</v>
      </c>
      <c r="S213" s="2">
        <v>5</v>
      </c>
      <c r="T213" s="2" t="s">
        <v>427</v>
      </c>
      <c r="U213" s="2">
        <v>36.826900500000001</v>
      </c>
      <c r="V213" s="2">
        <v>-119.6776962</v>
      </c>
      <c r="W213" s="2" t="s">
        <v>500</v>
      </c>
      <c r="X213" s="2" t="s">
        <v>887</v>
      </c>
      <c r="Y213" s="2" t="s">
        <v>888</v>
      </c>
      <c r="Z213" s="2">
        <v>3518</v>
      </c>
      <c r="AA213" s="2" t="s">
        <v>1228</v>
      </c>
      <c r="AB213" s="2">
        <v>49825</v>
      </c>
      <c r="AC213" s="2">
        <v>502</v>
      </c>
      <c r="AD213" s="2">
        <v>0</v>
      </c>
      <c r="AE213" s="2">
        <v>0</v>
      </c>
      <c r="AF213" s="2" t="str" cm="1">
        <f t="array" ref="AF213">_xlfn.IFS(AE213=0, "No Discount ", AE213&lt;=0.08,"Low Discount", AE213&lt;=0.16,"Medium Discount", AE213&gt;0.16, "High Discount")</f>
        <v xml:space="preserve">No Discount </v>
      </c>
      <c r="AG213" s="2">
        <v>124562</v>
      </c>
      <c r="AH213" s="2">
        <v>50</v>
      </c>
      <c r="AI213" s="2">
        <v>0.48</v>
      </c>
      <c r="AJ213" s="2" t="str" cm="1">
        <f t="array" ref="AJ213">_xlfn.IFS(AI213&lt;=0, "No Profit", AI213&lt;=0.16,"Low Profit",AI213&lt;=0.32,"Medium Profit",AI213&gt;0.32,"High Profit")</f>
        <v>High Profit</v>
      </c>
      <c r="AK213" s="2">
        <v>4</v>
      </c>
      <c r="AL213" s="2">
        <v>200</v>
      </c>
      <c r="AM213" s="2">
        <v>200</v>
      </c>
      <c r="AN213" s="2">
        <v>96</v>
      </c>
      <c r="AO213" s="2" t="s">
        <v>503</v>
      </c>
      <c r="AP213" s="2" t="s">
        <v>889</v>
      </c>
      <c r="AQ213" s="2" t="s">
        <v>97</v>
      </c>
      <c r="AR213" s="2" t="s">
        <v>81</v>
      </c>
      <c r="AS213" s="2">
        <v>502</v>
      </c>
      <c r="AT213" s="2">
        <v>24</v>
      </c>
      <c r="AU213" s="2" t="s">
        <v>442</v>
      </c>
      <c r="AV213" s="2">
        <v>50</v>
      </c>
      <c r="AW213" s="2">
        <v>0</v>
      </c>
      <c r="AX213" s="3">
        <v>42795.314583333333</v>
      </c>
      <c r="AY213" s="2" t="s">
        <v>83</v>
      </c>
      <c r="AZ213" s="4">
        <v>42732</v>
      </c>
      <c r="BA213" s="5">
        <v>0.31458333333333333</v>
      </c>
      <c r="BB213" s="2">
        <v>2016</v>
      </c>
      <c r="BC213" s="2" t="s">
        <v>357</v>
      </c>
      <c r="BD213" s="2">
        <v>28</v>
      </c>
      <c r="BE213" s="4">
        <v>42795</v>
      </c>
      <c r="BF213" s="5">
        <v>0.31458333333333333</v>
      </c>
      <c r="BG213" s="2" t="str" cm="1">
        <f t="array" ref="BG213">_xlfn.IFS(BF213&lt;TIMEVALUE("06:00"),"Night", BF213&gt;=TIMEVALUE("21:00"),"Night",BF213&gt;=TIMEVALUE("17:00"),"Evening",BF213&gt;=TIMEVALUE("12:00"),"Afternoon", BF213&gt;=TIMEVALUE("06:00"),"Morning")</f>
        <v>Morning</v>
      </c>
      <c r="BH213" s="2">
        <v>2017</v>
      </c>
      <c r="BI213" s="2" t="s">
        <v>85</v>
      </c>
      <c r="BJ213" s="2">
        <v>1</v>
      </c>
    </row>
    <row r="214" spans="1:62" x14ac:dyDescent="0.3">
      <c r="A214" s="2" t="s">
        <v>86</v>
      </c>
      <c r="B214" s="2">
        <v>5</v>
      </c>
      <c r="C214" s="2">
        <v>4</v>
      </c>
      <c r="D214" s="2">
        <v>-145.13</v>
      </c>
      <c r="E214" s="2">
        <v>198</v>
      </c>
      <c r="F214" s="2" t="s">
        <v>87</v>
      </c>
      <c r="G214" s="2" t="s">
        <v>88</v>
      </c>
      <c r="H214" s="2">
        <v>24</v>
      </c>
      <c r="I214" s="2" t="s">
        <v>435</v>
      </c>
      <c r="J214" s="2" t="s">
        <v>1229</v>
      </c>
      <c r="K214" s="2" t="s">
        <v>102</v>
      </c>
      <c r="L214" s="2" t="s">
        <v>414</v>
      </c>
      <c r="M214" s="2">
        <v>4674</v>
      </c>
      <c r="N214" s="2" t="s">
        <v>1230</v>
      </c>
      <c r="O214" s="2" t="s">
        <v>70</v>
      </c>
      <c r="P214" s="2" t="s">
        <v>133</v>
      </c>
      <c r="Q214" s="2" t="s">
        <v>1231</v>
      </c>
      <c r="R214" s="2">
        <v>11434</v>
      </c>
      <c r="S214" s="2">
        <v>5</v>
      </c>
      <c r="T214" s="2" t="s">
        <v>427</v>
      </c>
      <c r="U214" s="2">
        <v>40.701709800000003</v>
      </c>
      <c r="V214" s="2">
        <v>-73.8084183</v>
      </c>
      <c r="W214" s="2" t="s">
        <v>500</v>
      </c>
      <c r="X214" s="2" t="s">
        <v>1220</v>
      </c>
      <c r="Y214" s="2" t="s">
        <v>895</v>
      </c>
      <c r="Z214" s="2">
        <v>4674</v>
      </c>
      <c r="AA214" s="2" t="s">
        <v>1232</v>
      </c>
      <c r="AB214" s="2">
        <v>41294</v>
      </c>
      <c r="AC214" s="2">
        <v>502</v>
      </c>
      <c r="AD214" s="2">
        <v>2</v>
      </c>
      <c r="AE214" s="2">
        <v>0.01</v>
      </c>
      <c r="AF214" s="2" t="str" cm="1">
        <f t="array" ref="AF214">_xlfn.IFS(AE214=0, "No Discount ", AE214&lt;=0.08,"Low Discount", AE214&lt;=0.16,"Medium Discount", AE214&gt;0.16, "High Discount")</f>
        <v>Low Discount</v>
      </c>
      <c r="AG214" s="2">
        <v>103083</v>
      </c>
      <c r="AH214" s="2">
        <v>50</v>
      </c>
      <c r="AI214" s="2">
        <v>-0.73</v>
      </c>
      <c r="AJ214" s="2" t="str" cm="1">
        <f t="array" ref="AJ214">_xlfn.IFS(AI214&lt;=0, "No Profit", AI214&lt;=0.16,"Low Profit",AI214&lt;=0.32,"Medium Profit",AI214&gt;0.32,"High Profit")</f>
        <v>No Profit</v>
      </c>
      <c r="AK214" s="2">
        <v>4</v>
      </c>
      <c r="AL214" s="2">
        <v>200</v>
      </c>
      <c r="AM214" s="2">
        <v>198</v>
      </c>
      <c r="AN214" s="2">
        <v>-145.13</v>
      </c>
      <c r="AO214" s="2" t="s">
        <v>523</v>
      </c>
      <c r="AP214" s="2" t="s">
        <v>1221</v>
      </c>
      <c r="AQ214" s="2" t="s">
        <v>97</v>
      </c>
      <c r="AR214" s="2" t="s">
        <v>81</v>
      </c>
      <c r="AS214" s="2">
        <v>502</v>
      </c>
      <c r="AT214" s="2">
        <v>24</v>
      </c>
      <c r="AU214" s="2" t="s">
        <v>442</v>
      </c>
      <c r="AV214" s="2">
        <v>50</v>
      </c>
      <c r="AW214" s="2">
        <v>0</v>
      </c>
      <c r="AX214" s="2" t="s">
        <v>1233</v>
      </c>
      <c r="AY214" s="2" t="s">
        <v>83</v>
      </c>
      <c r="AZ214" s="4">
        <v>42607</v>
      </c>
      <c r="BA214" s="5">
        <v>0.78194444444444444</v>
      </c>
      <c r="BB214" s="2">
        <v>2016</v>
      </c>
      <c r="BC214" s="2" t="s">
        <v>482</v>
      </c>
      <c r="BD214" s="2">
        <v>25</v>
      </c>
      <c r="BE214" s="4">
        <v>42612</v>
      </c>
      <c r="BF214" s="5">
        <v>0.78194444444444444</v>
      </c>
      <c r="BG214" s="2" t="str" cm="1">
        <f t="array" ref="BG214">_xlfn.IFS(BF214&lt;TIMEVALUE("06:00"),"Night", BF214&gt;=TIMEVALUE("21:00"),"Night",BF214&gt;=TIMEVALUE("17:00"),"Evening",BF214&gt;=TIMEVALUE("12:00"),"Afternoon", BF214&gt;=TIMEVALUE("06:00"),"Morning")</f>
        <v>Evening</v>
      </c>
      <c r="BH214" s="2">
        <v>2016</v>
      </c>
      <c r="BI214" s="2" t="s">
        <v>482</v>
      </c>
      <c r="BJ214" s="2">
        <v>30</v>
      </c>
    </row>
    <row r="215" spans="1:62" x14ac:dyDescent="0.3">
      <c r="A215" s="2" t="s">
        <v>86</v>
      </c>
      <c r="B215" s="2">
        <v>4</v>
      </c>
      <c r="C215" s="2">
        <v>4</v>
      </c>
      <c r="D215" s="2">
        <v>45</v>
      </c>
      <c r="E215" s="2">
        <v>155.16</v>
      </c>
      <c r="F215" s="2" t="s">
        <v>100</v>
      </c>
      <c r="G215" s="2" t="s">
        <v>64</v>
      </c>
      <c r="H215" s="2">
        <v>29</v>
      </c>
      <c r="I215" s="2" t="s">
        <v>424</v>
      </c>
      <c r="J215" s="2" t="s">
        <v>1234</v>
      </c>
      <c r="K215" s="2" t="s">
        <v>102</v>
      </c>
      <c r="L215" s="2" t="s">
        <v>1235</v>
      </c>
      <c r="M215" s="2">
        <v>8519</v>
      </c>
      <c r="N215" s="2" t="s">
        <v>553</v>
      </c>
      <c r="O215" s="2" t="s">
        <v>70</v>
      </c>
      <c r="P215" s="2" t="s">
        <v>234</v>
      </c>
      <c r="Q215" s="2" t="s">
        <v>1236</v>
      </c>
      <c r="R215" s="2">
        <v>62040</v>
      </c>
      <c r="S215" s="2">
        <v>5</v>
      </c>
      <c r="T215" s="2" t="s">
        <v>427</v>
      </c>
      <c r="U215" s="2">
        <v>38.6900215</v>
      </c>
      <c r="V215" s="2">
        <v>-90.1447754</v>
      </c>
      <c r="W215" s="2" t="s">
        <v>500</v>
      </c>
      <c r="X215" s="2" t="s">
        <v>1237</v>
      </c>
      <c r="Y215" s="2" t="s">
        <v>1238</v>
      </c>
      <c r="Z215" s="2">
        <v>8519</v>
      </c>
      <c r="AA215" s="3">
        <v>42499.423611111109</v>
      </c>
      <c r="AB215" s="2">
        <v>42023</v>
      </c>
      <c r="AC215" s="2">
        <v>627</v>
      </c>
      <c r="AD215" s="2">
        <v>4.8</v>
      </c>
      <c r="AE215" s="2">
        <v>0.03</v>
      </c>
      <c r="AF215" s="2" t="str" cm="1">
        <f t="array" ref="AF215">_xlfn.IFS(AE215=0, "No Discount ", AE215&lt;=0.08,"Low Discount", AE215&lt;=0.16,"Medium Discount", AE215&gt;0.16, "High Discount")</f>
        <v>Low Discount</v>
      </c>
      <c r="AG215" s="2">
        <v>104898</v>
      </c>
      <c r="AH215" s="2">
        <v>39.99</v>
      </c>
      <c r="AI215" s="2">
        <v>0.28999999999999998</v>
      </c>
      <c r="AJ215" s="2" t="str" cm="1">
        <f t="array" ref="AJ215">_xlfn.IFS(AI215&lt;=0, "No Profit", AI215&lt;=0.16,"Low Profit",AI215&lt;=0.32,"Medium Profit",AI215&gt;0.32,"High Profit")</f>
        <v>Medium Profit</v>
      </c>
      <c r="AK215" s="2">
        <v>4</v>
      </c>
      <c r="AL215" s="2">
        <v>159.96</v>
      </c>
      <c r="AM215" s="2">
        <v>155.16</v>
      </c>
      <c r="AN215" s="2">
        <v>45</v>
      </c>
      <c r="AO215" s="2" t="s">
        <v>503</v>
      </c>
      <c r="AP215" s="2" t="s">
        <v>1237</v>
      </c>
      <c r="AQ215" s="2" t="s">
        <v>97</v>
      </c>
      <c r="AR215" s="2" t="s">
        <v>81</v>
      </c>
      <c r="AS215" s="2">
        <v>627</v>
      </c>
      <c r="AT215" s="2">
        <v>29</v>
      </c>
      <c r="AU215" s="2" t="s">
        <v>432</v>
      </c>
      <c r="AV215" s="2">
        <v>39.99</v>
      </c>
      <c r="AW215" s="2">
        <v>0</v>
      </c>
      <c r="AX215" s="3">
        <v>42622.423611111109</v>
      </c>
      <c r="AY215" s="2" t="s">
        <v>83</v>
      </c>
      <c r="AZ215" s="4">
        <v>42499</v>
      </c>
      <c r="BA215" s="5">
        <v>0.4236111111111111</v>
      </c>
      <c r="BB215" s="2">
        <v>2016</v>
      </c>
      <c r="BC215" s="2" t="s">
        <v>443</v>
      </c>
      <c r="BD215" s="2">
        <v>9</v>
      </c>
      <c r="BE215" s="4">
        <v>42622</v>
      </c>
      <c r="BF215" s="5">
        <v>0.4236111111111111</v>
      </c>
      <c r="BG215" s="2" t="str" cm="1">
        <f t="array" ref="BG215">_xlfn.IFS(BF215&lt;TIMEVALUE("06:00"),"Night", BF215&gt;=TIMEVALUE("21:00"),"Night",BF215&gt;=TIMEVALUE("17:00"),"Evening",BF215&gt;=TIMEVALUE("12:00"),"Afternoon", BF215&gt;=TIMEVALUE("06:00"),"Morning")</f>
        <v>Morning</v>
      </c>
      <c r="BH215" s="2">
        <v>2016</v>
      </c>
      <c r="BI215" s="2" t="s">
        <v>552</v>
      </c>
      <c r="BJ215" s="2">
        <v>9</v>
      </c>
    </row>
    <row r="216" spans="1:62" x14ac:dyDescent="0.3">
      <c r="A216" s="2" t="s">
        <v>86</v>
      </c>
      <c r="B216" s="2">
        <v>5</v>
      </c>
      <c r="C216" s="2">
        <v>4</v>
      </c>
      <c r="D216" s="2">
        <v>51.09</v>
      </c>
      <c r="E216" s="2">
        <v>151.16</v>
      </c>
      <c r="F216" s="2" t="s">
        <v>87</v>
      </c>
      <c r="G216" s="2" t="s">
        <v>88</v>
      </c>
      <c r="H216" s="2">
        <v>29</v>
      </c>
      <c r="I216" s="2" t="s">
        <v>424</v>
      </c>
      <c r="J216" s="2" t="s">
        <v>1239</v>
      </c>
      <c r="K216" s="2" t="s">
        <v>102</v>
      </c>
      <c r="L216" s="2" t="s">
        <v>1240</v>
      </c>
      <c r="M216" s="2">
        <v>5302</v>
      </c>
      <c r="N216" s="2" t="s">
        <v>425</v>
      </c>
      <c r="O216" s="2" t="s">
        <v>70</v>
      </c>
      <c r="P216" s="2" t="s">
        <v>201</v>
      </c>
      <c r="Q216" s="2" t="s">
        <v>1241</v>
      </c>
      <c r="R216" s="2">
        <v>2155</v>
      </c>
      <c r="S216" s="2">
        <v>5</v>
      </c>
      <c r="T216" s="2" t="s">
        <v>427</v>
      </c>
      <c r="U216" s="2">
        <v>42.419689200000001</v>
      </c>
      <c r="V216" s="2">
        <v>-71.106216399999994</v>
      </c>
      <c r="W216" s="2" t="s">
        <v>500</v>
      </c>
      <c r="X216" s="2" t="s">
        <v>1242</v>
      </c>
      <c r="Y216" s="2" t="s">
        <v>522</v>
      </c>
      <c r="Z216" s="2">
        <v>5302</v>
      </c>
      <c r="AA216" s="2" t="s">
        <v>1243</v>
      </c>
      <c r="AB216" s="2">
        <v>47774</v>
      </c>
      <c r="AC216" s="2">
        <v>627</v>
      </c>
      <c r="AD216" s="2">
        <v>8.8000000000000007</v>
      </c>
      <c r="AE216" s="2">
        <v>0.06</v>
      </c>
      <c r="AF216" s="2" t="str" cm="1">
        <f t="array" ref="AF216">_xlfn.IFS(AE216=0, "No Discount ", AE216&lt;=0.08,"Low Discount", AE216&lt;=0.16,"Medium Discount", AE216&gt;0.16, "High Discount")</f>
        <v>Low Discount</v>
      </c>
      <c r="AG216" s="2">
        <v>119464</v>
      </c>
      <c r="AH216" s="2">
        <v>39.99</v>
      </c>
      <c r="AI216" s="2">
        <v>0.34</v>
      </c>
      <c r="AJ216" s="2" t="str" cm="1">
        <f t="array" ref="AJ216">_xlfn.IFS(AI216&lt;=0, "No Profit", AI216&lt;=0.16,"Low Profit",AI216&lt;=0.32,"Medium Profit",AI216&gt;0.32,"High Profit")</f>
        <v>High Profit</v>
      </c>
      <c r="AK216" s="2">
        <v>4</v>
      </c>
      <c r="AL216" s="2">
        <v>159.96</v>
      </c>
      <c r="AM216" s="2">
        <v>151.16</v>
      </c>
      <c r="AN216" s="2">
        <v>51.09</v>
      </c>
      <c r="AO216" s="2" t="s">
        <v>523</v>
      </c>
      <c r="AP216" s="2" t="s">
        <v>1244</v>
      </c>
      <c r="AQ216" s="2" t="s">
        <v>97</v>
      </c>
      <c r="AR216" s="2" t="s">
        <v>81</v>
      </c>
      <c r="AS216" s="2">
        <v>627</v>
      </c>
      <c r="AT216" s="2">
        <v>29</v>
      </c>
      <c r="AU216" s="2" t="s">
        <v>432</v>
      </c>
      <c r="AV216" s="2">
        <v>39.99</v>
      </c>
      <c r="AW216" s="2">
        <v>0</v>
      </c>
      <c r="AX216" s="3">
        <v>42441.375</v>
      </c>
      <c r="AY216" s="2" t="s">
        <v>83</v>
      </c>
      <c r="AZ216" s="4">
        <v>42702</v>
      </c>
      <c r="BA216" s="5">
        <v>0.375</v>
      </c>
      <c r="BB216" s="2">
        <v>2016</v>
      </c>
      <c r="BC216" s="2" t="s">
        <v>455</v>
      </c>
      <c r="BD216" s="2">
        <v>28</v>
      </c>
      <c r="BE216" s="4">
        <v>42441</v>
      </c>
      <c r="BF216" s="5">
        <v>0.375</v>
      </c>
      <c r="BG216" s="2" t="str" cm="1">
        <f t="array" ref="BG216">_xlfn.IFS(BF216&lt;TIMEVALUE("06:00"),"Night", BF216&gt;=TIMEVALUE("21:00"),"Night",BF216&gt;=TIMEVALUE("17:00"),"Evening",BF216&gt;=TIMEVALUE("12:00"),"Afternoon", BF216&gt;=TIMEVALUE("06:00"),"Morning")</f>
        <v>Morning</v>
      </c>
      <c r="BH216" s="2">
        <v>2016</v>
      </c>
      <c r="BI216" s="2" t="s">
        <v>85</v>
      </c>
      <c r="BJ216" s="2">
        <v>12</v>
      </c>
    </row>
    <row r="217" spans="1:62" x14ac:dyDescent="0.3">
      <c r="A217" s="2" t="s">
        <v>86</v>
      </c>
      <c r="B217" s="2">
        <v>3</v>
      </c>
      <c r="C217" s="2">
        <v>4</v>
      </c>
      <c r="D217" s="2">
        <v>31.25</v>
      </c>
      <c r="E217" s="2">
        <v>111.6</v>
      </c>
      <c r="F217" s="2" t="s">
        <v>63</v>
      </c>
      <c r="G217" s="2" t="s">
        <v>64</v>
      </c>
      <c r="H217" s="2">
        <v>26</v>
      </c>
      <c r="I217" s="2" t="s">
        <v>1132</v>
      </c>
      <c r="J217" s="2" t="s">
        <v>1245</v>
      </c>
      <c r="K217" s="2" t="s">
        <v>102</v>
      </c>
      <c r="L217" s="2" t="s">
        <v>414</v>
      </c>
      <c r="M217" s="2">
        <v>3594</v>
      </c>
      <c r="N217" s="2" t="s">
        <v>425</v>
      </c>
      <c r="O217" s="2" t="s">
        <v>70</v>
      </c>
      <c r="P217" s="2" t="s">
        <v>105</v>
      </c>
      <c r="Q217" s="2" t="s">
        <v>1246</v>
      </c>
      <c r="R217" s="2">
        <v>91766</v>
      </c>
      <c r="S217" s="2">
        <v>5</v>
      </c>
      <c r="T217" s="2" t="s">
        <v>427</v>
      </c>
      <c r="U217" s="2">
        <v>34.049919099999997</v>
      </c>
      <c r="V217" s="2">
        <v>-117.7161026</v>
      </c>
      <c r="W217" s="2" t="s">
        <v>500</v>
      </c>
      <c r="X217" s="2" t="s">
        <v>1247</v>
      </c>
      <c r="Y217" s="2" t="s">
        <v>1248</v>
      </c>
      <c r="Z217" s="2">
        <v>3594</v>
      </c>
      <c r="AA217" s="3">
        <v>42409.5625</v>
      </c>
      <c r="AB217" s="2">
        <v>41827</v>
      </c>
      <c r="AC217" s="2">
        <v>564</v>
      </c>
      <c r="AD217" s="2">
        <v>8.4</v>
      </c>
      <c r="AE217" s="2">
        <v>7.0000000000000007E-2</v>
      </c>
      <c r="AF217" s="2" t="str" cm="1">
        <f t="array" ref="AF217">_xlfn.IFS(AE217=0, "No Discount ", AE217&lt;=0.08,"Low Discount", AE217&lt;=0.16,"Medium Discount", AE217&gt;0.16, "High Discount")</f>
        <v>Low Discount</v>
      </c>
      <c r="AG217" s="2">
        <v>104416</v>
      </c>
      <c r="AH217" s="2">
        <v>30</v>
      </c>
      <c r="AI217" s="2">
        <v>0.28000000000000003</v>
      </c>
      <c r="AJ217" s="2" t="str" cm="1">
        <f t="array" ref="AJ217">_xlfn.IFS(AI217&lt;=0, "No Profit", AI217&lt;=0.16,"Low Profit",AI217&lt;=0.32,"Medium Profit",AI217&gt;0.32,"High Profit")</f>
        <v>Medium Profit</v>
      </c>
      <c r="AK217" s="2">
        <v>4</v>
      </c>
      <c r="AL217" s="2">
        <v>120</v>
      </c>
      <c r="AM217" s="2">
        <v>111.6</v>
      </c>
      <c r="AN217" s="2">
        <v>31.25</v>
      </c>
      <c r="AO217" s="2" t="s">
        <v>1249</v>
      </c>
      <c r="AP217" s="2" t="s">
        <v>1250</v>
      </c>
      <c r="AQ217" s="2" t="s">
        <v>97</v>
      </c>
      <c r="AR217" s="2" t="s">
        <v>81</v>
      </c>
      <c r="AS217" s="2">
        <v>564</v>
      </c>
      <c r="AT217" s="2">
        <v>26</v>
      </c>
      <c r="AU217" s="2" t="s">
        <v>1251</v>
      </c>
      <c r="AV217" s="2">
        <v>30</v>
      </c>
      <c r="AW217" s="2">
        <v>0</v>
      </c>
      <c r="AX217" s="3">
        <v>42499.5625</v>
      </c>
      <c r="AY217" s="2" t="s">
        <v>83</v>
      </c>
      <c r="AZ217" s="4">
        <v>42409</v>
      </c>
      <c r="BA217" s="5">
        <v>0.5625</v>
      </c>
      <c r="BB217" s="2">
        <v>2016</v>
      </c>
      <c r="BC217" s="2" t="s">
        <v>423</v>
      </c>
      <c r="BD217" s="2">
        <v>9</v>
      </c>
      <c r="BE217" s="4">
        <v>42499</v>
      </c>
      <c r="BF217" s="5">
        <v>0.5625</v>
      </c>
      <c r="BG217" s="2" t="str" cm="1">
        <f t="array" ref="BG217">_xlfn.IFS(BF217&lt;TIMEVALUE("06:00"),"Night", BF217&gt;=TIMEVALUE("21:00"),"Night",BF217&gt;=TIMEVALUE("17:00"),"Evening",BF217&gt;=TIMEVALUE("12:00"),"Afternoon", BF217&gt;=TIMEVALUE("06:00"),"Morning")</f>
        <v>Afternoon</v>
      </c>
      <c r="BH217" s="2">
        <v>2016</v>
      </c>
      <c r="BI217" s="2" t="s">
        <v>443</v>
      </c>
      <c r="BJ217" s="2">
        <v>9</v>
      </c>
    </row>
    <row r="218" spans="1:62" x14ac:dyDescent="0.3">
      <c r="A218" s="2" t="s">
        <v>86</v>
      </c>
      <c r="B218" s="2">
        <v>4</v>
      </c>
      <c r="C218" s="2">
        <v>4</v>
      </c>
      <c r="D218" s="2">
        <v>-459</v>
      </c>
      <c r="E218" s="2">
        <v>170</v>
      </c>
      <c r="F218" s="2" t="s">
        <v>100</v>
      </c>
      <c r="G218" s="2" t="s">
        <v>64</v>
      </c>
      <c r="H218" s="2">
        <v>24</v>
      </c>
      <c r="I218" s="2" t="s">
        <v>435</v>
      </c>
      <c r="J218" s="2" t="s">
        <v>1252</v>
      </c>
      <c r="K218" s="2" t="s">
        <v>102</v>
      </c>
      <c r="L218" s="2" t="s">
        <v>1253</v>
      </c>
      <c r="M218" s="2">
        <v>9890</v>
      </c>
      <c r="N218" s="2" t="s">
        <v>90</v>
      </c>
      <c r="O218" s="2" t="s">
        <v>70</v>
      </c>
      <c r="P218" s="2" t="s">
        <v>1254</v>
      </c>
      <c r="Q218" s="2" t="s">
        <v>1255</v>
      </c>
      <c r="R218" s="2">
        <v>85281</v>
      </c>
      <c r="S218" s="2">
        <v>5</v>
      </c>
      <c r="T218" s="2" t="s">
        <v>427</v>
      </c>
      <c r="U218" s="2">
        <v>33.415199299999998</v>
      </c>
      <c r="V218" s="2">
        <v>-111.9199905</v>
      </c>
      <c r="W218" s="2" t="s">
        <v>500</v>
      </c>
      <c r="X218" s="2" t="s">
        <v>1256</v>
      </c>
      <c r="Y218" s="2" t="s">
        <v>522</v>
      </c>
      <c r="Z218" s="2">
        <v>9890</v>
      </c>
      <c r="AA218" s="2" t="s">
        <v>1257</v>
      </c>
      <c r="AB218" s="2">
        <v>47193</v>
      </c>
      <c r="AC218" s="2">
        <v>502</v>
      </c>
      <c r="AD218" s="2">
        <v>30</v>
      </c>
      <c r="AE218" s="2">
        <v>0.15</v>
      </c>
      <c r="AF218" s="2" t="str" cm="1">
        <f t="array" ref="AF218">_xlfn.IFS(AE218=0, "No Discount ", AE218&lt;=0.08,"Low Discount", AE218&lt;=0.16,"Medium Discount", AE218&gt;0.16, "High Discount")</f>
        <v>Medium Discount</v>
      </c>
      <c r="AG218" s="2">
        <v>117955</v>
      </c>
      <c r="AH218" s="2">
        <v>50</v>
      </c>
      <c r="AI218" s="2">
        <v>-2.7</v>
      </c>
      <c r="AJ218" s="2" t="str" cm="1">
        <f t="array" ref="AJ218">_xlfn.IFS(AI218&lt;=0, "No Profit", AI218&lt;=0.16,"Low Profit",AI218&lt;=0.32,"Medium Profit",AI218&gt;0.32,"High Profit")</f>
        <v>No Profit</v>
      </c>
      <c r="AK218" s="2">
        <v>4</v>
      </c>
      <c r="AL218" s="2">
        <v>200</v>
      </c>
      <c r="AM218" s="2">
        <v>170</v>
      </c>
      <c r="AN218" s="2">
        <v>-459</v>
      </c>
      <c r="AO218" s="2" t="s">
        <v>523</v>
      </c>
      <c r="AP218" s="2" t="s">
        <v>1258</v>
      </c>
      <c r="AQ218" s="2" t="s">
        <v>97</v>
      </c>
      <c r="AR218" s="2" t="s">
        <v>81</v>
      </c>
      <c r="AS218" s="2">
        <v>502</v>
      </c>
      <c r="AT218" s="2">
        <v>24</v>
      </c>
      <c r="AU218" s="2" t="s">
        <v>442</v>
      </c>
      <c r="AV218" s="2">
        <v>50</v>
      </c>
      <c r="AW218" s="2">
        <v>0</v>
      </c>
      <c r="AX218" s="2" t="s">
        <v>1259</v>
      </c>
      <c r="AY218" s="2" t="s">
        <v>83</v>
      </c>
      <c r="AZ218" s="4">
        <v>42693</v>
      </c>
      <c r="BA218" s="5">
        <v>0.89375000000000004</v>
      </c>
      <c r="BB218" s="2">
        <v>2016</v>
      </c>
      <c r="BC218" s="2" t="s">
        <v>455</v>
      </c>
      <c r="BD218" s="2">
        <v>19</v>
      </c>
      <c r="BE218" s="4">
        <v>42697</v>
      </c>
      <c r="BF218" s="5">
        <v>0.89375000000000004</v>
      </c>
      <c r="BG218" s="2" t="str" cm="1">
        <f t="array" ref="BG218">_xlfn.IFS(BF218&lt;TIMEVALUE("06:00"),"Night", BF218&gt;=TIMEVALUE("21:00"),"Night",BF218&gt;=TIMEVALUE("17:00"),"Evening",BF218&gt;=TIMEVALUE("12:00"),"Afternoon", BF218&gt;=TIMEVALUE("06:00"),"Morning")</f>
        <v>Night</v>
      </c>
      <c r="BH218" s="2">
        <v>2016</v>
      </c>
      <c r="BI218" s="2" t="s">
        <v>455</v>
      </c>
      <c r="BJ218" s="2">
        <v>23</v>
      </c>
    </row>
    <row r="219" spans="1:62" x14ac:dyDescent="0.3">
      <c r="A219" s="2" t="s">
        <v>86</v>
      </c>
      <c r="B219" s="2">
        <v>2</v>
      </c>
      <c r="C219" s="2">
        <v>4</v>
      </c>
      <c r="D219" s="2">
        <v>-248</v>
      </c>
      <c r="E219" s="2">
        <v>160</v>
      </c>
      <c r="F219" s="2" t="s">
        <v>63</v>
      </c>
      <c r="G219" s="2" t="s">
        <v>64</v>
      </c>
      <c r="H219" s="2">
        <v>24</v>
      </c>
      <c r="I219" s="2" t="s">
        <v>435</v>
      </c>
      <c r="J219" s="2" t="s">
        <v>1260</v>
      </c>
      <c r="K219" s="2" t="s">
        <v>102</v>
      </c>
      <c r="L219" s="2" t="s">
        <v>414</v>
      </c>
      <c r="M219" s="2">
        <v>1410</v>
      </c>
      <c r="N219" s="2" t="s">
        <v>425</v>
      </c>
      <c r="O219" s="2" t="s">
        <v>70</v>
      </c>
      <c r="P219" s="2" t="s">
        <v>105</v>
      </c>
      <c r="Q219" s="2" t="s">
        <v>1261</v>
      </c>
      <c r="R219" s="2">
        <v>92703</v>
      </c>
      <c r="S219" s="2">
        <v>5</v>
      </c>
      <c r="T219" s="2" t="s">
        <v>427</v>
      </c>
      <c r="U219" s="2">
        <v>33.742794000000004</v>
      </c>
      <c r="V219" s="2">
        <v>-117.8847504</v>
      </c>
      <c r="W219" s="2" t="s">
        <v>500</v>
      </c>
      <c r="X219" s="2" t="s">
        <v>1262</v>
      </c>
      <c r="Y219" s="2" t="s">
        <v>867</v>
      </c>
      <c r="Z219" s="2">
        <v>1410</v>
      </c>
      <c r="AA219" s="2" t="s">
        <v>1263</v>
      </c>
      <c r="AB219" s="2">
        <v>42626</v>
      </c>
      <c r="AC219" s="2">
        <v>502</v>
      </c>
      <c r="AD219" s="2">
        <v>40</v>
      </c>
      <c r="AE219" s="2">
        <v>0.2</v>
      </c>
      <c r="AF219" s="2" t="str" cm="1">
        <f t="array" ref="AF219">_xlfn.IFS(AE219=0, "No Discount ", AE219&lt;=0.08,"Low Discount", AE219&lt;=0.16,"Medium Discount", AE219&gt;0.16, "High Discount")</f>
        <v>High Discount</v>
      </c>
      <c r="AG219" s="2">
        <v>106390</v>
      </c>
      <c r="AH219" s="2">
        <v>50</v>
      </c>
      <c r="AI219" s="2">
        <v>-1.55</v>
      </c>
      <c r="AJ219" s="2" t="str" cm="1">
        <f t="array" ref="AJ219">_xlfn.IFS(AI219&lt;=0, "No Profit", AI219&lt;=0.16,"Low Profit",AI219&lt;=0.32,"Medium Profit",AI219&gt;0.32,"High Profit")</f>
        <v>No Profit</v>
      </c>
      <c r="AK219" s="2">
        <v>4</v>
      </c>
      <c r="AL219" s="2">
        <v>200</v>
      </c>
      <c r="AM219" s="2">
        <v>160</v>
      </c>
      <c r="AN219" s="2">
        <v>-248</v>
      </c>
      <c r="AO219" s="2" t="s">
        <v>523</v>
      </c>
      <c r="AP219" s="2" t="s">
        <v>1264</v>
      </c>
      <c r="AQ219" s="2" t="s">
        <v>97</v>
      </c>
      <c r="AR219" s="2" t="s">
        <v>81</v>
      </c>
      <c r="AS219" s="2">
        <v>502</v>
      </c>
      <c r="AT219" s="2">
        <v>24</v>
      </c>
      <c r="AU219" s="2" t="s">
        <v>442</v>
      </c>
      <c r="AV219" s="2">
        <v>50</v>
      </c>
      <c r="AW219" s="2">
        <v>0</v>
      </c>
      <c r="AX219" s="2" t="s">
        <v>1265</v>
      </c>
      <c r="AY219" s="2" t="s">
        <v>83</v>
      </c>
      <c r="AZ219" s="4">
        <v>42627</v>
      </c>
      <c r="BA219" s="5">
        <v>0.22638888888888889</v>
      </c>
      <c r="BB219" s="2">
        <v>2016</v>
      </c>
      <c r="BC219" s="2" t="s">
        <v>552</v>
      </c>
      <c r="BD219" s="2">
        <v>14</v>
      </c>
      <c r="BE219" s="4">
        <v>42629</v>
      </c>
      <c r="BF219" s="5">
        <v>0.22638888888888889</v>
      </c>
      <c r="BG219" s="2" t="str" cm="1">
        <f t="array" ref="BG219">_xlfn.IFS(BF219&lt;TIMEVALUE("06:00"),"Night", BF219&gt;=TIMEVALUE("21:00"),"Night",BF219&gt;=TIMEVALUE("17:00"),"Evening",BF219&gt;=TIMEVALUE("12:00"),"Afternoon", BF219&gt;=TIMEVALUE("06:00"),"Morning")</f>
        <v>Night</v>
      </c>
      <c r="BH219" s="2">
        <v>2016</v>
      </c>
      <c r="BI219" s="2" t="s">
        <v>552</v>
      </c>
      <c r="BJ219" s="2">
        <v>16</v>
      </c>
    </row>
    <row r="220" spans="1:62" x14ac:dyDescent="0.3">
      <c r="A220" s="2" t="s">
        <v>86</v>
      </c>
      <c r="B220" s="2">
        <v>5</v>
      </c>
      <c r="C220" s="2">
        <v>4</v>
      </c>
      <c r="D220" s="2">
        <v>13.2</v>
      </c>
      <c r="E220" s="2">
        <v>150</v>
      </c>
      <c r="F220" s="2" t="s">
        <v>87</v>
      </c>
      <c r="G220" s="2" t="s">
        <v>88</v>
      </c>
      <c r="H220" s="2">
        <v>24</v>
      </c>
      <c r="I220" s="2" t="s">
        <v>435</v>
      </c>
      <c r="J220" s="2" t="s">
        <v>1266</v>
      </c>
      <c r="K220" s="2" t="s">
        <v>102</v>
      </c>
      <c r="L220" s="2" t="s">
        <v>414</v>
      </c>
      <c r="M220" s="2">
        <v>7521</v>
      </c>
      <c r="N220" s="2" t="s">
        <v>1267</v>
      </c>
      <c r="O220" s="2" t="s">
        <v>70</v>
      </c>
      <c r="P220" s="2" t="s">
        <v>280</v>
      </c>
      <c r="Q220" s="2" t="s">
        <v>1268</v>
      </c>
      <c r="R220" s="2">
        <v>17402</v>
      </c>
      <c r="S220" s="2">
        <v>5</v>
      </c>
      <c r="T220" s="2" t="s">
        <v>427</v>
      </c>
      <c r="U220" s="2">
        <v>39.960235599999997</v>
      </c>
      <c r="V220" s="2">
        <v>-76.676757800000004</v>
      </c>
      <c r="W220" s="2" t="s">
        <v>500</v>
      </c>
      <c r="X220" s="2" t="s">
        <v>1269</v>
      </c>
      <c r="Y220" s="2" t="s">
        <v>502</v>
      </c>
      <c r="Z220" s="2">
        <v>7521</v>
      </c>
      <c r="AA220" s="3">
        <v>42501.384027777778</v>
      </c>
      <c r="AB220" s="2">
        <v>46199</v>
      </c>
      <c r="AC220" s="2">
        <v>502</v>
      </c>
      <c r="AD220" s="2">
        <v>50</v>
      </c>
      <c r="AE220" s="2">
        <v>0.25</v>
      </c>
      <c r="AF220" s="2" t="str" cm="1">
        <f t="array" ref="AF220">_xlfn.IFS(AE220=0, "No Discount ", AE220&lt;=0.08,"Low Discount", AE220&lt;=0.16,"Medium Discount", AE220&gt;0.16, "High Discount")</f>
        <v>High Discount</v>
      </c>
      <c r="AG220" s="2">
        <v>115493</v>
      </c>
      <c r="AH220" s="2">
        <v>50</v>
      </c>
      <c r="AI220" s="2">
        <v>0.09</v>
      </c>
      <c r="AJ220" s="2" t="str" cm="1">
        <f t="array" ref="AJ220">_xlfn.IFS(AI220&lt;=0, "No Profit", AI220&lt;=0.16,"Low Profit",AI220&lt;=0.32,"Medium Profit",AI220&gt;0.32,"High Profit")</f>
        <v>Low Profit</v>
      </c>
      <c r="AK220" s="2">
        <v>4</v>
      </c>
      <c r="AL220" s="2">
        <v>200</v>
      </c>
      <c r="AM220" s="2">
        <v>150</v>
      </c>
      <c r="AN220" s="2">
        <v>13.2</v>
      </c>
      <c r="AO220" s="2" t="s">
        <v>503</v>
      </c>
      <c r="AP220" s="2" t="s">
        <v>1269</v>
      </c>
      <c r="AQ220" s="2" t="s">
        <v>97</v>
      </c>
      <c r="AR220" s="2" t="s">
        <v>81</v>
      </c>
      <c r="AS220" s="2">
        <v>502</v>
      </c>
      <c r="AT220" s="2">
        <v>24</v>
      </c>
      <c r="AU220" s="2" t="s">
        <v>442</v>
      </c>
      <c r="AV220" s="2">
        <v>50</v>
      </c>
      <c r="AW220" s="2">
        <v>0</v>
      </c>
      <c r="AX220" s="3">
        <v>42654.384027777778</v>
      </c>
      <c r="AY220" s="2" t="s">
        <v>83</v>
      </c>
      <c r="AZ220" s="4">
        <v>42501</v>
      </c>
      <c r="BA220" s="5">
        <v>0.3840277777777778</v>
      </c>
      <c r="BB220" s="2">
        <v>2016</v>
      </c>
      <c r="BC220" s="2" t="s">
        <v>443</v>
      </c>
      <c r="BD220" s="2">
        <v>11</v>
      </c>
      <c r="BE220" s="4">
        <v>42654</v>
      </c>
      <c r="BF220" s="5">
        <v>0.3840277777777778</v>
      </c>
      <c r="BG220" s="2" t="str" cm="1">
        <f t="array" ref="BG220">_xlfn.IFS(BF220&lt;TIMEVALUE("06:00"),"Night", BF220&gt;=TIMEVALUE("21:00"),"Night",BF220&gt;=TIMEVALUE("17:00"),"Evening",BF220&gt;=TIMEVALUE("12:00"),"Afternoon", BF220&gt;=TIMEVALUE("06:00"),"Morning")</f>
        <v>Morning</v>
      </c>
      <c r="BH220" s="2">
        <v>2016</v>
      </c>
      <c r="BI220" s="2" t="s">
        <v>434</v>
      </c>
      <c r="BJ220" s="2">
        <v>11</v>
      </c>
    </row>
    <row r="221" spans="1:62" x14ac:dyDescent="0.3">
      <c r="A221" s="2" t="s">
        <v>86</v>
      </c>
      <c r="B221" s="2">
        <v>4</v>
      </c>
      <c r="C221" s="2">
        <v>4</v>
      </c>
      <c r="D221" s="2">
        <v>46.29</v>
      </c>
      <c r="E221" s="2">
        <v>94.46</v>
      </c>
      <c r="F221" s="2" t="s">
        <v>100</v>
      </c>
      <c r="G221" s="2" t="s">
        <v>64</v>
      </c>
      <c r="H221" s="2">
        <v>40</v>
      </c>
      <c r="I221" s="2" t="s">
        <v>1151</v>
      </c>
      <c r="J221" s="2" t="s">
        <v>337</v>
      </c>
      <c r="K221" s="2" t="s">
        <v>102</v>
      </c>
      <c r="L221" s="2" t="s">
        <v>414</v>
      </c>
      <c r="M221" s="2">
        <v>2106</v>
      </c>
      <c r="N221" s="2" t="s">
        <v>1270</v>
      </c>
      <c r="O221" s="2" t="s">
        <v>70</v>
      </c>
      <c r="P221" s="2" t="s">
        <v>1271</v>
      </c>
      <c r="Q221" s="2" t="s">
        <v>1272</v>
      </c>
      <c r="R221" s="2">
        <v>80010</v>
      </c>
      <c r="S221" s="2">
        <v>6</v>
      </c>
      <c r="T221" s="2" t="s">
        <v>515</v>
      </c>
      <c r="U221" s="2">
        <v>39.745433800000001</v>
      </c>
      <c r="V221" s="2">
        <v>-104.8753815</v>
      </c>
      <c r="W221" s="2" t="s">
        <v>500</v>
      </c>
      <c r="X221" s="2" t="s">
        <v>1269</v>
      </c>
      <c r="Y221" s="2" t="s">
        <v>502</v>
      </c>
      <c r="Z221" s="2">
        <v>2106</v>
      </c>
      <c r="AA221" s="3">
        <v>42594.505555555559</v>
      </c>
      <c r="AB221" s="2">
        <v>48468</v>
      </c>
      <c r="AC221" s="2">
        <v>885</v>
      </c>
      <c r="AD221" s="2">
        <v>5.5</v>
      </c>
      <c r="AE221" s="2">
        <v>0.06</v>
      </c>
      <c r="AF221" s="2" t="str" cm="1">
        <f t="array" ref="AF221">_xlfn.IFS(AE221=0, "No Discount ", AE221&lt;=0.08,"Low Discount", AE221&lt;=0.16,"Medium Discount", AE221&gt;0.16, "High Discount")</f>
        <v>Low Discount</v>
      </c>
      <c r="AG221" s="2">
        <v>121217</v>
      </c>
      <c r="AH221" s="2">
        <v>24.99</v>
      </c>
      <c r="AI221" s="2">
        <v>0.49</v>
      </c>
      <c r="AJ221" s="2" t="str" cm="1">
        <f t="array" ref="AJ221">_xlfn.IFS(AI221&lt;=0, "No Profit", AI221&lt;=0.16,"Low Profit",AI221&lt;=0.32,"Medium Profit",AI221&gt;0.32,"High Profit")</f>
        <v>High Profit</v>
      </c>
      <c r="AK221" s="2">
        <v>4</v>
      </c>
      <c r="AL221" s="2">
        <v>99.96</v>
      </c>
      <c r="AM221" s="2">
        <v>94.46</v>
      </c>
      <c r="AN221" s="2">
        <v>46.29</v>
      </c>
      <c r="AO221" s="2" t="s">
        <v>503</v>
      </c>
      <c r="AP221" s="2" t="s">
        <v>1269</v>
      </c>
      <c r="AQ221" s="2" t="s">
        <v>97</v>
      </c>
      <c r="AR221" s="2" t="s">
        <v>81</v>
      </c>
      <c r="AS221" s="2">
        <v>885</v>
      </c>
      <c r="AT221" s="2">
        <v>40</v>
      </c>
      <c r="AU221" s="2" t="s">
        <v>1273</v>
      </c>
      <c r="AV221" s="2">
        <v>24.99</v>
      </c>
      <c r="AW221" s="2">
        <v>0</v>
      </c>
      <c r="AX221" s="3">
        <v>42716.505555555559</v>
      </c>
      <c r="AY221" s="2" t="s">
        <v>83</v>
      </c>
      <c r="AZ221" s="4">
        <v>42594</v>
      </c>
      <c r="BA221" s="5">
        <v>0.50555555555555554</v>
      </c>
      <c r="BB221" s="2">
        <v>2016</v>
      </c>
      <c r="BC221" s="2" t="s">
        <v>482</v>
      </c>
      <c r="BD221" s="2">
        <v>12</v>
      </c>
      <c r="BE221" s="4">
        <v>42716</v>
      </c>
      <c r="BF221" s="5">
        <v>0.50555555555555554</v>
      </c>
      <c r="BG221" s="2" t="str" cm="1">
        <f t="array" ref="BG221">_xlfn.IFS(BF221&lt;TIMEVALUE("06:00"),"Night", BF221&gt;=TIMEVALUE("21:00"),"Night",BF221&gt;=TIMEVALUE("17:00"),"Evening",BF221&gt;=TIMEVALUE("12:00"),"Afternoon", BF221&gt;=TIMEVALUE("06:00"),"Morning")</f>
        <v>Afternoon</v>
      </c>
      <c r="BH221" s="2">
        <v>2016</v>
      </c>
      <c r="BI221" s="2" t="s">
        <v>357</v>
      </c>
      <c r="BJ221" s="2">
        <v>12</v>
      </c>
    </row>
    <row r="222" spans="1:62" x14ac:dyDescent="0.3">
      <c r="A222" s="2" t="s">
        <v>86</v>
      </c>
      <c r="B222" s="2">
        <v>5</v>
      </c>
      <c r="C222" s="2">
        <v>4</v>
      </c>
      <c r="D222" s="2">
        <v>182.14</v>
      </c>
      <c r="E222" s="2">
        <v>395.96</v>
      </c>
      <c r="F222" s="2" t="s">
        <v>87</v>
      </c>
      <c r="G222" s="2" t="s">
        <v>88</v>
      </c>
      <c r="H222" s="2">
        <v>9</v>
      </c>
      <c r="I222" s="2" t="s">
        <v>496</v>
      </c>
      <c r="J222" s="2" t="s">
        <v>1274</v>
      </c>
      <c r="K222" s="2" t="s">
        <v>102</v>
      </c>
      <c r="L222" s="2" t="s">
        <v>414</v>
      </c>
      <c r="M222" s="2">
        <v>8144</v>
      </c>
      <c r="N222" s="2" t="s">
        <v>1275</v>
      </c>
      <c r="O222" s="2" t="s">
        <v>70</v>
      </c>
      <c r="P222" s="2" t="s">
        <v>105</v>
      </c>
      <c r="Q222" s="2" t="s">
        <v>1276</v>
      </c>
      <c r="R222" s="2">
        <v>93065</v>
      </c>
      <c r="S222" s="2">
        <v>3</v>
      </c>
      <c r="T222" s="2" t="s">
        <v>466</v>
      </c>
      <c r="U222" s="2">
        <v>34.2739105</v>
      </c>
      <c r="V222" s="2">
        <v>-118.76621249999999</v>
      </c>
      <c r="W222" s="2" t="s">
        <v>500</v>
      </c>
      <c r="X222" s="2" t="s">
        <v>1277</v>
      </c>
      <c r="Y222" s="2" t="s">
        <v>1278</v>
      </c>
      <c r="Z222" s="2">
        <v>8144</v>
      </c>
      <c r="AA222" s="2" t="s">
        <v>1279</v>
      </c>
      <c r="AB222" s="2">
        <v>51009</v>
      </c>
      <c r="AC222" s="2">
        <v>191</v>
      </c>
      <c r="AD222" s="2">
        <v>4</v>
      </c>
      <c r="AE222" s="2">
        <v>0.01</v>
      </c>
      <c r="AF222" s="2" t="str" cm="1">
        <f t="array" ref="AF222">_xlfn.IFS(AE222=0, "No Discount ", AE222&lt;=0.08,"Low Discount", AE222&lt;=0.16,"Medium Discount", AE222&gt;0.16, "High Discount")</f>
        <v>Low Discount</v>
      </c>
      <c r="AG222" s="2">
        <v>127490</v>
      </c>
      <c r="AH222" s="2">
        <v>99.99</v>
      </c>
      <c r="AI222" s="2">
        <v>0.46</v>
      </c>
      <c r="AJ222" s="2" t="str" cm="1">
        <f t="array" ref="AJ222">_xlfn.IFS(AI222&lt;=0, "No Profit", AI222&lt;=0.16,"Low Profit",AI222&lt;=0.32,"Medium Profit",AI222&gt;0.32,"High Profit")</f>
        <v>High Profit</v>
      </c>
      <c r="AK222" s="2">
        <v>4</v>
      </c>
      <c r="AL222" s="2">
        <v>399.96</v>
      </c>
      <c r="AM222" s="2">
        <v>395.96</v>
      </c>
      <c r="AN222" s="2">
        <v>182.14</v>
      </c>
      <c r="AO222" s="2" t="s">
        <v>876</v>
      </c>
      <c r="AP222" s="2" t="s">
        <v>1280</v>
      </c>
      <c r="AQ222" s="2" t="s">
        <v>155</v>
      </c>
      <c r="AR222" s="2" t="s">
        <v>81</v>
      </c>
      <c r="AS222" s="2">
        <v>191</v>
      </c>
      <c r="AT222" s="2">
        <v>9</v>
      </c>
      <c r="AU222" s="2" t="s">
        <v>505</v>
      </c>
      <c r="AV222" s="2">
        <v>99.99</v>
      </c>
      <c r="AW222" s="2">
        <v>0</v>
      </c>
      <c r="AX222" s="2" t="s">
        <v>1281</v>
      </c>
      <c r="AY222" s="2" t="s">
        <v>83</v>
      </c>
      <c r="AZ222" s="4">
        <v>42749</v>
      </c>
      <c r="BA222" s="5">
        <v>0.59861111111111109</v>
      </c>
      <c r="BB222" s="2">
        <v>2017</v>
      </c>
      <c r="BC222" s="2" t="s">
        <v>84</v>
      </c>
      <c r="BD222" s="2">
        <v>14</v>
      </c>
      <c r="BE222" s="4">
        <v>42754</v>
      </c>
      <c r="BF222" s="5">
        <v>0.59861111111111109</v>
      </c>
      <c r="BG222" s="2" t="str" cm="1">
        <f t="array" ref="BG222">_xlfn.IFS(BF222&lt;TIMEVALUE("06:00"),"Night", BF222&gt;=TIMEVALUE("21:00"),"Night",BF222&gt;=TIMEVALUE("17:00"),"Evening",BF222&gt;=TIMEVALUE("12:00"),"Afternoon", BF222&gt;=TIMEVALUE("06:00"),"Morning")</f>
        <v>Afternoon</v>
      </c>
      <c r="BH222" s="2">
        <v>2017</v>
      </c>
      <c r="BI222" s="2" t="s">
        <v>84</v>
      </c>
      <c r="BJ222" s="2">
        <v>19</v>
      </c>
    </row>
    <row r="223" spans="1:62" x14ac:dyDescent="0.3">
      <c r="A223" s="2" t="s">
        <v>86</v>
      </c>
      <c r="B223" s="2">
        <v>5</v>
      </c>
      <c r="C223" s="2">
        <v>4</v>
      </c>
      <c r="D223" s="2">
        <v>-261.44</v>
      </c>
      <c r="E223" s="2">
        <v>391.96</v>
      </c>
      <c r="F223" s="2" t="s">
        <v>87</v>
      </c>
      <c r="G223" s="2" t="s">
        <v>88</v>
      </c>
      <c r="H223" s="2">
        <v>9</v>
      </c>
      <c r="I223" s="2" t="s">
        <v>496</v>
      </c>
      <c r="J223" s="2" t="s">
        <v>1282</v>
      </c>
      <c r="K223" s="2" t="s">
        <v>102</v>
      </c>
      <c r="L223" s="2" t="s">
        <v>1283</v>
      </c>
      <c r="M223" s="2">
        <v>5643</v>
      </c>
      <c r="N223" s="2" t="s">
        <v>1284</v>
      </c>
      <c r="O223" s="2" t="s">
        <v>70</v>
      </c>
      <c r="P223" s="2" t="s">
        <v>1102</v>
      </c>
      <c r="Q223" s="2" t="s">
        <v>1285</v>
      </c>
      <c r="R223" s="2">
        <v>20904</v>
      </c>
      <c r="S223" s="2">
        <v>3</v>
      </c>
      <c r="T223" s="2" t="s">
        <v>466</v>
      </c>
      <c r="U223" s="2">
        <v>39.04636</v>
      </c>
      <c r="V223" s="2">
        <v>-76.982727100000005</v>
      </c>
      <c r="W223" s="2" t="s">
        <v>500</v>
      </c>
      <c r="X223" s="2" t="s">
        <v>1286</v>
      </c>
      <c r="Y223" s="2" t="s">
        <v>1248</v>
      </c>
      <c r="Z223" s="2">
        <v>5643</v>
      </c>
      <c r="AA223" s="3">
        <v>42501.821527777778</v>
      </c>
      <c r="AB223" s="2">
        <v>46229</v>
      </c>
      <c r="AC223" s="2">
        <v>191</v>
      </c>
      <c r="AD223" s="2">
        <v>8</v>
      </c>
      <c r="AE223" s="2">
        <v>0.02</v>
      </c>
      <c r="AF223" s="2" t="str" cm="1">
        <f t="array" ref="AF223">_xlfn.IFS(AE223=0, "No Discount ", AE223&lt;=0.08,"Low Discount", AE223&lt;=0.16,"Medium Discount", AE223&gt;0.16, "High Discount")</f>
        <v>Low Discount</v>
      </c>
      <c r="AG223" s="2">
        <v>115564</v>
      </c>
      <c r="AH223" s="2">
        <v>99.99</v>
      </c>
      <c r="AI223" s="2">
        <v>-0.67</v>
      </c>
      <c r="AJ223" s="2" t="str" cm="1">
        <f t="array" ref="AJ223">_xlfn.IFS(AI223&lt;=0, "No Profit", AI223&lt;=0.16,"Low Profit",AI223&lt;=0.32,"Medium Profit",AI223&gt;0.32,"High Profit")</f>
        <v>No Profit</v>
      </c>
      <c r="AK223" s="2">
        <v>4</v>
      </c>
      <c r="AL223" s="2">
        <v>399.96</v>
      </c>
      <c r="AM223" s="2">
        <v>391.96</v>
      </c>
      <c r="AN223" s="2">
        <v>-261.44</v>
      </c>
      <c r="AO223" s="2" t="s">
        <v>1249</v>
      </c>
      <c r="AP223" s="2" t="s">
        <v>1287</v>
      </c>
      <c r="AQ223" s="2" t="s">
        <v>155</v>
      </c>
      <c r="AR223" s="2" t="s">
        <v>81</v>
      </c>
      <c r="AS223" s="2">
        <v>191</v>
      </c>
      <c r="AT223" s="2">
        <v>9</v>
      </c>
      <c r="AU223" s="2" t="s">
        <v>505</v>
      </c>
      <c r="AV223" s="2">
        <v>99.99</v>
      </c>
      <c r="AW223" s="2">
        <v>0</v>
      </c>
      <c r="AX223" s="3">
        <v>42654.821527777778</v>
      </c>
      <c r="AY223" s="2" t="s">
        <v>83</v>
      </c>
      <c r="AZ223" s="4">
        <v>42501</v>
      </c>
      <c r="BA223" s="5">
        <v>0.82152777777777775</v>
      </c>
      <c r="BB223" s="2">
        <v>2016</v>
      </c>
      <c r="BC223" s="2" t="s">
        <v>443</v>
      </c>
      <c r="BD223" s="2">
        <v>11</v>
      </c>
      <c r="BE223" s="4">
        <v>42654</v>
      </c>
      <c r="BF223" s="5">
        <v>0.82152777777777775</v>
      </c>
      <c r="BG223" s="2" t="str" cm="1">
        <f t="array" ref="BG223">_xlfn.IFS(BF223&lt;TIMEVALUE("06:00"),"Night", BF223&gt;=TIMEVALUE("21:00"),"Night",BF223&gt;=TIMEVALUE("17:00"),"Evening",BF223&gt;=TIMEVALUE("12:00"),"Afternoon", BF223&gt;=TIMEVALUE("06:00"),"Morning")</f>
        <v>Evening</v>
      </c>
      <c r="BH223" s="2">
        <v>2016</v>
      </c>
      <c r="BI223" s="2" t="s">
        <v>434</v>
      </c>
      <c r="BJ223" s="2">
        <v>11</v>
      </c>
    </row>
    <row r="224" spans="1:62" x14ac:dyDescent="0.3">
      <c r="A224" s="2" t="s">
        <v>86</v>
      </c>
      <c r="B224" s="2">
        <v>3</v>
      </c>
      <c r="C224" s="2">
        <v>4</v>
      </c>
      <c r="D224" s="2">
        <v>178.58</v>
      </c>
      <c r="E224" s="2">
        <v>379.96</v>
      </c>
      <c r="F224" s="2" t="s">
        <v>63</v>
      </c>
      <c r="G224" s="2" t="s">
        <v>64</v>
      </c>
      <c r="H224" s="2">
        <v>9</v>
      </c>
      <c r="I224" s="2" t="s">
        <v>496</v>
      </c>
      <c r="J224" s="2" t="s">
        <v>1288</v>
      </c>
      <c r="K224" s="2" t="s">
        <v>102</v>
      </c>
      <c r="L224" s="2" t="s">
        <v>1213</v>
      </c>
      <c r="M224" s="2">
        <v>2041</v>
      </c>
      <c r="N224" s="2" t="s">
        <v>1289</v>
      </c>
      <c r="O224" s="2" t="s">
        <v>70</v>
      </c>
      <c r="P224" s="2" t="s">
        <v>1290</v>
      </c>
      <c r="Q224" s="2" t="s">
        <v>1291</v>
      </c>
      <c r="R224" s="2">
        <v>55124</v>
      </c>
      <c r="S224" s="2">
        <v>3</v>
      </c>
      <c r="T224" s="2" t="s">
        <v>466</v>
      </c>
      <c r="U224" s="2">
        <v>44.725521100000002</v>
      </c>
      <c r="V224" s="2">
        <v>-93.206130999999999</v>
      </c>
      <c r="W224" s="2" t="s">
        <v>500</v>
      </c>
      <c r="X224" s="2" t="s">
        <v>1292</v>
      </c>
      <c r="Y224" s="2" t="s">
        <v>1293</v>
      </c>
      <c r="Z224" s="2">
        <v>2041</v>
      </c>
      <c r="AA224" s="2" t="s">
        <v>1294</v>
      </c>
      <c r="AB224" s="2">
        <v>42882</v>
      </c>
      <c r="AC224" s="2">
        <v>191</v>
      </c>
      <c r="AD224" s="2">
        <v>20</v>
      </c>
      <c r="AE224" s="2">
        <v>0.05</v>
      </c>
      <c r="AF224" s="2" t="str" cm="1">
        <f t="array" ref="AF224">_xlfn.IFS(AE224=0, "No Discount ", AE224&lt;=0.08,"Low Discount", AE224&lt;=0.16,"Medium Discount", AE224&gt;0.16, "High Discount")</f>
        <v>Low Discount</v>
      </c>
      <c r="AG224" s="2">
        <v>107084</v>
      </c>
      <c r="AH224" s="2">
        <v>99.99</v>
      </c>
      <c r="AI224" s="2">
        <v>0.47</v>
      </c>
      <c r="AJ224" s="2" t="str" cm="1">
        <f t="array" ref="AJ224">_xlfn.IFS(AI224&lt;=0, "No Profit", AI224&lt;=0.16,"Low Profit",AI224&lt;=0.32,"Medium Profit",AI224&gt;0.32,"High Profit")</f>
        <v>High Profit</v>
      </c>
      <c r="AK224" s="2">
        <v>4</v>
      </c>
      <c r="AL224" s="2">
        <v>399.96</v>
      </c>
      <c r="AM224" s="2">
        <v>379.96</v>
      </c>
      <c r="AN224" s="2">
        <v>178.58</v>
      </c>
      <c r="AO224" s="2" t="s">
        <v>876</v>
      </c>
      <c r="AP224" s="2" t="s">
        <v>1292</v>
      </c>
      <c r="AQ224" s="2" t="s">
        <v>155</v>
      </c>
      <c r="AR224" s="2" t="s">
        <v>81</v>
      </c>
      <c r="AS224" s="2">
        <v>191</v>
      </c>
      <c r="AT224" s="2">
        <v>9</v>
      </c>
      <c r="AU224" s="2" t="s">
        <v>505</v>
      </c>
      <c r="AV224" s="2">
        <v>99.99</v>
      </c>
      <c r="AW224" s="2">
        <v>0</v>
      </c>
      <c r="AX224" s="2" t="s">
        <v>1295</v>
      </c>
      <c r="AY224" s="2" t="s">
        <v>83</v>
      </c>
      <c r="AZ224" s="4">
        <v>42630</v>
      </c>
      <c r="BA224" s="5">
        <v>0.96319444444444446</v>
      </c>
      <c r="BB224" s="2">
        <v>2016</v>
      </c>
      <c r="BC224" s="2" t="s">
        <v>552</v>
      </c>
      <c r="BD224" s="2">
        <v>17</v>
      </c>
      <c r="BE224" s="4">
        <v>42633</v>
      </c>
      <c r="BF224" s="5">
        <v>0.96319444444444446</v>
      </c>
      <c r="BG224" s="2" t="str" cm="1">
        <f t="array" ref="BG224">_xlfn.IFS(BF224&lt;TIMEVALUE("06:00"),"Night", BF224&gt;=TIMEVALUE("21:00"),"Night",BF224&gt;=TIMEVALUE("17:00"),"Evening",BF224&gt;=TIMEVALUE("12:00"),"Afternoon", BF224&gt;=TIMEVALUE("06:00"),"Morning")</f>
        <v>Night</v>
      </c>
      <c r="BH224" s="2">
        <v>2016</v>
      </c>
      <c r="BI224" s="2" t="s">
        <v>552</v>
      </c>
      <c r="BJ224" s="2">
        <v>20</v>
      </c>
    </row>
    <row r="225" spans="1:62" x14ac:dyDescent="0.3">
      <c r="A225" s="2" t="s">
        <v>86</v>
      </c>
      <c r="B225" s="2">
        <v>3</v>
      </c>
      <c r="C225" s="2">
        <v>4</v>
      </c>
      <c r="D225" s="2">
        <v>167.42</v>
      </c>
      <c r="E225" s="2">
        <v>363.96</v>
      </c>
      <c r="F225" s="2" t="s">
        <v>63</v>
      </c>
      <c r="G225" s="2" t="s">
        <v>64</v>
      </c>
      <c r="H225" s="2">
        <v>9</v>
      </c>
      <c r="I225" s="2" t="s">
        <v>496</v>
      </c>
      <c r="J225" s="2" t="s">
        <v>1296</v>
      </c>
      <c r="K225" s="2" t="s">
        <v>102</v>
      </c>
      <c r="L225" s="2" t="s">
        <v>1297</v>
      </c>
      <c r="M225" s="2">
        <v>7537</v>
      </c>
      <c r="N225" s="2" t="s">
        <v>1298</v>
      </c>
      <c r="O225" s="2" t="s">
        <v>70</v>
      </c>
      <c r="P225" s="2" t="s">
        <v>333</v>
      </c>
      <c r="Q225" s="2" t="s">
        <v>1299</v>
      </c>
      <c r="R225" s="2">
        <v>78201</v>
      </c>
      <c r="S225" s="2">
        <v>3</v>
      </c>
      <c r="T225" s="2" t="s">
        <v>466</v>
      </c>
      <c r="U225" s="2">
        <v>29.455989800000001</v>
      </c>
      <c r="V225" s="2">
        <v>-98.528091399999994</v>
      </c>
      <c r="W225" s="2" t="s">
        <v>500</v>
      </c>
      <c r="X225" s="2" t="s">
        <v>1300</v>
      </c>
      <c r="Y225" s="2" t="s">
        <v>874</v>
      </c>
      <c r="Z225" s="2">
        <v>7537</v>
      </c>
      <c r="AA225" s="2" t="s">
        <v>1301</v>
      </c>
      <c r="AB225" s="2">
        <v>46827</v>
      </c>
      <c r="AC225" s="2">
        <v>191</v>
      </c>
      <c r="AD225" s="2">
        <v>36</v>
      </c>
      <c r="AE225" s="2">
        <v>0.09</v>
      </c>
      <c r="AF225" s="2" t="str" cm="1">
        <f t="array" ref="AF225">_xlfn.IFS(AE225=0, "No Discount ", AE225&lt;=0.08,"Low Discount", AE225&lt;=0.16,"Medium Discount", AE225&gt;0.16, "High Discount")</f>
        <v>Medium Discount</v>
      </c>
      <c r="AG225" s="2">
        <v>117074</v>
      </c>
      <c r="AH225" s="2">
        <v>99.99</v>
      </c>
      <c r="AI225" s="2">
        <v>0.46</v>
      </c>
      <c r="AJ225" s="2" t="str" cm="1">
        <f t="array" ref="AJ225">_xlfn.IFS(AI225&lt;=0, "No Profit", AI225&lt;=0.16,"Low Profit",AI225&lt;=0.32,"Medium Profit",AI225&gt;0.32,"High Profit")</f>
        <v>High Profit</v>
      </c>
      <c r="AK225" s="2">
        <v>4</v>
      </c>
      <c r="AL225" s="2">
        <v>399.96</v>
      </c>
      <c r="AM225" s="2">
        <v>363.96</v>
      </c>
      <c r="AN225" s="2">
        <v>167.42</v>
      </c>
      <c r="AO225" s="2" t="s">
        <v>876</v>
      </c>
      <c r="AP225" s="2" t="s">
        <v>1302</v>
      </c>
      <c r="AQ225" s="2" t="s">
        <v>155</v>
      </c>
      <c r="AR225" s="2" t="s">
        <v>81</v>
      </c>
      <c r="AS225" s="2">
        <v>191</v>
      </c>
      <c r="AT225" s="2">
        <v>9</v>
      </c>
      <c r="AU225" s="2" t="s">
        <v>505</v>
      </c>
      <c r="AV225" s="2">
        <v>99.99</v>
      </c>
      <c r="AW225" s="2">
        <v>0</v>
      </c>
      <c r="AX225" s="2" t="s">
        <v>1303</v>
      </c>
      <c r="AY225" s="2" t="s">
        <v>83</v>
      </c>
      <c r="AZ225" s="4">
        <v>42688</v>
      </c>
      <c r="BA225" s="5">
        <v>0.55138888888888893</v>
      </c>
      <c r="BB225" s="2">
        <v>2016</v>
      </c>
      <c r="BC225" s="2" t="s">
        <v>455</v>
      </c>
      <c r="BD225" s="2">
        <v>14</v>
      </c>
      <c r="BE225" s="4">
        <v>42691</v>
      </c>
      <c r="BF225" s="5">
        <v>0.55138888888888893</v>
      </c>
      <c r="BG225" s="2" t="str" cm="1">
        <f t="array" ref="BG225">_xlfn.IFS(BF225&lt;TIMEVALUE("06:00"),"Night", BF225&gt;=TIMEVALUE("21:00"),"Night",BF225&gt;=TIMEVALUE("17:00"),"Evening",BF225&gt;=TIMEVALUE("12:00"),"Afternoon", BF225&gt;=TIMEVALUE("06:00"),"Morning")</f>
        <v>Afternoon</v>
      </c>
      <c r="BH225" s="2">
        <v>2016</v>
      </c>
      <c r="BI225" s="2" t="s">
        <v>455</v>
      </c>
      <c r="BJ225" s="2">
        <v>17</v>
      </c>
    </row>
    <row r="226" spans="1:62" x14ac:dyDescent="0.3">
      <c r="A226" s="2" t="s">
        <v>86</v>
      </c>
      <c r="B226" s="2">
        <v>5</v>
      </c>
      <c r="C226" s="2">
        <v>4</v>
      </c>
      <c r="D226" s="2">
        <v>-76.67</v>
      </c>
      <c r="E226" s="2">
        <v>359.96</v>
      </c>
      <c r="F226" s="2" t="s">
        <v>87</v>
      </c>
      <c r="G226" s="2" t="s">
        <v>88</v>
      </c>
      <c r="H226" s="2">
        <v>9</v>
      </c>
      <c r="I226" s="2" t="s">
        <v>496</v>
      </c>
      <c r="J226" s="2" t="s">
        <v>1147</v>
      </c>
      <c r="K226" s="2" t="s">
        <v>102</v>
      </c>
      <c r="L226" s="2" t="s">
        <v>1304</v>
      </c>
      <c r="M226" s="2">
        <v>3056</v>
      </c>
      <c r="N226" s="2" t="s">
        <v>1305</v>
      </c>
      <c r="O226" s="2" t="s">
        <v>70</v>
      </c>
      <c r="P226" s="2" t="s">
        <v>280</v>
      </c>
      <c r="Q226" s="2" t="s">
        <v>1306</v>
      </c>
      <c r="R226" s="2">
        <v>19143</v>
      </c>
      <c r="S226" s="2">
        <v>3</v>
      </c>
      <c r="T226" s="2" t="s">
        <v>466</v>
      </c>
      <c r="U226" s="2">
        <v>39.956729899999999</v>
      </c>
      <c r="V226" s="2">
        <v>-75.195259100000001</v>
      </c>
      <c r="W226" s="2" t="s">
        <v>500</v>
      </c>
      <c r="X226" s="2" t="s">
        <v>1307</v>
      </c>
      <c r="Y226" s="2" t="s">
        <v>1308</v>
      </c>
      <c r="Z226" s="2">
        <v>3056</v>
      </c>
      <c r="AA226" s="3">
        <v>42686.65902777778</v>
      </c>
      <c r="AB226" s="2">
        <v>48684</v>
      </c>
      <c r="AC226" s="2">
        <v>191</v>
      </c>
      <c r="AD226" s="2">
        <v>40</v>
      </c>
      <c r="AE226" s="2">
        <v>0.1</v>
      </c>
      <c r="AF226" s="2" t="str" cm="1">
        <f t="array" ref="AF226">_xlfn.IFS(AE226=0, "No Discount ", AE226&lt;=0.08,"Low Discount", AE226&lt;=0.16,"Medium Discount", AE226&gt;0.16, "High Discount")</f>
        <v>Medium Discount</v>
      </c>
      <c r="AG226" s="2">
        <v>121737</v>
      </c>
      <c r="AH226" s="2">
        <v>99.99</v>
      </c>
      <c r="AI226" s="2">
        <v>-0.21</v>
      </c>
      <c r="AJ226" s="2" t="str" cm="1">
        <f t="array" ref="AJ226">_xlfn.IFS(AI226&lt;=0, "No Profit", AI226&lt;=0.16,"Low Profit",AI226&lt;=0.32,"Medium Profit",AI226&gt;0.32,"High Profit")</f>
        <v>No Profit</v>
      </c>
      <c r="AK226" s="2">
        <v>4</v>
      </c>
      <c r="AL226" s="2">
        <v>399.96</v>
      </c>
      <c r="AM226" s="2">
        <v>359.96</v>
      </c>
      <c r="AN226" s="2">
        <v>-76.67</v>
      </c>
      <c r="AO226" s="2" t="s">
        <v>876</v>
      </c>
      <c r="AP226" s="2" t="s">
        <v>1199</v>
      </c>
      <c r="AQ226" s="2" t="s">
        <v>155</v>
      </c>
      <c r="AR226" s="2" t="s">
        <v>81</v>
      </c>
      <c r="AS226" s="2">
        <v>191</v>
      </c>
      <c r="AT226" s="2">
        <v>9</v>
      </c>
      <c r="AU226" s="2" t="s">
        <v>505</v>
      </c>
      <c r="AV226" s="2">
        <v>99.99</v>
      </c>
      <c r="AW226" s="2">
        <v>0</v>
      </c>
      <c r="AX226" s="2" t="s">
        <v>1309</v>
      </c>
      <c r="AY226" s="2" t="s">
        <v>83</v>
      </c>
      <c r="AZ226" s="4">
        <v>42686</v>
      </c>
      <c r="BA226" s="5">
        <v>0.65902777777777777</v>
      </c>
      <c r="BB226" s="2">
        <v>2016</v>
      </c>
      <c r="BC226" s="2" t="s">
        <v>455</v>
      </c>
      <c r="BD226" s="2">
        <v>12</v>
      </c>
      <c r="BE226" s="4">
        <v>42720</v>
      </c>
      <c r="BF226" s="5">
        <v>0.65902777777777777</v>
      </c>
      <c r="BG226" s="2" t="str" cm="1">
        <f t="array" ref="BG226">_xlfn.IFS(BF226&lt;TIMEVALUE("06:00"),"Night", BF226&gt;=TIMEVALUE("21:00"),"Night",BF226&gt;=TIMEVALUE("17:00"),"Evening",BF226&gt;=TIMEVALUE("12:00"),"Afternoon", BF226&gt;=TIMEVALUE("06:00"),"Morning")</f>
        <v>Afternoon</v>
      </c>
      <c r="BH226" s="2">
        <v>2016</v>
      </c>
      <c r="BI226" s="2" t="s">
        <v>357</v>
      </c>
      <c r="BJ226" s="2">
        <v>16</v>
      </c>
    </row>
    <row r="227" spans="1:62" x14ac:dyDescent="0.3">
      <c r="A227" s="2" t="s">
        <v>86</v>
      </c>
      <c r="B227" s="2">
        <v>5</v>
      </c>
      <c r="C227" s="2">
        <v>4</v>
      </c>
      <c r="D227" s="2">
        <v>165.42</v>
      </c>
      <c r="E227" s="2">
        <v>351.96</v>
      </c>
      <c r="F227" s="2" t="s">
        <v>87</v>
      </c>
      <c r="G227" s="2" t="s">
        <v>88</v>
      </c>
      <c r="H227" s="2">
        <v>9</v>
      </c>
      <c r="I227" s="2" t="s">
        <v>496</v>
      </c>
      <c r="J227" s="2" t="s">
        <v>1147</v>
      </c>
      <c r="K227" s="2" t="s">
        <v>102</v>
      </c>
      <c r="L227" s="2" t="s">
        <v>1304</v>
      </c>
      <c r="M227" s="2">
        <v>3056</v>
      </c>
      <c r="N227" s="2" t="s">
        <v>1305</v>
      </c>
      <c r="O227" s="2" t="s">
        <v>70</v>
      </c>
      <c r="P227" s="2" t="s">
        <v>280</v>
      </c>
      <c r="Q227" s="2" t="s">
        <v>1306</v>
      </c>
      <c r="R227" s="2">
        <v>19143</v>
      </c>
      <c r="S227" s="2">
        <v>3</v>
      </c>
      <c r="T227" s="2" t="s">
        <v>466</v>
      </c>
      <c r="U227" s="2">
        <v>39.956729899999999</v>
      </c>
      <c r="V227" s="2">
        <v>-75.195259100000001</v>
      </c>
      <c r="W227" s="2" t="s">
        <v>500</v>
      </c>
      <c r="X227" s="2" t="s">
        <v>1307</v>
      </c>
      <c r="Y227" s="2" t="s">
        <v>1308</v>
      </c>
      <c r="Z227" s="2">
        <v>3056</v>
      </c>
      <c r="AA227" s="3">
        <v>42686.65902777778</v>
      </c>
      <c r="AB227" s="2">
        <v>48684</v>
      </c>
      <c r="AC227" s="2">
        <v>191</v>
      </c>
      <c r="AD227" s="2">
        <v>48</v>
      </c>
      <c r="AE227" s="2">
        <v>0.12</v>
      </c>
      <c r="AF227" s="2" t="str" cm="1">
        <f t="array" ref="AF227">_xlfn.IFS(AE227=0, "No Discount ", AE227&lt;=0.08,"Low Discount", AE227&lt;=0.16,"Medium Discount", AE227&gt;0.16, "High Discount")</f>
        <v>Medium Discount</v>
      </c>
      <c r="AG227" s="2">
        <v>121735</v>
      </c>
      <c r="AH227" s="2">
        <v>99.99</v>
      </c>
      <c r="AI227" s="2">
        <v>0.47</v>
      </c>
      <c r="AJ227" s="2" t="str" cm="1">
        <f t="array" ref="AJ227">_xlfn.IFS(AI227&lt;=0, "No Profit", AI227&lt;=0.16,"Low Profit",AI227&lt;=0.32,"Medium Profit",AI227&gt;0.32,"High Profit")</f>
        <v>High Profit</v>
      </c>
      <c r="AK227" s="2">
        <v>4</v>
      </c>
      <c r="AL227" s="2">
        <v>399.96</v>
      </c>
      <c r="AM227" s="2">
        <v>351.96</v>
      </c>
      <c r="AN227" s="2">
        <v>165.42</v>
      </c>
      <c r="AO227" s="2" t="s">
        <v>876</v>
      </c>
      <c r="AP227" s="2" t="s">
        <v>1199</v>
      </c>
      <c r="AQ227" s="2" t="s">
        <v>155</v>
      </c>
      <c r="AR227" s="2" t="s">
        <v>81</v>
      </c>
      <c r="AS227" s="2">
        <v>191</v>
      </c>
      <c r="AT227" s="2">
        <v>9</v>
      </c>
      <c r="AU227" s="2" t="s">
        <v>505</v>
      </c>
      <c r="AV227" s="2">
        <v>99.99</v>
      </c>
      <c r="AW227" s="2">
        <v>0</v>
      </c>
      <c r="AX227" s="2" t="s">
        <v>1309</v>
      </c>
      <c r="AY227" s="2" t="s">
        <v>83</v>
      </c>
      <c r="AZ227" s="4">
        <v>42686</v>
      </c>
      <c r="BA227" s="5">
        <v>0.65902777777777777</v>
      </c>
      <c r="BB227" s="2">
        <v>2016</v>
      </c>
      <c r="BC227" s="2" t="s">
        <v>455</v>
      </c>
      <c r="BD227" s="2">
        <v>12</v>
      </c>
      <c r="BE227" s="4">
        <v>42720</v>
      </c>
      <c r="BF227" s="5">
        <v>0.65902777777777777</v>
      </c>
      <c r="BG227" s="2" t="str" cm="1">
        <f t="array" ref="BG227">_xlfn.IFS(BF227&lt;TIMEVALUE("06:00"),"Night", BF227&gt;=TIMEVALUE("21:00"),"Night",BF227&gt;=TIMEVALUE("17:00"),"Evening",BF227&gt;=TIMEVALUE("12:00"),"Afternoon", BF227&gt;=TIMEVALUE("06:00"),"Morning")</f>
        <v>Afternoon</v>
      </c>
      <c r="BH227" s="2">
        <v>2016</v>
      </c>
      <c r="BI227" s="2" t="s">
        <v>357</v>
      </c>
      <c r="BJ227" s="2">
        <v>16</v>
      </c>
    </row>
    <row r="228" spans="1:62" x14ac:dyDescent="0.3">
      <c r="A228" s="2" t="s">
        <v>86</v>
      </c>
      <c r="B228" s="2">
        <v>2</v>
      </c>
      <c r="C228" s="2">
        <v>4</v>
      </c>
      <c r="D228" s="2">
        <v>-82.01</v>
      </c>
      <c r="E228" s="2">
        <v>351.96</v>
      </c>
      <c r="F228" s="2" t="s">
        <v>63</v>
      </c>
      <c r="G228" s="2" t="s">
        <v>64</v>
      </c>
      <c r="H228" s="2">
        <v>9</v>
      </c>
      <c r="I228" s="2" t="s">
        <v>496</v>
      </c>
      <c r="J228" s="2" t="s">
        <v>1147</v>
      </c>
      <c r="K228" s="2" t="s">
        <v>102</v>
      </c>
      <c r="L228" s="2" t="s">
        <v>1310</v>
      </c>
      <c r="M228" s="2">
        <v>7967</v>
      </c>
      <c r="N228" s="2" t="s">
        <v>991</v>
      </c>
      <c r="O228" s="2" t="s">
        <v>70</v>
      </c>
      <c r="P228" s="2" t="s">
        <v>280</v>
      </c>
      <c r="Q228" s="2" t="s">
        <v>1311</v>
      </c>
      <c r="R228" s="2">
        <v>19149</v>
      </c>
      <c r="S228" s="2">
        <v>3</v>
      </c>
      <c r="T228" s="2" t="s">
        <v>466</v>
      </c>
      <c r="U228" s="2">
        <v>40.037750199999998</v>
      </c>
      <c r="V228" s="2">
        <v>-75.068061799999995</v>
      </c>
      <c r="W228" s="2" t="s">
        <v>500</v>
      </c>
      <c r="X228" s="2" t="s">
        <v>1210</v>
      </c>
      <c r="Y228" s="2" t="s">
        <v>895</v>
      </c>
      <c r="Z228" s="2">
        <v>7967</v>
      </c>
      <c r="AA228" s="3">
        <v>42593.551388888889</v>
      </c>
      <c r="AB228" s="2">
        <v>46416</v>
      </c>
      <c r="AC228" s="2">
        <v>191</v>
      </c>
      <c r="AD228" s="2">
        <v>48</v>
      </c>
      <c r="AE228" s="2">
        <v>0.12</v>
      </c>
      <c r="AF228" s="2" t="str" cm="1">
        <f t="array" ref="AF228">_xlfn.IFS(AE228=0, "No Discount ", AE228&lt;=0.08,"Low Discount", AE228&lt;=0.16,"Medium Discount", AE228&gt;0.16, "High Discount")</f>
        <v>Medium Discount</v>
      </c>
      <c r="AG228" s="2">
        <v>116042</v>
      </c>
      <c r="AH228" s="2">
        <v>99.99</v>
      </c>
      <c r="AI228" s="2">
        <v>-0.23</v>
      </c>
      <c r="AJ228" s="2" t="str" cm="1">
        <f t="array" ref="AJ228">_xlfn.IFS(AI228&lt;=0, "No Profit", AI228&lt;=0.16,"Low Profit",AI228&lt;=0.32,"Medium Profit",AI228&gt;0.32,"High Profit")</f>
        <v>No Profit</v>
      </c>
      <c r="AK228" s="2">
        <v>4</v>
      </c>
      <c r="AL228" s="2">
        <v>399.96</v>
      </c>
      <c r="AM228" s="2">
        <v>351.96</v>
      </c>
      <c r="AN228" s="2">
        <v>-82.01</v>
      </c>
      <c r="AO228" s="2" t="s">
        <v>523</v>
      </c>
      <c r="AP228" s="2" t="s">
        <v>1211</v>
      </c>
      <c r="AQ228" s="2" t="s">
        <v>155</v>
      </c>
      <c r="AR228" s="2" t="s">
        <v>81</v>
      </c>
      <c r="AS228" s="2">
        <v>191</v>
      </c>
      <c r="AT228" s="2">
        <v>9</v>
      </c>
      <c r="AU228" s="2" t="s">
        <v>505</v>
      </c>
      <c r="AV228" s="2">
        <v>99.99</v>
      </c>
      <c r="AW228" s="2">
        <v>0</v>
      </c>
      <c r="AX228" s="3">
        <v>42654.551388888889</v>
      </c>
      <c r="AY228" s="2" t="s">
        <v>83</v>
      </c>
      <c r="AZ228" s="4">
        <v>42593</v>
      </c>
      <c r="BA228" s="5">
        <v>0.55138888888888893</v>
      </c>
      <c r="BB228" s="2">
        <v>2016</v>
      </c>
      <c r="BC228" s="2" t="s">
        <v>482</v>
      </c>
      <c r="BD228" s="2">
        <v>11</v>
      </c>
      <c r="BE228" s="4">
        <v>42654</v>
      </c>
      <c r="BF228" s="5">
        <v>0.55138888888888893</v>
      </c>
      <c r="BG228" s="2" t="str" cm="1">
        <f t="array" ref="BG228">_xlfn.IFS(BF228&lt;TIMEVALUE("06:00"),"Night", BF228&gt;=TIMEVALUE("21:00"),"Night",BF228&gt;=TIMEVALUE("17:00"),"Evening",BF228&gt;=TIMEVALUE("12:00"),"Afternoon", BF228&gt;=TIMEVALUE("06:00"),"Morning")</f>
        <v>Afternoon</v>
      </c>
      <c r="BH228" s="2">
        <v>2016</v>
      </c>
      <c r="BI228" s="2" t="s">
        <v>434</v>
      </c>
      <c r="BJ228" s="2">
        <v>11</v>
      </c>
    </row>
    <row r="229" spans="1:62" x14ac:dyDescent="0.3">
      <c r="A229" s="2" t="s">
        <v>86</v>
      </c>
      <c r="B229" s="2">
        <v>4</v>
      </c>
      <c r="C229" s="2">
        <v>4</v>
      </c>
      <c r="D229" s="2">
        <v>91.79</v>
      </c>
      <c r="E229" s="2">
        <v>339.97</v>
      </c>
      <c r="F229" s="2" t="s">
        <v>100</v>
      </c>
      <c r="G229" s="2" t="s">
        <v>64</v>
      </c>
      <c r="H229" s="2">
        <v>9</v>
      </c>
      <c r="I229" s="2" t="s">
        <v>496</v>
      </c>
      <c r="J229" s="2" t="s">
        <v>1312</v>
      </c>
      <c r="K229" s="2" t="s">
        <v>102</v>
      </c>
      <c r="L229" s="2" t="s">
        <v>1313</v>
      </c>
      <c r="M229" s="2">
        <v>1758</v>
      </c>
      <c r="N229" s="2" t="s">
        <v>1314</v>
      </c>
      <c r="O229" s="2" t="s">
        <v>70</v>
      </c>
      <c r="P229" s="2" t="s">
        <v>133</v>
      </c>
      <c r="Q229" s="2" t="s">
        <v>1315</v>
      </c>
      <c r="R229" s="2">
        <v>10466</v>
      </c>
      <c r="S229" s="2">
        <v>3</v>
      </c>
      <c r="T229" s="2" t="s">
        <v>466</v>
      </c>
      <c r="U229" s="2">
        <v>40.863536799999999</v>
      </c>
      <c r="V229" s="2">
        <v>-73.870498699999999</v>
      </c>
      <c r="W229" s="2" t="s">
        <v>500</v>
      </c>
      <c r="X229" s="2" t="s">
        <v>1316</v>
      </c>
      <c r="Y229" s="2" t="s">
        <v>1248</v>
      </c>
      <c r="Z229" s="2">
        <v>1758</v>
      </c>
      <c r="AA229" s="2" t="s">
        <v>1317</v>
      </c>
      <c r="AB229" s="2">
        <v>47343</v>
      </c>
      <c r="AC229" s="2">
        <v>191</v>
      </c>
      <c r="AD229" s="2">
        <v>59.99</v>
      </c>
      <c r="AE229" s="2">
        <v>0.15</v>
      </c>
      <c r="AF229" s="2" t="str" cm="1">
        <f t="array" ref="AF229">_xlfn.IFS(AE229=0, "No Discount ", AE229&lt;=0.08,"Low Discount", AE229&lt;=0.16,"Medium Discount", AE229&gt;0.16, "High Discount")</f>
        <v>Medium Discount</v>
      </c>
      <c r="AG229" s="2">
        <v>118360</v>
      </c>
      <c r="AH229" s="2">
        <v>99.99</v>
      </c>
      <c r="AI229" s="2">
        <v>0.27</v>
      </c>
      <c r="AJ229" s="2" t="str" cm="1">
        <f t="array" ref="AJ229">_xlfn.IFS(AI229&lt;=0, "No Profit", AI229&lt;=0.16,"Low Profit",AI229&lt;=0.32,"Medium Profit",AI229&gt;0.32,"High Profit")</f>
        <v>Medium Profit</v>
      </c>
      <c r="AK229" s="2">
        <v>4</v>
      </c>
      <c r="AL229" s="2">
        <v>399.96</v>
      </c>
      <c r="AM229" s="2">
        <v>339.97</v>
      </c>
      <c r="AN229" s="2">
        <v>91.79</v>
      </c>
      <c r="AO229" s="2" t="s">
        <v>1249</v>
      </c>
      <c r="AP229" s="2" t="s">
        <v>1318</v>
      </c>
      <c r="AQ229" s="2" t="s">
        <v>155</v>
      </c>
      <c r="AR229" s="2" t="s">
        <v>81</v>
      </c>
      <c r="AS229" s="2">
        <v>191</v>
      </c>
      <c r="AT229" s="2">
        <v>9</v>
      </c>
      <c r="AU229" s="2" t="s">
        <v>505</v>
      </c>
      <c r="AV229" s="2">
        <v>99.99</v>
      </c>
      <c r="AW229" s="2">
        <v>0</v>
      </c>
      <c r="AX229" s="2" t="s">
        <v>1319</v>
      </c>
      <c r="AY229" s="2" t="s">
        <v>83</v>
      </c>
      <c r="AZ229" s="4">
        <v>42696</v>
      </c>
      <c r="BA229" s="5">
        <v>8.3333333333333329E-2</v>
      </c>
      <c r="BB229" s="2">
        <v>2016</v>
      </c>
      <c r="BC229" s="2" t="s">
        <v>455</v>
      </c>
      <c r="BD229" s="2">
        <v>22</v>
      </c>
      <c r="BE229" s="4">
        <v>42700</v>
      </c>
      <c r="BF229" s="5">
        <v>8.3333333333333329E-2</v>
      </c>
      <c r="BG229" s="2" t="str" cm="1">
        <f t="array" ref="BG229">_xlfn.IFS(BF229&lt;TIMEVALUE("06:00"),"Night", BF229&gt;=TIMEVALUE("21:00"),"Night",BF229&gt;=TIMEVALUE("17:00"),"Evening",BF229&gt;=TIMEVALUE("12:00"),"Afternoon", BF229&gt;=TIMEVALUE("06:00"),"Morning")</f>
        <v>Night</v>
      </c>
      <c r="BH229" s="2">
        <v>2016</v>
      </c>
      <c r="BI229" s="2" t="s">
        <v>455</v>
      </c>
      <c r="BJ229" s="2">
        <v>26</v>
      </c>
    </row>
    <row r="230" spans="1:62" x14ac:dyDescent="0.3">
      <c r="A230" s="2" t="s">
        <v>62</v>
      </c>
      <c r="B230" s="2">
        <v>2</v>
      </c>
      <c r="C230" s="2">
        <v>4</v>
      </c>
      <c r="D230" s="2">
        <v>40.56</v>
      </c>
      <c r="E230" s="2">
        <v>124.79</v>
      </c>
      <c r="F230" s="2" t="s">
        <v>63</v>
      </c>
      <c r="G230" s="2" t="s">
        <v>64</v>
      </c>
      <c r="H230" s="2">
        <v>18</v>
      </c>
      <c r="I230" s="2" t="s">
        <v>863</v>
      </c>
      <c r="J230" s="2" t="s">
        <v>1320</v>
      </c>
      <c r="K230" s="2" t="s">
        <v>102</v>
      </c>
      <c r="L230" s="2" t="s">
        <v>1321</v>
      </c>
      <c r="M230" s="2">
        <v>7884</v>
      </c>
      <c r="N230" s="2" t="s">
        <v>425</v>
      </c>
      <c r="O230" s="2" t="s">
        <v>124</v>
      </c>
      <c r="P230" s="2" t="s">
        <v>1322</v>
      </c>
      <c r="Q230" s="2" t="s">
        <v>1323</v>
      </c>
      <c r="R230" s="2">
        <v>27858</v>
      </c>
      <c r="S230" s="2">
        <v>4</v>
      </c>
      <c r="T230" s="2" t="s">
        <v>417</v>
      </c>
      <c r="U230" s="2">
        <v>35.600349399999999</v>
      </c>
      <c r="V230" s="2">
        <v>-77.334869400000002</v>
      </c>
      <c r="W230" s="2" t="s">
        <v>74</v>
      </c>
      <c r="X230" s="2" t="s">
        <v>449</v>
      </c>
      <c r="Y230" s="2" t="s">
        <v>429</v>
      </c>
      <c r="Z230" s="2">
        <v>7884</v>
      </c>
      <c r="AA230" s="2" t="s">
        <v>1324</v>
      </c>
      <c r="AB230" s="2">
        <v>41686</v>
      </c>
      <c r="AC230" s="2">
        <v>403</v>
      </c>
      <c r="AD230" s="2">
        <v>5.2</v>
      </c>
      <c r="AE230" s="2">
        <v>0.04</v>
      </c>
      <c r="AF230" s="2" t="str" cm="1">
        <f t="array" ref="AF230">_xlfn.IFS(AE230=0, "No Discount ", AE230&lt;=0.08,"Low Discount", AE230&lt;=0.16,"Medium Discount", AE230&gt;0.16, "High Discount")</f>
        <v>Low Discount</v>
      </c>
      <c r="AG230" s="2">
        <v>104060</v>
      </c>
      <c r="AH230" s="2">
        <v>129.99</v>
      </c>
      <c r="AI230" s="2">
        <v>0.33</v>
      </c>
      <c r="AJ230" s="2" t="str" cm="1">
        <f t="array" ref="AJ230">_xlfn.IFS(AI230&lt;=0, "No Profit", AI230&lt;=0.16,"Low Profit",AI230&lt;=0.32,"Medium Profit",AI230&gt;0.32,"High Profit")</f>
        <v>High Profit</v>
      </c>
      <c r="AK230" s="2">
        <v>1</v>
      </c>
      <c r="AL230" s="2">
        <v>129.99</v>
      </c>
      <c r="AM230" s="2">
        <v>124.79</v>
      </c>
      <c r="AN230" s="2">
        <v>40.56</v>
      </c>
      <c r="AO230" s="2" t="s">
        <v>431</v>
      </c>
      <c r="AP230" s="2" t="s">
        <v>449</v>
      </c>
      <c r="AQ230" s="2" t="s">
        <v>80</v>
      </c>
      <c r="AR230" s="2" t="s">
        <v>81</v>
      </c>
      <c r="AS230" s="2">
        <v>403</v>
      </c>
      <c r="AT230" s="2">
        <v>18</v>
      </c>
      <c r="AU230" s="2" t="s">
        <v>869</v>
      </c>
      <c r="AV230" s="2">
        <v>129.99</v>
      </c>
      <c r="AW230" s="2">
        <v>0</v>
      </c>
      <c r="AX230" s="3">
        <v>42409.504166666666</v>
      </c>
      <c r="AY230" s="2" t="s">
        <v>83</v>
      </c>
      <c r="AZ230" s="4">
        <v>42613</v>
      </c>
      <c r="BA230" s="5">
        <v>0.50416666666666665</v>
      </c>
      <c r="BB230" s="2">
        <v>2016</v>
      </c>
      <c r="BC230" s="2" t="s">
        <v>482</v>
      </c>
      <c r="BD230" s="2">
        <v>31</v>
      </c>
      <c r="BE230" s="4">
        <v>42409</v>
      </c>
      <c r="BF230" s="5">
        <v>0.50416666666666665</v>
      </c>
      <c r="BG230" s="2" t="str" cm="1">
        <f t="array" ref="BG230">_xlfn.IFS(BF230&lt;TIMEVALUE("06:00"),"Night", BF230&gt;=TIMEVALUE("21:00"),"Night",BF230&gt;=TIMEVALUE("17:00"),"Evening",BF230&gt;=TIMEVALUE("12:00"),"Afternoon", BF230&gt;=TIMEVALUE("06:00"),"Morning")</f>
        <v>Afternoon</v>
      </c>
      <c r="BH230" s="2">
        <v>2016</v>
      </c>
      <c r="BI230" s="2" t="s">
        <v>423</v>
      </c>
      <c r="BJ230" s="2">
        <v>9</v>
      </c>
    </row>
    <row r="231" spans="1:62" x14ac:dyDescent="0.3">
      <c r="A231" s="2" t="s">
        <v>62</v>
      </c>
      <c r="B231" s="2">
        <v>2</v>
      </c>
      <c r="C231" s="2">
        <v>4</v>
      </c>
      <c r="D231" s="2">
        <v>41.18</v>
      </c>
      <c r="E231" s="2">
        <v>124.79</v>
      </c>
      <c r="F231" s="2" t="s">
        <v>63</v>
      </c>
      <c r="G231" s="2" t="s">
        <v>64</v>
      </c>
      <c r="H231" s="2">
        <v>18</v>
      </c>
      <c r="I231" s="2" t="s">
        <v>863</v>
      </c>
      <c r="J231" s="2" t="s">
        <v>1325</v>
      </c>
      <c r="K231" s="2" t="s">
        <v>102</v>
      </c>
      <c r="L231" s="2" t="s">
        <v>1326</v>
      </c>
      <c r="M231" s="2">
        <v>289</v>
      </c>
      <c r="N231" s="2" t="s">
        <v>1327</v>
      </c>
      <c r="O231" s="2" t="s">
        <v>124</v>
      </c>
      <c r="P231" s="2" t="s">
        <v>1163</v>
      </c>
      <c r="Q231" s="2" t="s">
        <v>1328</v>
      </c>
      <c r="R231" s="2">
        <v>7960</v>
      </c>
      <c r="S231" s="2">
        <v>4</v>
      </c>
      <c r="T231" s="2" t="s">
        <v>417</v>
      </c>
      <c r="U231" s="2">
        <v>40.8011932</v>
      </c>
      <c r="V231" s="2">
        <v>-74.485611000000006</v>
      </c>
      <c r="W231" s="2" t="s">
        <v>74</v>
      </c>
      <c r="X231" s="2" t="s">
        <v>1329</v>
      </c>
      <c r="Y231" s="2" t="s">
        <v>1330</v>
      </c>
      <c r="Z231" s="2">
        <v>289</v>
      </c>
      <c r="AA231" s="3">
        <v>42438.570138888892</v>
      </c>
      <c r="AB231" s="2">
        <v>41896</v>
      </c>
      <c r="AC231" s="2">
        <v>403</v>
      </c>
      <c r="AD231" s="2">
        <v>5.2</v>
      </c>
      <c r="AE231" s="2">
        <v>0.04</v>
      </c>
      <c r="AF231" s="2" t="str" cm="1">
        <f t="array" ref="AF231">_xlfn.IFS(AE231=0, "No Discount ", AE231&lt;=0.08,"Low Discount", AE231&lt;=0.16,"Medium Discount", AE231&gt;0.16, "High Discount")</f>
        <v>Low Discount</v>
      </c>
      <c r="AG231" s="2">
        <v>104577</v>
      </c>
      <c r="AH231" s="2">
        <v>129.99</v>
      </c>
      <c r="AI231" s="2">
        <v>0.33</v>
      </c>
      <c r="AJ231" s="2" t="str" cm="1">
        <f t="array" ref="AJ231">_xlfn.IFS(AI231&lt;=0, "No Profit", AI231&lt;=0.16,"Low Profit",AI231&lt;=0.32,"Medium Profit",AI231&gt;0.32,"High Profit")</f>
        <v>High Profit</v>
      </c>
      <c r="AK231" s="2">
        <v>1</v>
      </c>
      <c r="AL231" s="2">
        <v>129.99</v>
      </c>
      <c r="AM231" s="2">
        <v>124.79</v>
      </c>
      <c r="AN231" s="2">
        <v>41.18</v>
      </c>
      <c r="AO231" s="2" t="s">
        <v>431</v>
      </c>
      <c r="AP231" s="2" t="s">
        <v>1329</v>
      </c>
      <c r="AQ231" s="2" t="s">
        <v>80</v>
      </c>
      <c r="AR231" s="2" t="s">
        <v>81</v>
      </c>
      <c r="AS231" s="2">
        <v>403</v>
      </c>
      <c r="AT231" s="2">
        <v>18</v>
      </c>
      <c r="AU231" s="2" t="s">
        <v>869</v>
      </c>
      <c r="AV231" s="2">
        <v>129.99</v>
      </c>
      <c r="AW231" s="2">
        <v>0</v>
      </c>
      <c r="AX231" s="3">
        <v>42499.570138888892</v>
      </c>
      <c r="AY231" s="2" t="s">
        <v>83</v>
      </c>
      <c r="AZ231" s="4">
        <v>42438</v>
      </c>
      <c r="BA231" s="5">
        <v>0.57013888888888886</v>
      </c>
      <c r="BB231" s="2">
        <v>2016</v>
      </c>
      <c r="BC231" s="2" t="s">
        <v>85</v>
      </c>
      <c r="BD231" s="2">
        <v>9</v>
      </c>
      <c r="BE231" s="4">
        <v>42499</v>
      </c>
      <c r="BF231" s="5">
        <v>0.57013888888888886</v>
      </c>
      <c r="BG231" s="2" t="str" cm="1">
        <f t="array" ref="BG231">_xlfn.IFS(BF231&lt;TIMEVALUE("06:00"),"Night", BF231&gt;=TIMEVALUE("21:00"),"Night",BF231&gt;=TIMEVALUE("17:00"),"Evening",BF231&gt;=TIMEVALUE("12:00"),"Afternoon", BF231&gt;=TIMEVALUE("06:00"),"Morning")</f>
        <v>Afternoon</v>
      </c>
      <c r="BH231" s="2">
        <v>2016</v>
      </c>
      <c r="BI231" s="2" t="s">
        <v>443</v>
      </c>
      <c r="BJ231" s="2">
        <v>9</v>
      </c>
    </row>
    <row r="232" spans="1:62" x14ac:dyDescent="0.3">
      <c r="A232" s="2" t="s">
        <v>62</v>
      </c>
      <c r="B232" s="2">
        <v>4</v>
      </c>
      <c r="C232" s="2">
        <v>4</v>
      </c>
      <c r="D232" s="2">
        <v>27.36</v>
      </c>
      <c r="E232" s="2">
        <v>56.99</v>
      </c>
      <c r="F232" s="2" t="s">
        <v>100</v>
      </c>
      <c r="G232" s="2" t="s">
        <v>64</v>
      </c>
      <c r="H232" s="2">
        <v>17</v>
      </c>
      <c r="I232" s="2" t="s">
        <v>412</v>
      </c>
      <c r="J232" s="2" t="s">
        <v>1331</v>
      </c>
      <c r="K232" s="2" t="s">
        <v>102</v>
      </c>
      <c r="L232" s="2" t="s">
        <v>414</v>
      </c>
      <c r="M232" s="2">
        <v>10081</v>
      </c>
      <c r="N232" s="2" t="s">
        <v>1332</v>
      </c>
      <c r="O232" s="2" t="s">
        <v>124</v>
      </c>
      <c r="P232" s="2" t="s">
        <v>105</v>
      </c>
      <c r="Q232" s="2" t="s">
        <v>1333</v>
      </c>
      <c r="R232" s="2">
        <v>92115</v>
      </c>
      <c r="S232" s="2">
        <v>4</v>
      </c>
      <c r="T232" s="2" t="s">
        <v>417</v>
      </c>
      <c r="U232" s="2">
        <v>32.776279500000001</v>
      </c>
      <c r="V232" s="2">
        <v>-117.13421630000001</v>
      </c>
      <c r="W232" s="2" t="s">
        <v>74</v>
      </c>
      <c r="X232" s="2" t="s">
        <v>1334</v>
      </c>
      <c r="Y232" s="2" t="s">
        <v>116</v>
      </c>
      <c r="Z232" s="2">
        <v>10081</v>
      </c>
      <c r="AA232" s="2" t="s">
        <v>1335</v>
      </c>
      <c r="AB232" s="2">
        <v>28168</v>
      </c>
      <c r="AC232" s="2">
        <v>365</v>
      </c>
      <c r="AD232" s="2">
        <v>3</v>
      </c>
      <c r="AE232" s="2">
        <v>0.05</v>
      </c>
      <c r="AF232" s="2" t="str" cm="1">
        <f t="array" ref="AF232">_xlfn.IFS(AE232=0, "No Discount ", AE232&lt;=0.08,"Low Discount", AE232&lt;=0.16,"Medium Discount", AE232&gt;0.16, "High Discount")</f>
        <v>Low Discount</v>
      </c>
      <c r="AG232" s="2">
        <v>70443</v>
      </c>
      <c r="AH232" s="2">
        <v>59.99</v>
      </c>
      <c r="AI232" s="2">
        <v>0.48</v>
      </c>
      <c r="AJ232" s="2" t="str" cm="1">
        <f t="array" ref="AJ232">_xlfn.IFS(AI232&lt;=0, "No Profit", AI232&lt;=0.16,"Low Profit",AI232&lt;=0.32,"Medium Profit",AI232&gt;0.32,"High Profit")</f>
        <v>High Profit</v>
      </c>
      <c r="AK232" s="2">
        <v>1</v>
      </c>
      <c r="AL232" s="2">
        <v>59.99</v>
      </c>
      <c r="AM232" s="2">
        <v>56.99</v>
      </c>
      <c r="AN232" s="2">
        <v>27.36</v>
      </c>
      <c r="AO232" s="2" t="s">
        <v>118</v>
      </c>
      <c r="AP232" s="2" t="s">
        <v>119</v>
      </c>
      <c r="AQ232" s="2" t="s">
        <v>80</v>
      </c>
      <c r="AR232" s="2" t="s">
        <v>81</v>
      </c>
      <c r="AS232" s="2">
        <v>365</v>
      </c>
      <c r="AT232" s="2">
        <v>17</v>
      </c>
      <c r="AU232" s="2" t="s">
        <v>421</v>
      </c>
      <c r="AV232" s="2">
        <v>59.99</v>
      </c>
      <c r="AW232" s="2">
        <v>0</v>
      </c>
      <c r="AX232" s="2" t="s">
        <v>1336</v>
      </c>
      <c r="AY232" s="2" t="s">
        <v>83</v>
      </c>
      <c r="AZ232" s="4">
        <v>42416</v>
      </c>
      <c r="BA232" s="5">
        <v>0.17291666666666666</v>
      </c>
      <c r="BB232" s="2">
        <v>2016</v>
      </c>
      <c r="BC232" s="2" t="s">
        <v>423</v>
      </c>
      <c r="BD232" s="2">
        <v>16</v>
      </c>
      <c r="BE232" s="4">
        <v>42420</v>
      </c>
      <c r="BF232" s="5">
        <v>0.17291666666666666</v>
      </c>
      <c r="BG232" s="2" t="str" cm="1">
        <f t="array" ref="BG232">_xlfn.IFS(BF232&lt;TIMEVALUE("06:00"),"Night", BF232&gt;=TIMEVALUE("21:00"),"Night",BF232&gt;=TIMEVALUE("17:00"),"Evening",BF232&gt;=TIMEVALUE("12:00"),"Afternoon", BF232&gt;=TIMEVALUE("06:00"),"Morning")</f>
        <v>Night</v>
      </c>
      <c r="BH232" s="2">
        <v>2016</v>
      </c>
      <c r="BI232" s="2" t="s">
        <v>423</v>
      </c>
      <c r="BJ232" s="2">
        <v>20</v>
      </c>
    </row>
    <row r="233" spans="1:62" x14ac:dyDescent="0.3">
      <c r="A233" s="2" t="s">
        <v>62</v>
      </c>
      <c r="B233" s="2">
        <v>3</v>
      </c>
      <c r="C233" s="2">
        <v>4</v>
      </c>
      <c r="D233" s="2">
        <v>26.06</v>
      </c>
      <c r="E233" s="2">
        <v>123.49</v>
      </c>
      <c r="F233" s="2" t="s">
        <v>63</v>
      </c>
      <c r="G233" s="2" t="s">
        <v>64</v>
      </c>
      <c r="H233" s="2">
        <v>18</v>
      </c>
      <c r="I233" s="2" t="s">
        <v>863</v>
      </c>
      <c r="J233" s="2" t="s">
        <v>1337</v>
      </c>
      <c r="K233" s="2" t="s">
        <v>102</v>
      </c>
      <c r="L233" s="2" t="s">
        <v>414</v>
      </c>
      <c r="M233" s="2">
        <v>1169</v>
      </c>
      <c r="N233" s="2" t="s">
        <v>425</v>
      </c>
      <c r="O233" s="2" t="s">
        <v>124</v>
      </c>
      <c r="P233" s="2" t="s">
        <v>105</v>
      </c>
      <c r="Q233" s="2" t="s">
        <v>1338</v>
      </c>
      <c r="R233" s="2">
        <v>93030</v>
      </c>
      <c r="S233" s="2">
        <v>4</v>
      </c>
      <c r="T233" s="2" t="s">
        <v>417</v>
      </c>
      <c r="U233" s="2">
        <v>34.190391499999997</v>
      </c>
      <c r="V233" s="2">
        <v>-119.177803</v>
      </c>
      <c r="W233" s="2" t="s">
        <v>74</v>
      </c>
      <c r="X233" s="2" t="s">
        <v>1316</v>
      </c>
      <c r="Y233" s="2" t="s">
        <v>116</v>
      </c>
      <c r="Z233" s="2">
        <v>1169</v>
      </c>
      <c r="AA233" s="2" t="s">
        <v>1339</v>
      </c>
      <c r="AB233" s="2">
        <v>24992</v>
      </c>
      <c r="AC233" s="2">
        <v>403</v>
      </c>
      <c r="AD233" s="2">
        <v>6.5</v>
      </c>
      <c r="AE233" s="2">
        <v>0.05</v>
      </c>
      <c r="AF233" s="2" t="str" cm="1">
        <f t="array" ref="AF233">_xlfn.IFS(AE233=0, "No Discount ", AE233&lt;=0.08,"Low Discount", AE233&lt;=0.16,"Medium Discount", AE233&gt;0.16, "High Discount")</f>
        <v>Low Discount</v>
      </c>
      <c r="AG233" s="2">
        <v>62621</v>
      </c>
      <c r="AH233" s="2">
        <v>129.99</v>
      </c>
      <c r="AI233" s="2">
        <v>0.21</v>
      </c>
      <c r="AJ233" s="2" t="str" cm="1">
        <f t="array" ref="AJ233">_xlfn.IFS(AI233&lt;=0, "No Profit", AI233&lt;=0.16,"Low Profit",AI233&lt;=0.32,"Medium Profit",AI233&gt;0.32,"High Profit")</f>
        <v>Medium Profit</v>
      </c>
      <c r="AK233" s="2">
        <v>1</v>
      </c>
      <c r="AL233" s="2">
        <v>129.99</v>
      </c>
      <c r="AM233" s="2">
        <v>123.49</v>
      </c>
      <c r="AN233" s="2">
        <v>26.06</v>
      </c>
      <c r="AO233" s="2" t="s">
        <v>118</v>
      </c>
      <c r="AP233" s="2" t="s">
        <v>355</v>
      </c>
      <c r="AQ233" s="2" t="s">
        <v>80</v>
      </c>
      <c r="AR233" s="2" t="s">
        <v>81</v>
      </c>
      <c r="AS233" s="2">
        <v>403</v>
      </c>
      <c r="AT233" s="2">
        <v>18</v>
      </c>
      <c r="AU233" s="2" t="s">
        <v>869</v>
      </c>
      <c r="AV233" s="2">
        <v>129.99</v>
      </c>
      <c r="AW233" s="2">
        <v>0</v>
      </c>
      <c r="AX233" s="3">
        <v>42430.810416666667</v>
      </c>
      <c r="AY233" s="2" t="s">
        <v>83</v>
      </c>
      <c r="AZ233" s="4">
        <v>42369</v>
      </c>
      <c r="BA233" s="5">
        <v>0.81041666666666667</v>
      </c>
      <c r="BB233" s="2">
        <v>2015</v>
      </c>
      <c r="BC233" s="2" t="s">
        <v>357</v>
      </c>
      <c r="BD233" s="2">
        <v>31</v>
      </c>
      <c r="BE233" s="4">
        <v>42430</v>
      </c>
      <c r="BF233" s="5">
        <v>0.81041666666666667</v>
      </c>
      <c r="BG233" s="2" t="str" cm="1">
        <f t="array" ref="BG233">_xlfn.IFS(BF233&lt;TIMEVALUE("06:00"),"Night", BF233&gt;=TIMEVALUE("21:00"),"Night",BF233&gt;=TIMEVALUE("17:00"),"Evening",BF233&gt;=TIMEVALUE("12:00"),"Afternoon", BF233&gt;=TIMEVALUE("06:00"),"Morning")</f>
        <v>Evening</v>
      </c>
      <c r="BH233" s="2">
        <v>2016</v>
      </c>
      <c r="BI233" s="2" t="s">
        <v>85</v>
      </c>
      <c r="BJ233" s="2">
        <v>1</v>
      </c>
    </row>
    <row r="234" spans="1:62" x14ac:dyDescent="0.3">
      <c r="A234" s="2" t="s">
        <v>62</v>
      </c>
      <c r="B234" s="2">
        <v>2</v>
      </c>
      <c r="C234" s="2">
        <v>4</v>
      </c>
      <c r="D234" s="2">
        <v>32.479999999999997</v>
      </c>
      <c r="E234" s="2">
        <v>123.49</v>
      </c>
      <c r="F234" s="2" t="s">
        <v>63</v>
      </c>
      <c r="G234" s="2" t="s">
        <v>64</v>
      </c>
      <c r="H234" s="2">
        <v>18</v>
      </c>
      <c r="I234" s="2" t="s">
        <v>863</v>
      </c>
      <c r="J234" s="2" t="s">
        <v>149</v>
      </c>
      <c r="K234" s="2" t="s">
        <v>102</v>
      </c>
      <c r="L234" s="2" t="s">
        <v>414</v>
      </c>
      <c r="M234" s="2">
        <v>1182</v>
      </c>
      <c r="N234" s="2" t="s">
        <v>425</v>
      </c>
      <c r="O234" s="2" t="s">
        <v>124</v>
      </c>
      <c r="P234" s="2" t="s">
        <v>152</v>
      </c>
      <c r="Q234" s="2" t="s">
        <v>1340</v>
      </c>
      <c r="R234" s="2">
        <v>33147</v>
      </c>
      <c r="S234" s="2">
        <v>4</v>
      </c>
      <c r="T234" s="2" t="s">
        <v>417</v>
      </c>
      <c r="U234" s="2">
        <v>25.825075200000001</v>
      </c>
      <c r="V234" s="2">
        <v>-80.195884699999993</v>
      </c>
      <c r="W234" s="2" t="s">
        <v>74</v>
      </c>
      <c r="X234" s="2" t="s">
        <v>1341</v>
      </c>
      <c r="Y234" s="2" t="s">
        <v>1342</v>
      </c>
      <c r="Z234" s="2">
        <v>1182</v>
      </c>
      <c r="AA234" s="2" t="s">
        <v>1343</v>
      </c>
      <c r="AB234" s="2">
        <v>30851</v>
      </c>
      <c r="AC234" s="2">
        <v>403</v>
      </c>
      <c r="AD234" s="2">
        <v>6.5</v>
      </c>
      <c r="AE234" s="2">
        <v>0.05</v>
      </c>
      <c r="AF234" s="2" t="str" cm="1">
        <f t="array" ref="AF234">_xlfn.IFS(AE234=0, "No Discount ", AE234&lt;=0.08,"Low Discount", AE234&lt;=0.16,"Medium Discount", AE234&gt;0.16, "High Discount")</f>
        <v>Low Discount</v>
      </c>
      <c r="AG234" s="2">
        <v>77102</v>
      </c>
      <c r="AH234" s="2">
        <v>129.99</v>
      </c>
      <c r="AI234" s="2">
        <v>0.26</v>
      </c>
      <c r="AJ234" s="2" t="str" cm="1">
        <f t="array" ref="AJ234">_xlfn.IFS(AI234&lt;=0, "No Profit", AI234&lt;=0.16,"Low Profit",AI234&lt;=0.32,"Medium Profit",AI234&gt;0.32,"High Profit")</f>
        <v>Medium Profit</v>
      </c>
      <c r="AK234" s="2">
        <v>1</v>
      </c>
      <c r="AL234" s="2">
        <v>129.99</v>
      </c>
      <c r="AM234" s="2">
        <v>123.49</v>
      </c>
      <c r="AN234" s="2">
        <v>32.479999999999997</v>
      </c>
      <c r="AO234" s="2" t="s">
        <v>118</v>
      </c>
      <c r="AP234" s="2" t="s">
        <v>1344</v>
      </c>
      <c r="AQ234" s="2" t="s">
        <v>80</v>
      </c>
      <c r="AR234" s="2" t="s">
        <v>81</v>
      </c>
      <c r="AS234" s="2">
        <v>403</v>
      </c>
      <c r="AT234" s="2">
        <v>18</v>
      </c>
      <c r="AU234" s="2" t="s">
        <v>869</v>
      </c>
      <c r="AV234" s="2">
        <v>129.99</v>
      </c>
      <c r="AW234" s="2">
        <v>0</v>
      </c>
      <c r="AX234" s="2" t="s">
        <v>1345</v>
      </c>
      <c r="AY234" s="2" t="s">
        <v>83</v>
      </c>
      <c r="AZ234" s="4">
        <v>42455</v>
      </c>
      <c r="BA234" s="5">
        <v>0.33819444444444446</v>
      </c>
      <c r="BB234" s="2">
        <v>2016</v>
      </c>
      <c r="BC234" s="2" t="s">
        <v>85</v>
      </c>
      <c r="BD234" s="2">
        <v>26</v>
      </c>
      <c r="BE234" s="4">
        <v>42457</v>
      </c>
      <c r="BF234" s="5">
        <v>0.33819444444444446</v>
      </c>
      <c r="BG234" s="2" t="str" cm="1">
        <f t="array" ref="BG234">_xlfn.IFS(BF234&lt;TIMEVALUE("06:00"),"Night", BF234&gt;=TIMEVALUE("21:00"),"Night",BF234&gt;=TIMEVALUE("17:00"),"Evening",BF234&gt;=TIMEVALUE("12:00"),"Afternoon", BF234&gt;=TIMEVALUE("06:00"),"Morning")</f>
        <v>Morning</v>
      </c>
      <c r="BH234" s="2">
        <v>2016</v>
      </c>
      <c r="BI234" s="2" t="s">
        <v>85</v>
      </c>
      <c r="BJ234" s="2">
        <v>28</v>
      </c>
    </row>
    <row r="235" spans="1:62" x14ac:dyDescent="0.3">
      <c r="A235" s="2" t="s">
        <v>62</v>
      </c>
      <c r="B235" s="2">
        <v>5</v>
      </c>
      <c r="C235" s="2">
        <v>4</v>
      </c>
      <c r="D235" s="2">
        <v>35.81</v>
      </c>
      <c r="E235" s="2">
        <v>123.49</v>
      </c>
      <c r="F235" s="2" t="s">
        <v>87</v>
      </c>
      <c r="G235" s="2" t="s">
        <v>88</v>
      </c>
      <c r="H235" s="2">
        <v>18</v>
      </c>
      <c r="I235" s="2" t="s">
        <v>863</v>
      </c>
      <c r="J235" s="2" t="s">
        <v>1346</v>
      </c>
      <c r="K235" s="2" t="s">
        <v>102</v>
      </c>
      <c r="L235" s="2" t="s">
        <v>414</v>
      </c>
      <c r="M235" s="2">
        <v>717</v>
      </c>
      <c r="N235" s="2" t="s">
        <v>1347</v>
      </c>
      <c r="O235" s="2" t="s">
        <v>124</v>
      </c>
      <c r="P235" s="2" t="s">
        <v>1348</v>
      </c>
      <c r="Q235" s="2" t="s">
        <v>1349</v>
      </c>
      <c r="R235" s="2">
        <v>87111</v>
      </c>
      <c r="S235" s="2">
        <v>4</v>
      </c>
      <c r="T235" s="2" t="s">
        <v>417</v>
      </c>
      <c r="U235" s="2">
        <v>35.131439200000003</v>
      </c>
      <c r="V235" s="2">
        <v>-106.5452042</v>
      </c>
      <c r="W235" s="2" t="s">
        <v>74</v>
      </c>
      <c r="X235" s="2" t="s">
        <v>1350</v>
      </c>
      <c r="Y235" s="2" t="s">
        <v>116</v>
      </c>
      <c r="Z235" s="2">
        <v>717</v>
      </c>
      <c r="AA235" s="3">
        <v>42401.007638888892</v>
      </c>
      <c r="AB235" s="2">
        <v>25074</v>
      </c>
      <c r="AC235" s="2">
        <v>403</v>
      </c>
      <c r="AD235" s="2">
        <v>6.5</v>
      </c>
      <c r="AE235" s="2">
        <v>0.05</v>
      </c>
      <c r="AF235" s="2" t="str" cm="1">
        <f t="array" ref="AF235">_xlfn.IFS(AE235=0, "No Discount ", AE235&lt;=0.08,"Low Discount", AE235&lt;=0.16,"Medium Discount", AE235&gt;0.16, "High Discount")</f>
        <v>Low Discount</v>
      </c>
      <c r="AG235" s="2">
        <v>62834</v>
      </c>
      <c r="AH235" s="2">
        <v>129.99</v>
      </c>
      <c r="AI235" s="2">
        <v>0.28999999999999998</v>
      </c>
      <c r="AJ235" s="2" t="str" cm="1">
        <f t="array" ref="AJ235">_xlfn.IFS(AI235&lt;=0, "No Profit", AI235&lt;=0.16,"Low Profit",AI235&lt;=0.32,"Medium Profit",AI235&gt;0.32,"High Profit")</f>
        <v>Medium Profit</v>
      </c>
      <c r="AK235" s="2">
        <v>1</v>
      </c>
      <c r="AL235" s="2">
        <v>129.99</v>
      </c>
      <c r="AM235" s="2">
        <v>123.49</v>
      </c>
      <c r="AN235" s="2">
        <v>35.81</v>
      </c>
      <c r="AO235" s="2" t="s">
        <v>118</v>
      </c>
      <c r="AP235" s="2" t="s">
        <v>255</v>
      </c>
      <c r="AQ235" s="2" t="s">
        <v>80</v>
      </c>
      <c r="AR235" s="2" t="s">
        <v>81</v>
      </c>
      <c r="AS235" s="2">
        <v>403</v>
      </c>
      <c r="AT235" s="2">
        <v>18</v>
      </c>
      <c r="AU235" s="2" t="s">
        <v>869</v>
      </c>
      <c r="AV235" s="2">
        <v>129.99</v>
      </c>
      <c r="AW235" s="2">
        <v>0</v>
      </c>
      <c r="AX235" s="3">
        <v>42552.007638888892</v>
      </c>
      <c r="AY235" s="2" t="s">
        <v>83</v>
      </c>
      <c r="AZ235" s="4">
        <v>42401</v>
      </c>
      <c r="BA235" s="5">
        <v>7.6388888888888886E-3</v>
      </c>
      <c r="BB235" s="2">
        <v>2016</v>
      </c>
      <c r="BC235" s="2" t="s">
        <v>423</v>
      </c>
      <c r="BD235" s="2">
        <v>1</v>
      </c>
      <c r="BE235" s="4">
        <v>42552</v>
      </c>
      <c r="BF235" s="5">
        <v>7.6388888888888886E-3</v>
      </c>
      <c r="BG235" s="2" t="str" cm="1">
        <f t="array" ref="BG235">_xlfn.IFS(BF235&lt;TIMEVALUE("06:00"),"Night", BF235&gt;=TIMEVALUE("21:00"),"Night",BF235&gt;=TIMEVALUE("17:00"),"Evening",BF235&gt;=TIMEVALUE("12:00"),"Afternoon", BF235&gt;=TIMEVALUE("06:00"),"Morning")</f>
        <v>Night</v>
      </c>
      <c r="BH235" s="2">
        <v>2016</v>
      </c>
      <c r="BI235" s="2" t="s">
        <v>533</v>
      </c>
      <c r="BJ235" s="2">
        <v>1</v>
      </c>
    </row>
    <row r="236" spans="1:62" x14ac:dyDescent="0.3">
      <c r="A236" s="2" t="s">
        <v>62</v>
      </c>
      <c r="B236" s="2">
        <v>6</v>
      </c>
      <c r="C236" s="2">
        <v>4</v>
      </c>
      <c r="D236" s="2">
        <v>102.51</v>
      </c>
      <c r="E236" s="2">
        <v>205.03</v>
      </c>
      <c r="F236" s="2" t="s">
        <v>87</v>
      </c>
      <c r="G236" s="2" t="s">
        <v>88</v>
      </c>
      <c r="H236" s="2">
        <v>76</v>
      </c>
      <c r="I236" s="2" t="s">
        <v>1351</v>
      </c>
      <c r="J236" s="2" t="s">
        <v>1352</v>
      </c>
      <c r="K236" s="2" t="s">
        <v>102</v>
      </c>
      <c r="L236" s="2" t="s">
        <v>331</v>
      </c>
      <c r="M236" s="2">
        <v>20423</v>
      </c>
      <c r="N236" s="2" t="s">
        <v>1353</v>
      </c>
      <c r="O236" s="2" t="s">
        <v>124</v>
      </c>
      <c r="P236" s="2" t="s">
        <v>333</v>
      </c>
      <c r="Q236" s="2" t="s">
        <v>1354</v>
      </c>
      <c r="R236" s="2">
        <v>79109</v>
      </c>
      <c r="S236" s="2">
        <v>4</v>
      </c>
      <c r="T236" s="2" t="s">
        <v>417</v>
      </c>
      <c r="U236" s="2">
        <v>35.187542000000001</v>
      </c>
      <c r="V236" s="2">
        <v>-101.8676224</v>
      </c>
      <c r="W236" s="2" t="s">
        <v>74</v>
      </c>
      <c r="X236" s="2" t="s">
        <v>267</v>
      </c>
      <c r="Y236" s="2" t="s">
        <v>116</v>
      </c>
      <c r="Z236" s="2">
        <v>20423</v>
      </c>
      <c r="AA236" s="2" t="s">
        <v>1355</v>
      </c>
      <c r="AB236" s="2">
        <v>76870</v>
      </c>
      <c r="AC236" s="2">
        <v>1363</v>
      </c>
      <c r="AD236" s="2">
        <v>10.79</v>
      </c>
      <c r="AE236" s="2">
        <v>0.05</v>
      </c>
      <c r="AF236" s="2" t="str" cm="1">
        <f t="array" ref="AF236">_xlfn.IFS(AE236=0, "No Discount ", AE236&lt;=0.08,"Low Discount", AE236&lt;=0.16,"Medium Discount", AE236&gt;0.16, "High Discount")</f>
        <v>Low Discount</v>
      </c>
      <c r="AG236" s="2">
        <v>180185</v>
      </c>
      <c r="AH236" s="2">
        <v>215.82</v>
      </c>
      <c r="AI236" s="2">
        <v>0.5</v>
      </c>
      <c r="AJ236" s="2" t="str" cm="1">
        <f t="array" ref="AJ236">_xlfn.IFS(AI236&lt;=0, "No Profit", AI236&lt;=0.16,"Low Profit",AI236&lt;=0.32,"Medium Profit",AI236&gt;0.32,"High Profit")</f>
        <v>High Profit</v>
      </c>
      <c r="AK236" s="2">
        <v>1</v>
      </c>
      <c r="AL236" s="2">
        <v>215.82</v>
      </c>
      <c r="AM236" s="2">
        <v>205.03</v>
      </c>
      <c r="AN236" s="2">
        <v>102.51</v>
      </c>
      <c r="AO236" s="2" t="s">
        <v>118</v>
      </c>
      <c r="AP236" s="2" t="s">
        <v>119</v>
      </c>
      <c r="AQ236" s="2" t="s">
        <v>80</v>
      </c>
      <c r="AR236" s="2" t="s">
        <v>81</v>
      </c>
      <c r="AS236" s="2">
        <v>1363</v>
      </c>
      <c r="AT236" s="2">
        <v>76</v>
      </c>
      <c r="AU236" s="2" t="s">
        <v>1356</v>
      </c>
      <c r="AV236" s="2">
        <v>215.82</v>
      </c>
      <c r="AW236" s="2">
        <v>0</v>
      </c>
      <c r="AX236" s="3">
        <v>43133.109722222223</v>
      </c>
      <c r="AY236" s="2" t="s">
        <v>83</v>
      </c>
      <c r="AZ236" s="4">
        <v>43127</v>
      </c>
      <c r="BA236" s="5">
        <v>0.10972222222222222</v>
      </c>
      <c r="BB236" s="2">
        <v>2018</v>
      </c>
      <c r="BC236" s="2" t="s">
        <v>84</v>
      </c>
      <c r="BD236" s="2">
        <v>27</v>
      </c>
      <c r="BE236" s="4">
        <v>43133</v>
      </c>
      <c r="BF236" s="5">
        <v>0.10972222222222222</v>
      </c>
      <c r="BG236" s="2" t="str" cm="1">
        <f t="array" ref="BG236">_xlfn.IFS(BF236&lt;TIMEVALUE("06:00"),"Night", BF236&gt;=TIMEVALUE("21:00"),"Night",BF236&gt;=TIMEVALUE("17:00"),"Evening",BF236&gt;=TIMEVALUE("12:00"),"Afternoon", BF236&gt;=TIMEVALUE("06:00"),"Morning")</f>
        <v>Night</v>
      </c>
      <c r="BH236" s="2">
        <v>2018</v>
      </c>
      <c r="BI236" s="2" t="s">
        <v>423</v>
      </c>
      <c r="BJ236" s="2">
        <v>2</v>
      </c>
    </row>
    <row r="237" spans="1:62" x14ac:dyDescent="0.3">
      <c r="A237" s="2" t="s">
        <v>62</v>
      </c>
      <c r="B237" s="2">
        <v>4</v>
      </c>
      <c r="C237" s="2">
        <v>4</v>
      </c>
      <c r="D237" s="2">
        <v>15.44</v>
      </c>
      <c r="E237" s="2">
        <v>123.49</v>
      </c>
      <c r="F237" s="2" t="s">
        <v>100</v>
      </c>
      <c r="G237" s="2" t="s">
        <v>64</v>
      </c>
      <c r="H237" s="2">
        <v>18</v>
      </c>
      <c r="I237" s="2" t="s">
        <v>863</v>
      </c>
      <c r="J237" s="2" t="s">
        <v>1357</v>
      </c>
      <c r="K237" s="2" t="s">
        <v>102</v>
      </c>
      <c r="L237" s="2" t="s">
        <v>1358</v>
      </c>
      <c r="M237" s="2">
        <v>5801</v>
      </c>
      <c r="N237" s="2" t="s">
        <v>1359</v>
      </c>
      <c r="O237" s="2" t="s">
        <v>124</v>
      </c>
      <c r="P237" s="2" t="s">
        <v>152</v>
      </c>
      <c r="Q237" s="2" t="s">
        <v>1360</v>
      </c>
      <c r="R237" s="2">
        <v>33549</v>
      </c>
      <c r="S237" s="2">
        <v>4</v>
      </c>
      <c r="T237" s="2" t="s">
        <v>417</v>
      </c>
      <c r="U237" s="2">
        <v>28.086812999999999</v>
      </c>
      <c r="V237" s="2">
        <v>-82.438987699999998</v>
      </c>
      <c r="W237" s="2" t="s">
        <v>74</v>
      </c>
      <c r="X237" s="2" t="s">
        <v>1361</v>
      </c>
      <c r="Y237" s="2" t="s">
        <v>1362</v>
      </c>
      <c r="Z237" s="2">
        <v>5801</v>
      </c>
      <c r="AA237" s="3">
        <v>42430.306944444441</v>
      </c>
      <c r="AB237" s="2">
        <v>25163</v>
      </c>
      <c r="AC237" s="2">
        <v>403</v>
      </c>
      <c r="AD237" s="2">
        <v>6.5</v>
      </c>
      <c r="AE237" s="2">
        <v>0.05</v>
      </c>
      <c r="AF237" s="2" t="str" cm="1">
        <f t="array" ref="AF237">_xlfn.IFS(AE237=0, "No Discount ", AE237&lt;=0.08,"Low Discount", AE237&lt;=0.16,"Medium Discount", AE237&gt;0.16, "High Discount")</f>
        <v>Low Discount</v>
      </c>
      <c r="AG237" s="2">
        <v>63064</v>
      </c>
      <c r="AH237" s="2">
        <v>129.99</v>
      </c>
      <c r="AI237" s="2">
        <v>0.13</v>
      </c>
      <c r="AJ237" s="2" t="str" cm="1">
        <f t="array" ref="AJ237">_xlfn.IFS(AI237&lt;=0, "No Profit", AI237&lt;=0.16,"Low Profit",AI237&lt;=0.32,"Medium Profit",AI237&gt;0.32,"High Profit")</f>
        <v>Low Profit</v>
      </c>
      <c r="AK237" s="2">
        <v>1</v>
      </c>
      <c r="AL237" s="2">
        <v>129.99</v>
      </c>
      <c r="AM237" s="2">
        <v>123.49</v>
      </c>
      <c r="AN237" s="2">
        <v>15.44</v>
      </c>
      <c r="AO237" s="2" t="s">
        <v>95</v>
      </c>
      <c r="AP237" s="2" t="s">
        <v>1361</v>
      </c>
      <c r="AQ237" s="2" t="s">
        <v>80</v>
      </c>
      <c r="AR237" s="2" t="s">
        <v>81</v>
      </c>
      <c r="AS237" s="2">
        <v>403</v>
      </c>
      <c r="AT237" s="2">
        <v>18</v>
      </c>
      <c r="AU237" s="2" t="s">
        <v>869</v>
      </c>
      <c r="AV237" s="2">
        <v>129.99</v>
      </c>
      <c r="AW237" s="2">
        <v>0</v>
      </c>
      <c r="AX237" s="3">
        <v>42552.306944444441</v>
      </c>
      <c r="AY237" s="2" t="s">
        <v>83</v>
      </c>
      <c r="AZ237" s="4">
        <v>42430</v>
      </c>
      <c r="BA237" s="5">
        <v>0.30694444444444446</v>
      </c>
      <c r="BB237" s="2">
        <v>2016</v>
      </c>
      <c r="BC237" s="2" t="s">
        <v>85</v>
      </c>
      <c r="BD237" s="2">
        <v>1</v>
      </c>
      <c r="BE237" s="4">
        <v>42552</v>
      </c>
      <c r="BF237" s="5">
        <v>0.30694444444444446</v>
      </c>
      <c r="BG237" s="2" t="str" cm="1">
        <f t="array" ref="BG237">_xlfn.IFS(BF237&lt;TIMEVALUE("06:00"),"Night", BF237&gt;=TIMEVALUE("21:00"),"Night",BF237&gt;=TIMEVALUE("17:00"),"Evening",BF237&gt;=TIMEVALUE("12:00"),"Afternoon", BF237&gt;=TIMEVALUE("06:00"),"Morning")</f>
        <v>Morning</v>
      </c>
      <c r="BH237" s="2">
        <v>2016</v>
      </c>
      <c r="BI237" s="2" t="s">
        <v>533</v>
      </c>
      <c r="BJ237" s="2">
        <v>1</v>
      </c>
    </row>
    <row r="238" spans="1:62" x14ac:dyDescent="0.3">
      <c r="A238" s="2" t="s">
        <v>62</v>
      </c>
      <c r="B238" s="2">
        <v>2</v>
      </c>
      <c r="C238" s="2">
        <v>4</v>
      </c>
      <c r="D238" s="2">
        <v>4.57</v>
      </c>
      <c r="E238" s="2">
        <v>123.49</v>
      </c>
      <c r="F238" s="2" t="s">
        <v>63</v>
      </c>
      <c r="G238" s="2" t="s">
        <v>64</v>
      </c>
      <c r="H238" s="2">
        <v>18</v>
      </c>
      <c r="I238" s="2" t="s">
        <v>863</v>
      </c>
      <c r="J238" s="2" t="s">
        <v>1363</v>
      </c>
      <c r="K238" s="2" t="s">
        <v>102</v>
      </c>
      <c r="L238" s="2" t="s">
        <v>1364</v>
      </c>
      <c r="M238" s="2">
        <v>702</v>
      </c>
      <c r="N238" s="2" t="s">
        <v>425</v>
      </c>
      <c r="O238" s="2" t="s">
        <v>124</v>
      </c>
      <c r="P238" s="2" t="s">
        <v>1365</v>
      </c>
      <c r="Q238" s="2" t="s">
        <v>1366</v>
      </c>
      <c r="R238" s="2">
        <v>97701</v>
      </c>
      <c r="S238" s="2">
        <v>4</v>
      </c>
      <c r="T238" s="2" t="s">
        <v>417</v>
      </c>
      <c r="U238" s="2">
        <v>44.072105399999998</v>
      </c>
      <c r="V238" s="2">
        <v>-12.132327099999999</v>
      </c>
      <c r="W238" s="2" t="s">
        <v>74</v>
      </c>
      <c r="X238" s="2" t="s">
        <v>1367</v>
      </c>
      <c r="Y238" s="2" t="s">
        <v>93</v>
      </c>
      <c r="Z238" s="2">
        <v>702</v>
      </c>
      <c r="AA238" s="2" t="s">
        <v>1368</v>
      </c>
      <c r="AB238" s="2">
        <v>28036</v>
      </c>
      <c r="AC238" s="2">
        <v>403</v>
      </c>
      <c r="AD238" s="2">
        <v>6.5</v>
      </c>
      <c r="AE238" s="2">
        <v>0.05</v>
      </c>
      <c r="AF238" s="2" t="str" cm="1">
        <f t="array" ref="AF238">_xlfn.IFS(AE238=0, "No Discount ", AE238&lt;=0.08,"Low Discount", AE238&lt;=0.16,"Medium Discount", AE238&gt;0.16, "High Discount")</f>
        <v>Low Discount</v>
      </c>
      <c r="AG238" s="2">
        <v>70143</v>
      </c>
      <c r="AH238" s="2">
        <v>129.99</v>
      </c>
      <c r="AI238" s="2">
        <v>0.04</v>
      </c>
      <c r="AJ238" s="2" t="str" cm="1">
        <f t="array" ref="AJ238">_xlfn.IFS(AI238&lt;=0, "No Profit", AI238&lt;=0.16,"Low Profit",AI238&lt;=0.32,"Medium Profit",AI238&gt;0.32,"High Profit")</f>
        <v>Low Profit</v>
      </c>
      <c r="AK238" s="2">
        <v>1</v>
      </c>
      <c r="AL238" s="2">
        <v>129.99</v>
      </c>
      <c r="AM238" s="2">
        <v>123.49</v>
      </c>
      <c r="AN238" s="2">
        <v>4.57</v>
      </c>
      <c r="AO238" s="2" t="s">
        <v>95</v>
      </c>
      <c r="AP238" s="2" t="s">
        <v>420</v>
      </c>
      <c r="AQ238" s="2" t="s">
        <v>80</v>
      </c>
      <c r="AR238" s="2" t="s">
        <v>81</v>
      </c>
      <c r="AS238" s="2">
        <v>403</v>
      </c>
      <c r="AT238" s="2">
        <v>18</v>
      </c>
      <c r="AU238" s="2" t="s">
        <v>869</v>
      </c>
      <c r="AV238" s="2">
        <v>129.99</v>
      </c>
      <c r="AW238" s="2">
        <v>0</v>
      </c>
      <c r="AX238" s="2" t="s">
        <v>1369</v>
      </c>
      <c r="AY238" s="2" t="s">
        <v>83</v>
      </c>
      <c r="AZ238" s="4">
        <v>42414</v>
      </c>
      <c r="BA238" s="5">
        <v>0.24583333333333332</v>
      </c>
      <c r="BB238" s="2">
        <v>2016</v>
      </c>
      <c r="BC238" s="2" t="s">
        <v>423</v>
      </c>
      <c r="BD238" s="2">
        <v>14</v>
      </c>
      <c r="BE238" s="4">
        <v>42416</v>
      </c>
      <c r="BF238" s="5">
        <v>0.24583333333333332</v>
      </c>
      <c r="BG238" s="2" t="str" cm="1">
        <f t="array" ref="BG238">_xlfn.IFS(BF238&lt;TIMEVALUE("06:00"),"Night", BF238&gt;=TIMEVALUE("21:00"),"Night",BF238&gt;=TIMEVALUE("17:00"),"Evening",BF238&gt;=TIMEVALUE("12:00"),"Afternoon", BF238&gt;=TIMEVALUE("06:00"),"Morning")</f>
        <v>Night</v>
      </c>
      <c r="BH238" s="2">
        <v>2016</v>
      </c>
      <c r="BI238" s="2" t="s">
        <v>423</v>
      </c>
      <c r="BJ238" s="2">
        <v>16</v>
      </c>
    </row>
    <row r="239" spans="1:62" x14ac:dyDescent="0.3">
      <c r="A239" s="2" t="s">
        <v>62</v>
      </c>
      <c r="B239" s="2">
        <v>5</v>
      </c>
      <c r="C239" s="2">
        <v>4</v>
      </c>
      <c r="D239" s="2">
        <v>61.75</v>
      </c>
      <c r="E239" s="2">
        <v>123.49</v>
      </c>
      <c r="F239" s="2" t="s">
        <v>87</v>
      </c>
      <c r="G239" s="2" t="s">
        <v>88</v>
      </c>
      <c r="H239" s="2">
        <v>18</v>
      </c>
      <c r="I239" s="2" t="s">
        <v>863</v>
      </c>
      <c r="J239" s="2" t="s">
        <v>1370</v>
      </c>
      <c r="K239" s="2" t="s">
        <v>102</v>
      </c>
      <c r="L239" s="2" t="s">
        <v>414</v>
      </c>
      <c r="M239" s="2">
        <v>6951</v>
      </c>
      <c r="N239" s="2" t="s">
        <v>1162</v>
      </c>
      <c r="O239" s="2" t="s">
        <v>124</v>
      </c>
      <c r="P239" s="2" t="s">
        <v>1163</v>
      </c>
      <c r="Q239" s="2" t="s">
        <v>1371</v>
      </c>
      <c r="R239" s="2">
        <v>8816</v>
      </c>
      <c r="S239" s="2">
        <v>4</v>
      </c>
      <c r="T239" s="2" t="s">
        <v>417</v>
      </c>
      <c r="U239" s="2">
        <v>40.412551899999997</v>
      </c>
      <c r="V239" s="2">
        <v>-74.418327300000001</v>
      </c>
      <c r="W239" s="2" t="s">
        <v>74</v>
      </c>
      <c r="X239" s="2" t="s">
        <v>1372</v>
      </c>
      <c r="Y239" s="2" t="s">
        <v>1373</v>
      </c>
      <c r="Z239" s="2">
        <v>6951</v>
      </c>
      <c r="AA239" s="2" t="s">
        <v>1374</v>
      </c>
      <c r="AB239" s="2">
        <v>22679</v>
      </c>
      <c r="AC239" s="2">
        <v>403</v>
      </c>
      <c r="AD239" s="2">
        <v>6.5</v>
      </c>
      <c r="AE239" s="2">
        <v>0.05</v>
      </c>
      <c r="AF239" s="2" t="str" cm="1">
        <f t="array" ref="AF239">_xlfn.IFS(AE239=0, "No Discount ", AE239&lt;=0.08,"Low Discount", AE239&lt;=0.16,"Medium Discount", AE239&gt;0.16, "High Discount")</f>
        <v>Low Discount</v>
      </c>
      <c r="AG239" s="2">
        <v>56759</v>
      </c>
      <c r="AH239" s="2">
        <v>129.99</v>
      </c>
      <c r="AI239" s="2">
        <v>0.5</v>
      </c>
      <c r="AJ239" s="2" t="str" cm="1">
        <f t="array" ref="AJ239">_xlfn.IFS(AI239&lt;=0, "No Profit", AI239&lt;=0.16,"Low Profit",AI239&lt;=0.32,"Medium Profit",AI239&gt;0.32,"High Profit")</f>
        <v>High Profit</v>
      </c>
      <c r="AK239" s="2">
        <v>1</v>
      </c>
      <c r="AL239" s="2">
        <v>129.99</v>
      </c>
      <c r="AM239" s="2">
        <v>123.49</v>
      </c>
      <c r="AN239" s="2">
        <v>61.75</v>
      </c>
      <c r="AO239" s="2" t="s">
        <v>78</v>
      </c>
      <c r="AP239" s="2" t="s">
        <v>1372</v>
      </c>
      <c r="AQ239" s="2" t="s">
        <v>80</v>
      </c>
      <c r="AR239" s="2" t="s">
        <v>81</v>
      </c>
      <c r="AS239" s="2">
        <v>403</v>
      </c>
      <c r="AT239" s="2">
        <v>18</v>
      </c>
      <c r="AU239" s="2" t="s">
        <v>869</v>
      </c>
      <c r="AV239" s="2">
        <v>129.99</v>
      </c>
      <c r="AW239" s="2">
        <v>0</v>
      </c>
      <c r="AX239" s="3">
        <v>42075.04583333333</v>
      </c>
      <c r="AY239" s="2" t="s">
        <v>83</v>
      </c>
      <c r="AZ239" s="4">
        <v>42336</v>
      </c>
      <c r="BA239" s="5">
        <v>4.583333333333333E-2</v>
      </c>
      <c r="BB239" s="2">
        <v>2015</v>
      </c>
      <c r="BC239" s="2" t="s">
        <v>455</v>
      </c>
      <c r="BD239" s="2">
        <v>28</v>
      </c>
      <c r="BE239" s="4">
        <v>42075</v>
      </c>
      <c r="BF239" s="5">
        <v>4.583333333333333E-2</v>
      </c>
      <c r="BG239" s="2" t="str" cm="1">
        <f t="array" ref="BG239">_xlfn.IFS(BF239&lt;TIMEVALUE("06:00"),"Night", BF239&gt;=TIMEVALUE("21:00"),"Night",BF239&gt;=TIMEVALUE("17:00"),"Evening",BF239&gt;=TIMEVALUE("12:00"),"Afternoon", BF239&gt;=TIMEVALUE("06:00"),"Morning")</f>
        <v>Night</v>
      </c>
      <c r="BH239" s="2">
        <v>2015</v>
      </c>
      <c r="BI239" s="2" t="s">
        <v>85</v>
      </c>
      <c r="BJ239" s="2">
        <v>12</v>
      </c>
    </row>
    <row r="240" spans="1:62" x14ac:dyDescent="0.3">
      <c r="A240" s="2" t="s">
        <v>62</v>
      </c>
      <c r="B240" s="2">
        <v>6</v>
      </c>
      <c r="C240" s="2">
        <v>4</v>
      </c>
      <c r="D240" s="2">
        <v>38.65</v>
      </c>
      <c r="E240" s="2">
        <v>123.49</v>
      </c>
      <c r="F240" s="2" t="s">
        <v>87</v>
      </c>
      <c r="G240" s="2" t="s">
        <v>88</v>
      </c>
      <c r="H240" s="2">
        <v>18</v>
      </c>
      <c r="I240" s="2" t="s">
        <v>863</v>
      </c>
      <c r="J240" s="2" t="s">
        <v>206</v>
      </c>
      <c r="K240" s="2" t="s">
        <v>102</v>
      </c>
      <c r="L240" s="2" t="s">
        <v>1375</v>
      </c>
      <c r="M240" s="2">
        <v>6780</v>
      </c>
      <c r="N240" s="2" t="s">
        <v>1376</v>
      </c>
      <c r="O240" s="2" t="s">
        <v>124</v>
      </c>
      <c r="P240" s="2" t="s">
        <v>1377</v>
      </c>
      <c r="Q240" s="2" t="s">
        <v>1378</v>
      </c>
      <c r="R240" s="2">
        <v>29720</v>
      </c>
      <c r="S240" s="2">
        <v>4</v>
      </c>
      <c r="T240" s="2" t="s">
        <v>417</v>
      </c>
      <c r="U240" s="2">
        <v>34.857772799999999</v>
      </c>
      <c r="V240" s="2">
        <v>-80.844238300000001</v>
      </c>
      <c r="W240" s="2" t="s">
        <v>74</v>
      </c>
      <c r="X240" s="2" t="s">
        <v>1372</v>
      </c>
      <c r="Y240" s="2" t="s">
        <v>1373</v>
      </c>
      <c r="Z240" s="2">
        <v>6780</v>
      </c>
      <c r="AA240" s="3">
        <v>42320.636805555558</v>
      </c>
      <c r="AB240" s="2">
        <v>23610</v>
      </c>
      <c r="AC240" s="2">
        <v>403</v>
      </c>
      <c r="AD240" s="2">
        <v>6.5</v>
      </c>
      <c r="AE240" s="2">
        <v>0.05</v>
      </c>
      <c r="AF240" s="2" t="str" cm="1">
        <f t="array" ref="AF240">_xlfn.IFS(AE240=0, "No Discount ", AE240&lt;=0.08,"Low Discount", AE240&lt;=0.16,"Medium Discount", AE240&gt;0.16, "High Discount")</f>
        <v>Low Discount</v>
      </c>
      <c r="AG240" s="2">
        <v>59059</v>
      </c>
      <c r="AH240" s="2">
        <v>129.99</v>
      </c>
      <c r="AI240" s="2">
        <v>0.31</v>
      </c>
      <c r="AJ240" s="2" t="str" cm="1">
        <f t="array" ref="AJ240">_xlfn.IFS(AI240&lt;=0, "No Profit", AI240&lt;=0.16,"Low Profit",AI240&lt;=0.32,"Medium Profit",AI240&gt;0.32,"High Profit")</f>
        <v>Medium Profit</v>
      </c>
      <c r="AK240" s="2">
        <v>1</v>
      </c>
      <c r="AL240" s="2">
        <v>129.99</v>
      </c>
      <c r="AM240" s="2">
        <v>123.49</v>
      </c>
      <c r="AN240" s="2">
        <v>38.65</v>
      </c>
      <c r="AO240" s="2" t="s">
        <v>78</v>
      </c>
      <c r="AP240" s="2" t="s">
        <v>1372</v>
      </c>
      <c r="AQ240" s="2" t="s">
        <v>80</v>
      </c>
      <c r="AR240" s="2" t="s">
        <v>81</v>
      </c>
      <c r="AS240" s="2">
        <v>403</v>
      </c>
      <c r="AT240" s="2">
        <v>18</v>
      </c>
      <c r="AU240" s="2" t="s">
        <v>869</v>
      </c>
      <c r="AV240" s="2">
        <v>129.99</v>
      </c>
      <c r="AW240" s="2">
        <v>0</v>
      </c>
      <c r="AX240" s="2" t="s">
        <v>1379</v>
      </c>
      <c r="AY240" s="2" t="s">
        <v>83</v>
      </c>
      <c r="AZ240" s="4">
        <v>42320</v>
      </c>
      <c r="BA240" s="5">
        <v>0.63680555555555551</v>
      </c>
      <c r="BB240" s="2">
        <v>2015</v>
      </c>
      <c r="BC240" s="2" t="s">
        <v>455</v>
      </c>
      <c r="BD240" s="2">
        <v>12</v>
      </c>
      <c r="BE240" s="4">
        <v>42355</v>
      </c>
      <c r="BF240" s="5">
        <v>0.63680555555555551</v>
      </c>
      <c r="BG240" s="2" t="str" cm="1">
        <f t="array" ref="BG240">_xlfn.IFS(BF240&lt;TIMEVALUE("06:00"),"Night", BF240&gt;=TIMEVALUE("21:00"),"Night",BF240&gt;=TIMEVALUE("17:00"),"Evening",BF240&gt;=TIMEVALUE("12:00"),"Afternoon", BF240&gt;=TIMEVALUE("06:00"),"Morning")</f>
        <v>Afternoon</v>
      </c>
      <c r="BH240" s="2">
        <v>2015</v>
      </c>
      <c r="BI240" s="2" t="s">
        <v>357</v>
      </c>
      <c r="BJ240" s="2">
        <v>17</v>
      </c>
    </row>
    <row r="241" spans="1:62" x14ac:dyDescent="0.3">
      <c r="A241" s="2" t="s">
        <v>62</v>
      </c>
      <c r="B241" s="2">
        <v>4</v>
      </c>
      <c r="C241" s="2">
        <v>4</v>
      </c>
      <c r="D241" s="2">
        <v>14.25</v>
      </c>
      <c r="E241" s="2">
        <v>56.99</v>
      </c>
      <c r="F241" s="2" t="s">
        <v>100</v>
      </c>
      <c r="G241" s="2" t="s">
        <v>64</v>
      </c>
      <c r="H241" s="2">
        <v>17</v>
      </c>
      <c r="I241" s="2" t="s">
        <v>412</v>
      </c>
      <c r="J241" s="2" t="s">
        <v>1139</v>
      </c>
      <c r="K241" s="2" t="s">
        <v>102</v>
      </c>
      <c r="L241" s="2" t="s">
        <v>1380</v>
      </c>
      <c r="M241" s="2">
        <v>6422</v>
      </c>
      <c r="N241" s="2" t="s">
        <v>1381</v>
      </c>
      <c r="O241" s="2" t="s">
        <v>124</v>
      </c>
      <c r="P241" s="2" t="s">
        <v>105</v>
      </c>
      <c r="Q241" s="2" t="s">
        <v>1382</v>
      </c>
      <c r="R241" s="2">
        <v>91762</v>
      </c>
      <c r="S241" s="2">
        <v>4</v>
      </c>
      <c r="T241" s="2" t="s">
        <v>417</v>
      </c>
      <c r="U241" s="2">
        <v>34.068325000000002</v>
      </c>
      <c r="V241" s="2">
        <v>-117.6557541</v>
      </c>
      <c r="W241" s="2" t="s">
        <v>74</v>
      </c>
      <c r="X241" s="2" t="s">
        <v>1383</v>
      </c>
      <c r="Y241" s="2" t="s">
        <v>1384</v>
      </c>
      <c r="Z241" s="2">
        <v>6422</v>
      </c>
      <c r="AA241" s="2" t="s">
        <v>1385</v>
      </c>
      <c r="AB241" s="2">
        <v>42828</v>
      </c>
      <c r="AC241" s="2">
        <v>365</v>
      </c>
      <c r="AD241" s="2">
        <v>3</v>
      </c>
      <c r="AE241" s="2">
        <v>0.05</v>
      </c>
      <c r="AF241" s="2" t="str" cm="1">
        <f t="array" ref="AF241">_xlfn.IFS(AE241=0, "No Discount ", AE241&lt;=0.08,"Low Discount", AE241&lt;=0.16,"Medium Discount", AE241&gt;0.16, "High Discount")</f>
        <v>Low Discount</v>
      </c>
      <c r="AG241" s="2">
        <v>106946</v>
      </c>
      <c r="AH241" s="2">
        <v>59.99</v>
      </c>
      <c r="AI241" s="2">
        <v>0.25</v>
      </c>
      <c r="AJ241" s="2" t="str" cm="1">
        <f t="array" ref="AJ241">_xlfn.IFS(AI241&lt;=0, "No Profit", AI241&lt;=0.16,"Low Profit",AI241&lt;=0.32,"Medium Profit",AI241&gt;0.32,"High Profit")</f>
        <v>Medium Profit</v>
      </c>
      <c r="AK241" s="2">
        <v>1</v>
      </c>
      <c r="AL241" s="2">
        <v>59.99</v>
      </c>
      <c r="AM241" s="2">
        <v>56.99</v>
      </c>
      <c r="AN241" s="2">
        <v>14.25</v>
      </c>
      <c r="AO241" s="2" t="s">
        <v>431</v>
      </c>
      <c r="AP241" s="2" t="s">
        <v>1383</v>
      </c>
      <c r="AQ241" s="2" t="s">
        <v>80</v>
      </c>
      <c r="AR241" s="2" t="s">
        <v>81</v>
      </c>
      <c r="AS241" s="2">
        <v>365</v>
      </c>
      <c r="AT241" s="2">
        <v>17</v>
      </c>
      <c r="AU241" s="2" t="s">
        <v>421</v>
      </c>
      <c r="AV241" s="2">
        <v>59.99</v>
      </c>
      <c r="AW241" s="2">
        <v>0</v>
      </c>
      <c r="AX241" s="2" t="s">
        <v>1386</v>
      </c>
      <c r="AY241" s="2" t="s">
        <v>83</v>
      </c>
      <c r="AZ241" s="4">
        <v>42630</v>
      </c>
      <c r="BA241" s="5">
        <v>0.17499999999999999</v>
      </c>
      <c r="BB241" s="2">
        <v>2016</v>
      </c>
      <c r="BC241" s="2" t="s">
        <v>552</v>
      </c>
      <c r="BD241" s="2">
        <v>17</v>
      </c>
      <c r="BE241" s="4">
        <v>42634</v>
      </c>
      <c r="BF241" s="5">
        <v>0.17499999999999999</v>
      </c>
      <c r="BG241" s="2" t="str" cm="1">
        <f t="array" ref="BG241">_xlfn.IFS(BF241&lt;TIMEVALUE("06:00"),"Night", BF241&gt;=TIMEVALUE("21:00"),"Night",BF241&gt;=TIMEVALUE("17:00"),"Evening",BF241&gt;=TIMEVALUE("12:00"),"Afternoon", BF241&gt;=TIMEVALUE("06:00"),"Morning")</f>
        <v>Night</v>
      </c>
      <c r="BH241" s="2">
        <v>2016</v>
      </c>
      <c r="BI241" s="2" t="s">
        <v>552</v>
      </c>
      <c r="BJ241" s="2">
        <v>21</v>
      </c>
    </row>
    <row r="242" spans="1:62" x14ac:dyDescent="0.3">
      <c r="A242" s="2" t="s">
        <v>62</v>
      </c>
      <c r="B242" s="2">
        <v>2</v>
      </c>
      <c r="C242" s="2">
        <v>4</v>
      </c>
      <c r="D242" s="2">
        <v>-6.17</v>
      </c>
      <c r="E242" s="2">
        <v>123.49</v>
      </c>
      <c r="F242" s="2" t="s">
        <v>63</v>
      </c>
      <c r="G242" s="2" t="s">
        <v>64</v>
      </c>
      <c r="H242" s="2">
        <v>18</v>
      </c>
      <c r="I242" s="2" t="s">
        <v>863</v>
      </c>
      <c r="J242" s="2" t="s">
        <v>1325</v>
      </c>
      <c r="K242" s="2" t="s">
        <v>102</v>
      </c>
      <c r="L242" s="2" t="s">
        <v>1326</v>
      </c>
      <c r="M242" s="2">
        <v>289</v>
      </c>
      <c r="N242" s="2" t="s">
        <v>1327</v>
      </c>
      <c r="O242" s="2" t="s">
        <v>124</v>
      </c>
      <c r="P242" s="2" t="s">
        <v>1163</v>
      </c>
      <c r="Q242" s="2" t="s">
        <v>1328</v>
      </c>
      <c r="R242" s="2">
        <v>7960</v>
      </c>
      <c r="S242" s="2">
        <v>4</v>
      </c>
      <c r="T242" s="2" t="s">
        <v>417</v>
      </c>
      <c r="U242" s="2">
        <v>40.8011932</v>
      </c>
      <c r="V242" s="2">
        <v>-74.485611000000006</v>
      </c>
      <c r="W242" s="2" t="s">
        <v>74</v>
      </c>
      <c r="X242" s="2" t="s">
        <v>1329</v>
      </c>
      <c r="Y242" s="2" t="s">
        <v>1330</v>
      </c>
      <c r="Z242" s="2">
        <v>289</v>
      </c>
      <c r="AA242" s="3">
        <v>42438.570138888892</v>
      </c>
      <c r="AB242" s="2">
        <v>41896</v>
      </c>
      <c r="AC242" s="2">
        <v>403</v>
      </c>
      <c r="AD242" s="2">
        <v>6.5</v>
      </c>
      <c r="AE242" s="2">
        <v>0.05</v>
      </c>
      <c r="AF242" s="2" t="str" cm="1">
        <f t="array" ref="AF242">_xlfn.IFS(AE242=0, "No Discount ", AE242&lt;=0.08,"Low Discount", AE242&lt;=0.16,"Medium Discount", AE242&gt;0.16, "High Discount")</f>
        <v>Low Discount</v>
      </c>
      <c r="AG242" s="2">
        <v>104576</v>
      </c>
      <c r="AH242" s="2">
        <v>129.99</v>
      </c>
      <c r="AI242" s="2">
        <v>-0.05</v>
      </c>
      <c r="AJ242" s="2" t="str" cm="1">
        <f t="array" ref="AJ242">_xlfn.IFS(AI242&lt;=0, "No Profit", AI242&lt;=0.16,"Low Profit",AI242&lt;=0.32,"Medium Profit",AI242&gt;0.32,"High Profit")</f>
        <v>No Profit</v>
      </c>
      <c r="AK242" s="2">
        <v>1</v>
      </c>
      <c r="AL242" s="2">
        <v>129.99</v>
      </c>
      <c r="AM242" s="2">
        <v>123.49</v>
      </c>
      <c r="AN242" s="2">
        <v>-6.17</v>
      </c>
      <c r="AO242" s="2" t="s">
        <v>431</v>
      </c>
      <c r="AP242" s="2" t="s">
        <v>1329</v>
      </c>
      <c r="AQ242" s="2" t="s">
        <v>80</v>
      </c>
      <c r="AR242" s="2" t="s">
        <v>81</v>
      </c>
      <c r="AS242" s="2">
        <v>403</v>
      </c>
      <c r="AT242" s="2">
        <v>18</v>
      </c>
      <c r="AU242" s="2" t="s">
        <v>869</v>
      </c>
      <c r="AV242" s="2">
        <v>129.99</v>
      </c>
      <c r="AW242" s="2">
        <v>0</v>
      </c>
      <c r="AX242" s="3">
        <v>42499.570138888892</v>
      </c>
      <c r="AY242" s="2" t="s">
        <v>83</v>
      </c>
      <c r="AZ242" s="4">
        <v>42438</v>
      </c>
      <c r="BA242" s="5">
        <v>0.57013888888888886</v>
      </c>
      <c r="BB242" s="2">
        <v>2016</v>
      </c>
      <c r="BC242" s="2" t="s">
        <v>85</v>
      </c>
      <c r="BD242" s="2">
        <v>9</v>
      </c>
      <c r="BE242" s="4">
        <v>42499</v>
      </c>
      <c r="BF242" s="5">
        <v>0.57013888888888886</v>
      </c>
      <c r="BG242" s="2" t="str" cm="1">
        <f t="array" ref="BG242">_xlfn.IFS(BF242&lt;TIMEVALUE("06:00"),"Night", BF242&gt;=TIMEVALUE("21:00"),"Night",BF242&gt;=TIMEVALUE("17:00"),"Evening",BF242&gt;=TIMEVALUE("12:00"),"Afternoon", BF242&gt;=TIMEVALUE("06:00"),"Morning")</f>
        <v>Afternoon</v>
      </c>
      <c r="BH242" s="2">
        <v>2016</v>
      </c>
      <c r="BI242" s="2" t="s">
        <v>443</v>
      </c>
      <c r="BJ242" s="2">
        <v>9</v>
      </c>
    </row>
    <row r="243" spans="1:62" x14ac:dyDescent="0.3">
      <c r="A243" s="2" t="s">
        <v>62</v>
      </c>
      <c r="B243" s="2">
        <v>4</v>
      </c>
      <c r="C243" s="2">
        <v>4</v>
      </c>
      <c r="D243" s="2">
        <v>20.13</v>
      </c>
      <c r="E243" s="2">
        <v>123.49</v>
      </c>
      <c r="F243" s="2" t="s">
        <v>100</v>
      </c>
      <c r="G243" s="2" t="s">
        <v>64</v>
      </c>
      <c r="H243" s="2">
        <v>18</v>
      </c>
      <c r="I243" s="2" t="s">
        <v>863</v>
      </c>
      <c r="J243" s="2" t="s">
        <v>1097</v>
      </c>
      <c r="K243" s="2" t="s">
        <v>102</v>
      </c>
      <c r="L243" s="2" t="s">
        <v>1387</v>
      </c>
      <c r="M243" s="2">
        <v>5384</v>
      </c>
      <c r="N243" s="2" t="s">
        <v>425</v>
      </c>
      <c r="O243" s="2" t="s">
        <v>124</v>
      </c>
      <c r="P243" s="2" t="s">
        <v>333</v>
      </c>
      <c r="Q243" s="2" t="s">
        <v>1388</v>
      </c>
      <c r="R243" s="2">
        <v>77015</v>
      </c>
      <c r="S243" s="2">
        <v>4</v>
      </c>
      <c r="T243" s="2" t="s">
        <v>417</v>
      </c>
      <c r="U243" s="2">
        <v>29.7805748</v>
      </c>
      <c r="V243" s="2">
        <v>-95.171997099999999</v>
      </c>
      <c r="W243" s="2" t="s">
        <v>74</v>
      </c>
      <c r="X243" s="2" t="s">
        <v>1389</v>
      </c>
      <c r="Y243" s="2" t="s">
        <v>429</v>
      </c>
      <c r="Z243" s="2">
        <v>5384</v>
      </c>
      <c r="AA243" s="3">
        <v>42716.082638888889</v>
      </c>
      <c r="AB243" s="2">
        <v>48713</v>
      </c>
      <c r="AC243" s="2">
        <v>403</v>
      </c>
      <c r="AD243" s="2">
        <v>6.5</v>
      </c>
      <c r="AE243" s="2">
        <v>0.05</v>
      </c>
      <c r="AF243" s="2" t="str" cm="1">
        <f t="array" ref="AF243">_xlfn.IFS(AE243=0, "No Discount ", AE243&lt;=0.08,"Low Discount", AE243&lt;=0.16,"Medium Discount", AE243&gt;0.16, "High Discount")</f>
        <v>Low Discount</v>
      </c>
      <c r="AG243" s="2">
        <v>121833</v>
      </c>
      <c r="AH243" s="2">
        <v>129.99</v>
      </c>
      <c r="AI243" s="2">
        <v>0.16</v>
      </c>
      <c r="AJ243" s="2" t="str" cm="1">
        <f t="array" ref="AJ243">_xlfn.IFS(AI243&lt;=0, "No Profit", AI243&lt;=0.16,"Low Profit",AI243&lt;=0.32,"Medium Profit",AI243&gt;0.32,"High Profit")</f>
        <v>Low Profit</v>
      </c>
      <c r="AK243" s="2">
        <v>1</v>
      </c>
      <c r="AL243" s="2">
        <v>129.99</v>
      </c>
      <c r="AM243" s="2">
        <v>123.49</v>
      </c>
      <c r="AN243" s="2">
        <v>20.13</v>
      </c>
      <c r="AO243" s="2" t="s">
        <v>431</v>
      </c>
      <c r="AP243" s="2" t="s">
        <v>1389</v>
      </c>
      <c r="AQ243" s="2" t="s">
        <v>80</v>
      </c>
      <c r="AR243" s="2" t="s">
        <v>81</v>
      </c>
      <c r="AS243" s="2">
        <v>403</v>
      </c>
      <c r="AT243" s="2">
        <v>18</v>
      </c>
      <c r="AU243" s="2" t="s">
        <v>869</v>
      </c>
      <c r="AV243" s="2">
        <v>129.99</v>
      </c>
      <c r="AW243" s="2">
        <v>0</v>
      </c>
      <c r="AX243" s="2" t="s">
        <v>1390</v>
      </c>
      <c r="AY243" s="2" t="s">
        <v>83</v>
      </c>
      <c r="AZ243" s="4">
        <v>42716</v>
      </c>
      <c r="BA243" s="5">
        <v>8.2638888888888887E-2</v>
      </c>
      <c r="BB243" s="2">
        <v>2016</v>
      </c>
      <c r="BC243" s="2" t="s">
        <v>357</v>
      </c>
      <c r="BD243" s="2">
        <v>12</v>
      </c>
      <c r="BE243" s="4">
        <v>42720</v>
      </c>
      <c r="BF243" s="5">
        <v>8.2638888888888887E-2</v>
      </c>
      <c r="BG243" s="2" t="str" cm="1">
        <f t="array" ref="BG243">_xlfn.IFS(BF243&lt;TIMEVALUE("06:00"),"Night", BF243&gt;=TIMEVALUE("21:00"),"Night",BF243&gt;=TIMEVALUE("17:00"),"Evening",BF243&gt;=TIMEVALUE("12:00"),"Afternoon", BF243&gt;=TIMEVALUE("06:00"),"Morning")</f>
        <v>Night</v>
      </c>
      <c r="BH243" s="2">
        <v>2016</v>
      </c>
      <c r="BI243" s="2" t="s">
        <v>357</v>
      </c>
      <c r="BJ243" s="2">
        <v>16</v>
      </c>
    </row>
    <row r="244" spans="1:62" x14ac:dyDescent="0.3">
      <c r="A244" s="2" t="s">
        <v>62</v>
      </c>
      <c r="B244" s="2">
        <v>4</v>
      </c>
      <c r="C244" s="2">
        <v>4</v>
      </c>
      <c r="D244" s="2">
        <v>54.34</v>
      </c>
      <c r="E244" s="2">
        <v>123.49</v>
      </c>
      <c r="F244" s="2" t="s">
        <v>100</v>
      </c>
      <c r="G244" s="2" t="s">
        <v>64</v>
      </c>
      <c r="H244" s="2">
        <v>18</v>
      </c>
      <c r="I244" s="2" t="s">
        <v>863</v>
      </c>
      <c r="J244" s="2" t="s">
        <v>1391</v>
      </c>
      <c r="K244" s="2" t="s">
        <v>102</v>
      </c>
      <c r="L244" s="2" t="s">
        <v>1392</v>
      </c>
      <c r="M244" s="2">
        <v>2985</v>
      </c>
      <c r="N244" s="2" t="s">
        <v>1393</v>
      </c>
      <c r="O244" s="2" t="s">
        <v>124</v>
      </c>
      <c r="P244" s="2" t="s">
        <v>1394</v>
      </c>
      <c r="Q244" s="2" t="s">
        <v>1395</v>
      </c>
      <c r="R244" s="2">
        <v>23666</v>
      </c>
      <c r="S244" s="2">
        <v>4</v>
      </c>
      <c r="T244" s="2" t="s">
        <v>417</v>
      </c>
      <c r="U244" s="2">
        <v>37.051742599999997</v>
      </c>
      <c r="V244" s="2">
        <v>-76.401634200000004</v>
      </c>
      <c r="W244" s="2" t="s">
        <v>74</v>
      </c>
      <c r="X244" s="2" t="s">
        <v>1396</v>
      </c>
      <c r="Y244" s="2" t="s">
        <v>1397</v>
      </c>
      <c r="Z244" s="2">
        <v>2985</v>
      </c>
      <c r="AA244" s="2" t="s">
        <v>1398</v>
      </c>
      <c r="AB244" s="2">
        <v>45668</v>
      </c>
      <c r="AC244" s="2">
        <v>403</v>
      </c>
      <c r="AD244" s="2">
        <v>6.5</v>
      </c>
      <c r="AE244" s="2">
        <v>0.05</v>
      </c>
      <c r="AF244" s="2" t="str" cm="1">
        <f t="array" ref="AF244">_xlfn.IFS(AE244=0, "No Discount ", AE244&lt;=0.08,"Low Discount", AE244&lt;=0.16,"Medium Discount", AE244&gt;0.16, "High Discount")</f>
        <v>Low Discount</v>
      </c>
      <c r="AG244" s="2">
        <v>114148</v>
      </c>
      <c r="AH244" s="2">
        <v>129.99</v>
      </c>
      <c r="AI244" s="2">
        <v>0.44</v>
      </c>
      <c r="AJ244" s="2" t="str" cm="1">
        <f t="array" ref="AJ244">_xlfn.IFS(AI244&lt;=0, "No Profit", AI244&lt;=0.16,"Low Profit",AI244&lt;=0.32,"Medium Profit",AI244&gt;0.32,"High Profit")</f>
        <v>High Profit</v>
      </c>
      <c r="AK244" s="2">
        <v>1</v>
      </c>
      <c r="AL244" s="2">
        <v>129.99</v>
      </c>
      <c r="AM244" s="2">
        <v>123.49</v>
      </c>
      <c r="AN244" s="2">
        <v>54.34</v>
      </c>
      <c r="AO244" s="2" t="s">
        <v>431</v>
      </c>
      <c r="AP244" s="2" t="s">
        <v>1399</v>
      </c>
      <c r="AQ244" s="2" t="s">
        <v>80</v>
      </c>
      <c r="AR244" s="2" t="s">
        <v>81</v>
      </c>
      <c r="AS244" s="2">
        <v>403</v>
      </c>
      <c r="AT244" s="2">
        <v>18</v>
      </c>
      <c r="AU244" s="2" t="s">
        <v>869</v>
      </c>
      <c r="AV244" s="2">
        <v>129.99</v>
      </c>
      <c r="AW244" s="2">
        <v>0</v>
      </c>
      <c r="AX244" s="3">
        <v>42380.632638888892</v>
      </c>
      <c r="AY244" s="2" t="s">
        <v>83</v>
      </c>
      <c r="AZ244" s="4">
        <v>42671</v>
      </c>
      <c r="BA244" s="5">
        <v>0.63263888888888886</v>
      </c>
      <c r="BB244" s="2">
        <v>2016</v>
      </c>
      <c r="BC244" s="2" t="s">
        <v>434</v>
      </c>
      <c r="BD244" s="2">
        <v>28</v>
      </c>
      <c r="BE244" s="4">
        <v>42380</v>
      </c>
      <c r="BF244" s="5">
        <v>0.63263888888888886</v>
      </c>
      <c r="BG244" s="2" t="str" cm="1">
        <f t="array" ref="BG244">_xlfn.IFS(BF244&lt;TIMEVALUE("06:00"),"Night", BF244&gt;=TIMEVALUE("21:00"),"Night",BF244&gt;=TIMEVALUE("17:00"),"Evening",BF244&gt;=TIMEVALUE("12:00"),"Afternoon", BF244&gt;=TIMEVALUE("06:00"),"Morning")</f>
        <v>Afternoon</v>
      </c>
      <c r="BH244" s="2">
        <v>2016</v>
      </c>
      <c r="BI244" s="2" t="s">
        <v>84</v>
      </c>
      <c r="BJ244" s="2">
        <v>11</v>
      </c>
    </row>
    <row r="245" spans="1:62" x14ac:dyDescent="0.3">
      <c r="A245" s="2" t="s">
        <v>62</v>
      </c>
      <c r="B245" s="2">
        <v>2</v>
      </c>
      <c r="C245" s="2">
        <v>4</v>
      </c>
      <c r="D245" s="2">
        <v>43.61</v>
      </c>
      <c r="E245" s="2">
        <v>436.1</v>
      </c>
      <c r="F245" s="2" t="s">
        <v>63</v>
      </c>
      <c r="G245" s="2" t="s">
        <v>64</v>
      </c>
      <c r="H245" s="2">
        <v>66</v>
      </c>
      <c r="I245" s="2" t="s">
        <v>1400</v>
      </c>
      <c r="J245" s="2" t="s">
        <v>1401</v>
      </c>
      <c r="K245" s="2" t="s">
        <v>102</v>
      </c>
      <c r="L245" s="2" t="s">
        <v>1402</v>
      </c>
      <c r="M245" s="2">
        <v>18349</v>
      </c>
      <c r="N245" s="2" t="s">
        <v>1403</v>
      </c>
      <c r="O245" s="2" t="s">
        <v>124</v>
      </c>
      <c r="P245" s="2" t="s">
        <v>133</v>
      </c>
      <c r="Q245" s="2" t="s">
        <v>1404</v>
      </c>
      <c r="R245" s="2">
        <v>10016</v>
      </c>
      <c r="S245" s="2">
        <v>4</v>
      </c>
      <c r="T245" s="2" t="s">
        <v>417</v>
      </c>
      <c r="U245" s="2">
        <v>40.745590200000002</v>
      </c>
      <c r="V245" s="2">
        <v>-73.979278600000001</v>
      </c>
      <c r="W245" s="2" t="s">
        <v>74</v>
      </c>
      <c r="X245" s="2" t="s">
        <v>1405</v>
      </c>
      <c r="Y245" s="2" t="s">
        <v>143</v>
      </c>
      <c r="Z245" s="2">
        <v>18349</v>
      </c>
      <c r="AA245" s="2" t="s">
        <v>1406</v>
      </c>
      <c r="AB245" s="2">
        <v>74796</v>
      </c>
      <c r="AC245" s="2">
        <v>1353</v>
      </c>
      <c r="AD245" s="2">
        <v>25.38</v>
      </c>
      <c r="AE245" s="2">
        <v>0.06</v>
      </c>
      <c r="AF245" s="2" t="str" cm="1">
        <f t="array" ref="AF245">_xlfn.IFS(AE245=0, "No Discount ", AE245&lt;=0.08,"Low Discount", AE245&lt;=0.16,"Medium Discount", AE245&gt;0.16, "High Discount")</f>
        <v>Low Discount</v>
      </c>
      <c r="AG245" s="2">
        <v>178111</v>
      </c>
      <c r="AH245" s="2">
        <v>461.48</v>
      </c>
      <c r="AI245" s="2">
        <v>0.1</v>
      </c>
      <c r="AJ245" s="2" t="str" cm="1">
        <f t="array" ref="AJ245">_xlfn.IFS(AI245&lt;=0, "No Profit", AI245&lt;=0.16,"Low Profit",AI245&lt;=0.32,"Medium Profit",AI245&gt;0.32,"High Profit")</f>
        <v>Low Profit</v>
      </c>
      <c r="AK245" s="2">
        <v>1</v>
      </c>
      <c r="AL245" s="2">
        <v>461.48</v>
      </c>
      <c r="AM245" s="2">
        <v>436.1</v>
      </c>
      <c r="AN245" s="2">
        <v>43.61</v>
      </c>
      <c r="AO245" s="2" t="s">
        <v>145</v>
      </c>
      <c r="AP245" s="2" t="s">
        <v>146</v>
      </c>
      <c r="AQ245" s="2" t="s">
        <v>80</v>
      </c>
      <c r="AR245" s="2" t="s">
        <v>81</v>
      </c>
      <c r="AS245" s="2">
        <v>1353</v>
      </c>
      <c r="AT245" s="2">
        <v>66</v>
      </c>
      <c r="AU245" s="2" t="s">
        <v>1407</v>
      </c>
      <c r="AV245" s="2">
        <v>461.48</v>
      </c>
      <c r="AW245" s="2">
        <v>0</v>
      </c>
      <c r="AX245" s="2" t="s">
        <v>1408</v>
      </c>
      <c r="AY245" s="2" t="s">
        <v>83</v>
      </c>
      <c r="AZ245" s="4">
        <v>43096</v>
      </c>
      <c r="BA245" s="5">
        <v>0.83402777777777781</v>
      </c>
      <c r="BB245" s="2">
        <v>2017</v>
      </c>
      <c r="BC245" s="2" t="s">
        <v>357</v>
      </c>
      <c r="BD245" s="2">
        <v>27</v>
      </c>
      <c r="BE245" s="4">
        <v>43098</v>
      </c>
      <c r="BF245" s="5">
        <v>0.83402777777777781</v>
      </c>
      <c r="BG245" s="2" t="str" cm="1">
        <f t="array" ref="BG245">_xlfn.IFS(BF245&lt;TIMEVALUE("06:00"),"Night", BF245&gt;=TIMEVALUE("21:00"),"Night",BF245&gt;=TIMEVALUE("17:00"),"Evening",BF245&gt;=TIMEVALUE("12:00"),"Afternoon", BF245&gt;=TIMEVALUE("06:00"),"Morning")</f>
        <v>Evening</v>
      </c>
      <c r="BH245" s="2">
        <v>2017</v>
      </c>
      <c r="BI245" s="2" t="s">
        <v>357</v>
      </c>
      <c r="BJ245" s="2">
        <v>29</v>
      </c>
    </row>
    <row r="246" spans="1:62" x14ac:dyDescent="0.3">
      <c r="A246" s="2" t="s">
        <v>62</v>
      </c>
      <c r="B246" s="2">
        <v>4</v>
      </c>
      <c r="C246" s="2">
        <v>4</v>
      </c>
      <c r="D246" s="2">
        <v>42.99</v>
      </c>
      <c r="E246" s="2">
        <v>122.84</v>
      </c>
      <c r="F246" s="2" t="s">
        <v>100</v>
      </c>
      <c r="G246" s="2" t="s">
        <v>64</v>
      </c>
      <c r="H246" s="2">
        <v>18</v>
      </c>
      <c r="I246" s="2" t="s">
        <v>863</v>
      </c>
      <c r="J246" s="2" t="s">
        <v>1409</v>
      </c>
      <c r="K246" s="2" t="s">
        <v>102</v>
      </c>
      <c r="L246" s="2" t="s">
        <v>414</v>
      </c>
      <c r="M246" s="2">
        <v>11286</v>
      </c>
      <c r="N246" s="2" t="s">
        <v>1289</v>
      </c>
      <c r="O246" s="2" t="s">
        <v>124</v>
      </c>
      <c r="P246" s="2" t="s">
        <v>105</v>
      </c>
      <c r="Q246" s="2" t="s">
        <v>1410</v>
      </c>
      <c r="R246" s="2">
        <v>93257</v>
      </c>
      <c r="S246" s="2">
        <v>4</v>
      </c>
      <c r="T246" s="2" t="s">
        <v>417</v>
      </c>
      <c r="U246" s="2">
        <v>35.938297300000002</v>
      </c>
      <c r="V246" s="2">
        <v>-118.94384770000001</v>
      </c>
      <c r="W246" s="2" t="s">
        <v>74</v>
      </c>
      <c r="X246" s="2" t="s">
        <v>1411</v>
      </c>
      <c r="Y246" s="2" t="s">
        <v>143</v>
      </c>
      <c r="Z246" s="2">
        <v>11286</v>
      </c>
      <c r="AA246" s="3">
        <v>42706.523611111108</v>
      </c>
      <c r="AB246" s="2">
        <v>27918</v>
      </c>
      <c r="AC246" s="2">
        <v>403</v>
      </c>
      <c r="AD246" s="2">
        <v>7.15</v>
      </c>
      <c r="AE246" s="2">
        <v>0.06</v>
      </c>
      <c r="AF246" s="2" t="str" cm="1">
        <f t="array" ref="AF246">_xlfn.IFS(AE246=0, "No Discount ", AE246&lt;=0.08,"Low Discount", AE246&lt;=0.16,"Medium Discount", AE246&gt;0.16, "High Discount")</f>
        <v>Low Discount</v>
      </c>
      <c r="AG246" s="2">
        <v>69867</v>
      </c>
      <c r="AH246" s="2">
        <v>129.99</v>
      </c>
      <c r="AI246" s="2">
        <v>0.35</v>
      </c>
      <c r="AJ246" s="2" t="str" cm="1">
        <f t="array" ref="AJ246">_xlfn.IFS(AI246&lt;=0, "No Profit", AI246&lt;=0.16,"Low Profit",AI246&lt;=0.32,"Medium Profit",AI246&gt;0.32,"High Profit")</f>
        <v>High Profit</v>
      </c>
      <c r="AK246" s="2">
        <v>1</v>
      </c>
      <c r="AL246" s="2">
        <v>129.99</v>
      </c>
      <c r="AM246" s="2">
        <v>122.84</v>
      </c>
      <c r="AN246" s="2">
        <v>42.99</v>
      </c>
      <c r="AO246" s="2" t="s">
        <v>145</v>
      </c>
      <c r="AP246" s="2" t="s">
        <v>1411</v>
      </c>
      <c r="AQ246" s="2" t="s">
        <v>80</v>
      </c>
      <c r="AR246" s="2" t="s">
        <v>81</v>
      </c>
      <c r="AS246" s="2">
        <v>403</v>
      </c>
      <c r="AT246" s="2">
        <v>18</v>
      </c>
      <c r="AU246" s="2" t="s">
        <v>869</v>
      </c>
      <c r="AV246" s="2">
        <v>129.99</v>
      </c>
      <c r="AW246" s="2">
        <v>0</v>
      </c>
      <c r="AX246" s="2" t="s">
        <v>1412</v>
      </c>
      <c r="AY246" s="2" t="s">
        <v>83</v>
      </c>
      <c r="AZ246" s="4">
        <v>42706</v>
      </c>
      <c r="BA246" s="5">
        <v>0.52361111111111114</v>
      </c>
      <c r="BB246" s="2">
        <v>2016</v>
      </c>
      <c r="BC246" s="2" t="s">
        <v>357</v>
      </c>
      <c r="BD246" s="2">
        <v>2</v>
      </c>
      <c r="BE246" s="4">
        <v>42416</v>
      </c>
      <c r="BF246" s="5">
        <v>0.52361111111111114</v>
      </c>
      <c r="BG246" s="2" t="str" cm="1">
        <f t="array" ref="BG246">_xlfn.IFS(BF246&lt;TIMEVALUE("06:00"),"Night", BF246&gt;=TIMEVALUE("21:00"),"Night",BF246&gt;=TIMEVALUE("17:00"),"Evening",BF246&gt;=TIMEVALUE("12:00"),"Afternoon", BF246&gt;=TIMEVALUE("06:00"),"Morning")</f>
        <v>Afternoon</v>
      </c>
      <c r="BH246" s="2">
        <v>2016</v>
      </c>
      <c r="BI246" s="2" t="s">
        <v>423</v>
      </c>
      <c r="BJ246" s="2">
        <v>16</v>
      </c>
    </row>
    <row r="247" spans="1:62" x14ac:dyDescent="0.3">
      <c r="A247" s="2" t="s">
        <v>62</v>
      </c>
      <c r="B247" s="2">
        <v>3</v>
      </c>
      <c r="C247" s="2">
        <v>4</v>
      </c>
      <c r="D247" s="2">
        <v>19.84</v>
      </c>
      <c r="E247" s="2">
        <v>56.69</v>
      </c>
      <c r="F247" s="2" t="s">
        <v>63</v>
      </c>
      <c r="G247" s="2" t="s">
        <v>64</v>
      </c>
      <c r="H247" s="2">
        <v>17</v>
      </c>
      <c r="I247" s="2" t="s">
        <v>412</v>
      </c>
      <c r="J247" s="2" t="s">
        <v>1413</v>
      </c>
      <c r="K247" s="2" t="s">
        <v>102</v>
      </c>
      <c r="L247" s="2" t="s">
        <v>1414</v>
      </c>
      <c r="M247" s="2">
        <v>489</v>
      </c>
      <c r="N247" s="2" t="s">
        <v>425</v>
      </c>
      <c r="O247" s="2" t="s">
        <v>124</v>
      </c>
      <c r="P247" s="2" t="s">
        <v>1365</v>
      </c>
      <c r="Q247" s="2" t="s">
        <v>1415</v>
      </c>
      <c r="R247" s="2">
        <v>97223</v>
      </c>
      <c r="S247" s="2">
        <v>4</v>
      </c>
      <c r="T247" s="2" t="s">
        <v>417</v>
      </c>
      <c r="U247" s="2">
        <v>45.598258999999999</v>
      </c>
      <c r="V247" s="2">
        <v>-12.2724285</v>
      </c>
      <c r="W247" s="2" t="s">
        <v>74</v>
      </c>
      <c r="X247" s="2" t="s">
        <v>1416</v>
      </c>
      <c r="Y247" s="2" t="s">
        <v>116</v>
      </c>
      <c r="Z247" s="2">
        <v>489</v>
      </c>
      <c r="AA247" s="2" t="s">
        <v>1417</v>
      </c>
      <c r="AB247" s="2">
        <v>30097</v>
      </c>
      <c r="AC247" s="2">
        <v>365</v>
      </c>
      <c r="AD247" s="2">
        <v>3.3</v>
      </c>
      <c r="AE247" s="2">
        <v>0.06</v>
      </c>
      <c r="AF247" s="2" t="str" cm="1">
        <f t="array" ref="AF247">_xlfn.IFS(AE247=0, "No Discount ", AE247&lt;=0.08,"Low Discount", AE247&lt;=0.16,"Medium Discount", AE247&gt;0.16, "High Discount")</f>
        <v>Low Discount</v>
      </c>
      <c r="AG247" s="2">
        <v>75233</v>
      </c>
      <c r="AH247" s="2">
        <v>59.99</v>
      </c>
      <c r="AI247" s="2">
        <v>0.35</v>
      </c>
      <c r="AJ247" s="2" t="str" cm="1">
        <f t="array" ref="AJ247">_xlfn.IFS(AI247&lt;=0, "No Profit", AI247&lt;=0.16,"Low Profit",AI247&lt;=0.32,"Medium Profit",AI247&gt;0.32,"High Profit")</f>
        <v>High Profit</v>
      </c>
      <c r="AK247" s="2">
        <v>1</v>
      </c>
      <c r="AL247" s="2">
        <v>59.99</v>
      </c>
      <c r="AM247" s="2">
        <v>56.69</v>
      </c>
      <c r="AN247" s="2">
        <v>19.84</v>
      </c>
      <c r="AO247" s="2" t="s">
        <v>118</v>
      </c>
      <c r="AP247" s="2" t="s">
        <v>275</v>
      </c>
      <c r="AQ247" s="2" t="s">
        <v>80</v>
      </c>
      <c r="AR247" s="2" t="s">
        <v>81</v>
      </c>
      <c r="AS247" s="2">
        <v>365</v>
      </c>
      <c r="AT247" s="2">
        <v>17</v>
      </c>
      <c r="AU247" s="2" t="s">
        <v>421</v>
      </c>
      <c r="AV247" s="2">
        <v>59.99</v>
      </c>
      <c r="AW247" s="2">
        <v>0</v>
      </c>
      <c r="AX247" s="2" t="s">
        <v>1418</v>
      </c>
      <c r="AY247" s="2" t="s">
        <v>83</v>
      </c>
      <c r="AZ247" s="4">
        <v>42444</v>
      </c>
      <c r="BA247" s="5">
        <v>0.33194444444444443</v>
      </c>
      <c r="BB247" s="2">
        <v>2016</v>
      </c>
      <c r="BC247" s="2" t="s">
        <v>85</v>
      </c>
      <c r="BD247" s="2">
        <v>15</v>
      </c>
      <c r="BE247" s="4">
        <v>42447</v>
      </c>
      <c r="BF247" s="5">
        <v>0.33194444444444443</v>
      </c>
      <c r="BG247" s="2" t="str" cm="1">
        <f t="array" ref="BG247">_xlfn.IFS(BF247&lt;TIMEVALUE("06:00"),"Night", BF247&gt;=TIMEVALUE("21:00"),"Night",BF247&gt;=TIMEVALUE("17:00"),"Evening",BF247&gt;=TIMEVALUE("12:00"),"Afternoon", BF247&gt;=TIMEVALUE("06:00"),"Morning")</f>
        <v>Morning</v>
      </c>
      <c r="BH247" s="2">
        <v>2016</v>
      </c>
      <c r="BI247" s="2" t="s">
        <v>85</v>
      </c>
      <c r="BJ247" s="2">
        <v>18</v>
      </c>
    </row>
    <row r="248" spans="1:62" x14ac:dyDescent="0.3">
      <c r="A248" s="2" t="s">
        <v>62</v>
      </c>
      <c r="B248" s="2">
        <v>2</v>
      </c>
      <c r="C248" s="2">
        <v>4</v>
      </c>
      <c r="D248" s="2">
        <v>54.05</v>
      </c>
      <c r="E248" s="2">
        <v>122.84</v>
      </c>
      <c r="F248" s="2" t="s">
        <v>63</v>
      </c>
      <c r="G248" s="2" t="s">
        <v>64</v>
      </c>
      <c r="H248" s="2">
        <v>18</v>
      </c>
      <c r="I248" s="2" t="s">
        <v>863</v>
      </c>
      <c r="J248" s="2" t="s">
        <v>1419</v>
      </c>
      <c r="K248" s="2" t="s">
        <v>102</v>
      </c>
      <c r="L248" s="2" t="s">
        <v>1420</v>
      </c>
      <c r="M248" s="2">
        <v>4510</v>
      </c>
      <c r="N248" s="2" t="s">
        <v>1421</v>
      </c>
      <c r="O248" s="2" t="s">
        <v>124</v>
      </c>
      <c r="P248" s="2" t="s">
        <v>1117</v>
      </c>
      <c r="Q248" s="2" t="s">
        <v>1422</v>
      </c>
      <c r="R248" s="2">
        <v>44136</v>
      </c>
      <c r="S248" s="2">
        <v>4</v>
      </c>
      <c r="T248" s="2" t="s">
        <v>417</v>
      </c>
      <c r="U248" s="2">
        <v>41.346969600000001</v>
      </c>
      <c r="V248" s="2">
        <v>-81.826316800000001</v>
      </c>
      <c r="W248" s="2" t="s">
        <v>74</v>
      </c>
      <c r="X248" s="2" t="s">
        <v>1423</v>
      </c>
      <c r="Y248" s="2" t="s">
        <v>1342</v>
      </c>
      <c r="Z248" s="2">
        <v>4510</v>
      </c>
      <c r="AA248" s="2" t="s">
        <v>1424</v>
      </c>
      <c r="AB248" s="2">
        <v>30966</v>
      </c>
      <c r="AC248" s="2">
        <v>403</v>
      </c>
      <c r="AD248" s="2">
        <v>7.15</v>
      </c>
      <c r="AE248" s="2">
        <v>0.06</v>
      </c>
      <c r="AF248" s="2" t="str" cm="1">
        <f t="array" ref="AF248">_xlfn.IFS(AE248=0, "No Discount ", AE248&lt;=0.08,"Low Discount", AE248&lt;=0.16,"Medium Discount", AE248&gt;0.16, "High Discount")</f>
        <v>Low Discount</v>
      </c>
      <c r="AG248" s="2">
        <v>77398</v>
      </c>
      <c r="AH248" s="2">
        <v>129.99</v>
      </c>
      <c r="AI248" s="2">
        <v>0.44</v>
      </c>
      <c r="AJ248" s="2" t="str" cm="1">
        <f t="array" ref="AJ248">_xlfn.IFS(AI248&lt;=0, "No Profit", AI248&lt;=0.16,"Low Profit",AI248&lt;=0.32,"Medium Profit",AI248&gt;0.32,"High Profit")</f>
        <v>High Profit</v>
      </c>
      <c r="AK248" s="2">
        <v>1</v>
      </c>
      <c r="AL248" s="2">
        <v>129.99</v>
      </c>
      <c r="AM248" s="2">
        <v>122.84</v>
      </c>
      <c r="AN248" s="2">
        <v>54.05</v>
      </c>
      <c r="AO248" s="2" t="s">
        <v>118</v>
      </c>
      <c r="AP248" s="2" t="s">
        <v>1425</v>
      </c>
      <c r="AQ248" s="2" t="s">
        <v>80</v>
      </c>
      <c r="AR248" s="2" t="s">
        <v>81</v>
      </c>
      <c r="AS248" s="2">
        <v>403</v>
      </c>
      <c r="AT248" s="2">
        <v>18</v>
      </c>
      <c r="AU248" s="2" t="s">
        <v>869</v>
      </c>
      <c r="AV248" s="2">
        <v>129.99</v>
      </c>
      <c r="AW248" s="2">
        <v>0</v>
      </c>
      <c r="AX248" s="2" t="s">
        <v>1426</v>
      </c>
      <c r="AY248" s="2" t="s">
        <v>83</v>
      </c>
      <c r="AZ248" s="4">
        <v>42457</v>
      </c>
      <c r="BA248" s="5">
        <v>1.7361111111111112E-2</v>
      </c>
      <c r="BB248" s="2">
        <v>2016</v>
      </c>
      <c r="BC248" s="2" t="s">
        <v>85</v>
      </c>
      <c r="BD248" s="2">
        <v>28</v>
      </c>
      <c r="BE248" s="4">
        <v>42459</v>
      </c>
      <c r="BF248" s="5">
        <v>1.7361111111111112E-2</v>
      </c>
      <c r="BG248" s="2" t="str" cm="1">
        <f t="array" ref="BG248">_xlfn.IFS(BF248&lt;TIMEVALUE("06:00"),"Night", BF248&gt;=TIMEVALUE("21:00"),"Night",BF248&gt;=TIMEVALUE("17:00"),"Evening",BF248&gt;=TIMEVALUE("12:00"),"Afternoon", BF248&gt;=TIMEVALUE("06:00"),"Morning")</f>
        <v>Night</v>
      </c>
      <c r="BH248" s="2">
        <v>2016</v>
      </c>
      <c r="BI248" s="2" t="s">
        <v>85</v>
      </c>
      <c r="BJ248" s="2">
        <v>30</v>
      </c>
    </row>
    <row r="249" spans="1:62" x14ac:dyDescent="0.3">
      <c r="A249" s="2" t="s">
        <v>62</v>
      </c>
      <c r="B249" s="2">
        <v>4</v>
      </c>
      <c r="C249" s="2">
        <v>4</v>
      </c>
      <c r="D249" s="2">
        <v>-184.26</v>
      </c>
      <c r="E249" s="2">
        <v>122.84</v>
      </c>
      <c r="F249" s="2" t="s">
        <v>100</v>
      </c>
      <c r="G249" s="2" t="s">
        <v>64</v>
      </c>
      <c r="H249" s="2">
        <v>18</v>
      </c>
      <c r="I249" s="2" t="s">
        <v>863</v>
      </c>
      <c r="J249" s="2" t="s">
        <v>1427</v>
      </c>
      <c r="K249" s="2" t="s">
        <v>102</v>
      </c>
      <c r="L249" s="2" t="s">
        <v>1428</v>
      </c>
      <c r="M249" s="2">
        <v>9626</v>
      </c>
      <c r="N249" s="2" t="s">
        <v>1429</v>
      </c>
      <c r="O249" s="2" t="s">
        <v>124</v>
      </c>
      <c r="P249" s="2" t="s">
        <v>333</v>
      </c>
      <c r="Q249" s="2" t="s">
        <v>1430</v>
      </c>
      <c r="R249" s="2">
        <v>79927</v>
      </c>
      <c r="S249" s="2">
        <v>4</v>
      </c>
      <c r="T249" s="2" t="s">
        <v>417</v>
      </c>
      <c r="U249" s="2">
        <v>31.651741000000001</v>
      </c>
      <c r="V249" s="2">
        <v>-106.2676239</v>
      </c>
      <c r="W249" s="2" t="s">
        <v>74</v>
      </c>
      <c r="X249" s="2" t="s">
        <v>1431</v>
      </c>
      <c r="Y249" s="2" t="s">
        <v>116</v>
      </c>
      <c r="Z249" s="2">
        <v>9626</v>
      </c>
      <c r="AA249" s="2" t="s">
        <v>1432</v>
      </c>
      <c r="AB249" s="2">
        <v>30063</v>
      </c>
      <c r="AC249" s="2">
        <v>403</v>
      </c>
      <c r="AD249" s="2">
        <v>7.15</v>
      </c>
      <c r="AE249" s="2">
        <v>0.06</v>
      </c>
      <c r="AF249" s="2" t="str" cm="1">
        <f t="array" ref="AF249">_xlfn.IFS(AE249=0, "No Discount ", AE249&lt;=0.08,"Low Discount", AE249&lt;=0.16,"Medium Discount", AE249&gt;0.16, "High Discount")</f>
        <v>Low Discount</v>
      </c>
      <c r="AG249" s="2">
        <v>75154</v>
      </c>
      <c r="AH249" s="2">
        <v>129.99</v>
      </c>
      <c r="AI249" s="2">
        <v>-1.5</v>
      </c>
      <c r="AJ249" s="2" t="str" cm="1">
        <f t="array" ref="AJ249">_xlfn.IFS(AI249&lt;=0, "No Profit", AI249&lt;=0.16,"Low Profit",AI249&lt;=0.32,"Medium Profit",AI249&gt;0.32,"High Profit")</f>
        <v>No Profit</v>
      </c>
      <c r="AK249" s="2">
        <v>1</v>
      </c>
      <c r="AL249" s="2">
        <v>129.99</v>
      </c>
      <c r="AM249" s="2">
        <v>122.84</v>
      </c>
      <c r="AN249" s="2">
        <v>-184.26</v>
      </c>
      <c r="AO249" s="2" t="s">
        <v>118</v>
      </c>
      <c r="AP249" s="2" t="s">
        <v>255</v>
      </c>
      <c r="AQ249" s="2" t="s">
        <v>80</v>
      </c>
      <c r="AR249" s="2" t="s">
        <v>81</v>
      </c>
      <c r="AS249" s="2">
        <v>403</v>
      </c>
      <c r="AT249" s="2">
        <v>18</v>
      </c>
      <c r="AU249" s="2" t="s">
        <v>869</v>
      </c>
      <c r="AV249" s="2">
        <v>129.99</v>
      </c>
      <c r="AW249" s="2">
        <v>0</v>
      </c>
      <c r="AX249" s="2" t="s">
        <v>1433</v>
      </c>
      <c r="AY249" s="2" t="s">
        <v>83</v>
      </c>
      <c r="AZ249" s="4">
        <v>42443</v>
      </c>
      <c r="BA249" s="5">
        <v>0.8354166666666667</v>
      </c>
      <c r="BB249" s="2">
        <v>2016</v>
      </c>
      <c r="BC249" s="2" t="s">
        <v>85</v>
      </c>
      <c r="BD249" s="2">
        <v>14</v>
      </c>
      <c r="BE249" s="4">
        <v>42447</v>
      </c>
      <c r="BF249" s="5">
        <v>0.8354166666666667</v>
      </c>
      <c r="BG249" s="2" t="str" cm="1">
        <f t="array" ref="BG249">_xlfn.IFS(BF249&lt;TIMEVALUE("06:00"),"Night", BF249&gt;=TIMEVALUE("21:00"),"Night",BF249&gt;=TIMEVALUE("17:00"),"Evening",BF249&gt;=TIMEVALUE("12:00"),"Afternoon", BF249&gt;=TIMEVALUE("06:00"),"Morning")</f>
        <v>Evening</v>
      </c>
      <c r="BH249" s="2">
        <v>2016</v>
      </c>
      <c r="BI249" s="2" t="s">
        <v>85</v>
      </c>
      <c r="BJ249" s="2">
        <v>18</v>
      </c>
    </row>
    <row r="250" spans="1:62" x14ac:dyDescent="0.3">
      <c r="A250" s="2" t="s">
        <v>62</v>
      </c>
      <c r="B250" s="2">
        <v>5</v>
      </c>
      <c r="C250" s="2">
        <v>4</v>
      </c>
      <c r="D250" s="2">
        <v>39.92</v>
      </c>
      <c r="E250" s="2">
        <v>122.84</v>
      </c>
      <c r="F250" s="2" t="s">
        <v>87</v>
      </c>
      <c r="G250" s="2" t="s">
        <v>88</v>
      </c>
      <c r="H250" s="2">
        <v>18</v>
      </c>
      <c r="I250" s="2" t="s">
        <v>863</v>
      </c>
      <c r="J250" s="2" t="s">
        <v>1434</v>
      </c>
      <c r="K250" s="2" t="s">
        <v>102</v>
      </c>
      <c r="L250" s="2" t="s">
        <v>1435</v>
      </c>
      <c r="M250" s="2">
        <v>9494</v>
      </c>
      <c r="N250" s="2" t="s">
        <v>1436</v>
      </c>
      <c r="O250" s="2" t="s">
        <v>124</v>
      </c>
      <c r="P250" s="2" t="s">
        <v>333</v>
      </c>
      <c r="Q250" s="2" t="s">
        <v>1437</v>
      </c>
      <c r="R250" s="2">
        <v>78840</v>
      </c>
      <c r="S250" s="2">
        <v>4</v>
      </c>
      <c r="T250" s="2" t="s">
        <v>417</v>
      </c>
      <c r="U250" s="2">
        <v>29.773101799999999</v>
      </c>
      <c r="V250" s="2">
        <v>-100.6121979</v>
      </c>
      <c r="W250" s="2" t="s">
        <v>74</v>
      </c>
      <c r="X250" s="2" t="s">
        <v>1438</v>
      </c>
      <c r="Y250" s="2" t="s">
        <v>93</v>
      </c>
      <c r="Z250" s="2">
        <v>9494</v>
      </c>
      <c r="AA250" s="2" t="s">
        <v>1439</v>
      </c>
      <c r="AB250" s="2">
        <v>22019</v>
      </c>
      <c r="AC250" s="2">
        <v>403</v>
      </c>
      <c r="AD250" s="2">
        <v>7.15</v>
      </c>
      <c r="AE250" s="2">
        <v>0.06</v>
      </c>
      <c r="AF250" s="2" t="str" cm="1">
        <f t="array" ref="AF250">_xlfn.IFS(AE250=0, "No Discount ", AE250&lt;=0.08,"Low Discount", AE250&lt;=0.16,"Medium Discount", AE250&gt;0.16, "High Discount")</f>
        <v>Low Discount</v>
      </c>
      <c r="AG250" s="2">
        <v>55063</v>
      </c>
      <c r="AH250" s="2">
        <v>129.99</v>
      </c>
      <c r="AI250" s="2">
        <v>0.33</v>
      </c>
      <c r="AJ250" s="2" t="str" cm="1">
        <f t="array" ref="AJ250">_xlfn.IFS(AI250&lt;=0, "No Profit", AI250&lt;=0.16,"Low Profit",AI250&lt;=0.32,"Medium Profit",AI250&gt;0.32,"High Profit")</f>
        <v>High Profit</v>
      </c>
      <c r="AK250" s="2">
        <v>1</v>
      </c>
      <c r="AL250" s="2">
        <v>129.99</v>
      </c>
      <c r="AM250" s="2">
        <v>122.84</v>
      </c>
      <c r="AN250" s="2">
        <v>39.92</v>
      </c>
      <c r="AO250" s="2" t="s">
        <v>95</v>
      </c>
      <c r="AP250" s="2" t="s">
        <v>196</v>
      </c>
      <c r="AQ250" s="2" t="s">
        <v>80</v>
      </c>
      <c r="AR250" s="2" t="s">
        <v>81</v>
      </c>
      <c r="AS250" s="2">
        <v>403</v>
      </c>
      <c r="AT250" s="2">
        <v>18</v>
      </c>
      <c r="AU250" s="2" t="s">
        <v>869</v>
      </c>
      <c r="AV250" s="2">
        <v>129.99</v>
      </c>
      <c r="AW250" s="2">
        <v>0</v>
      </c>
      <c r="AX250" s="2" t="s">
        <v>1440</v>
      </c>
      <c r="AY250" s="2" t="s">
        <v>83</v>
      </c>
      <c r="AZ250" s="4">
        <v>42326</v>
      </c>
      <c r="BA250" s="5">
        <v>0.41180555555555554</v>
      </c>
      <c r="BB250" s="2">
        <v>2015</v>
      </c>
      <c r="BC250" s="2" t="s">
        <v>455</v>
      </c>
      <c r="BD250" s="2">
        <v>18</v>
      </c>
      <c r="BE250" s="4">
        <v>42331</v>
      </c>
      <c r="BF250" s="5">
        <v>0.41180555555555554</v>
      </c>
      <c r="BG250" s="2" t="str" cm="1">
        <f t="array" ref="BG250">_xlfn.IFS(BF250&lt;TIMEVALUE("06:00"),"Night", BF250&gt;=TIMEVALUE("21:00"),"Night",BF250&gt;=TIMEVALUE("17:00"),"Evening",BF250&gt;=TIMEVALUE("12:00"),"Afternoon", BF250&gt;=TIMEVALUE("06:00"),"Morning")</f>
        <v>Morning</v>
      </c>
      <c r="BH250" s="2">
        <v>2015</v>
      </c>
      <c r="BI250" s="2" t="s">
        <v>455</v>
      </c>
      <c r="BJ250" s="2">
        <v>23</v>
      </c>
    </row>
    <row r="251" spans="1:62" x14ac:dyDescent="0.3">
      <c r="A251" s="2" t="s">
        <v>62</v>
      </c>
      <c r="B251" s="2">
        <v>6</v>
      </c>
      <c r="C251" s="2">
        <v>4</v>
      </c>
      <c r="D251" s="2">
        <v>41.52</v>
      </c>
      <c r="E251" s="2">
        <v>122.84</v>
      </c>
      <c r="F251" s="2" t="s">
        <v>87</v>
      </c>
      <c r="G251" s="2" t="s">
        <v>88</v>
      </c>
      <c r="H251" s="2">
        <v>18</v>
      </c>
      <c r="I251" s="2" t="s">
        <v>863</v>
      </c>
      <c r="J251" s="2" t="s">
        <v>1208</v>
      </c>
      <c r="K251" s="2" t="s">
        <v>102</v>
      </c>
      <c r="L251" s="2" t="s">
        <v>414</v>
      </c>
      <c r="M251" s="2">
        <v>1718</v>
      </c>
      <c r="N251" s="2" t="s">
        <v>425</v>
      </c>
      <c r="O251" s="2" t="s">
        <v>124</v>
      </c>
      <c r="P251" s="2" t="s">
        <v>133</v>
      </c>
      <c r="Q251" s="2" t="s">
        <v>1441</v>
      </c>
      <c r="R251" s="2">
        <v>14221</v>
      </c>
      <c r="S251" s="2">
        <v>4</v>
      </c>
      <c r="T251" s="2" t="s">
        <v>417</v>
      </c>
      <c r="U251" s="2">
        <v>42.966621400000001</v>
      </c>
      <c r="V251" s="2">
        <v>-78.741943399999997</v>
      </c>
      <c r="W251" s="2" t="s">
        <v>74</v>
      </c>
      <c r="X251" s="2" t="s">
        <v>1442</v>
      </c>
      <c r="Y251" s="2" t="s">
        <v>1443</v>
      </c>
      <c r="Z251" s="2">
        <v>1718</v>
      </c>
      <c r="AA251" s="2" t="s">
        <v>1444</v>
      </c>
      <c r="AB251" s="2">
        <v>24230</v>
      </c>
      <c r="AC251" s="2">
        <v>403</v>
      </c>
      <c r="AD251" s="2">
        <v>7.15</v>
      </c>
      <c r="AE251" s="2">
        <v>0.06</v>
      </c>
      <c r="AF251" s="2" t="str" cm="1">
        <f t="array" ref="AF251">_xlfn.IFS(AE251=0, "No Discount ", AE251&lt;=0.08,"Low Discount", AE251&lt;=0.16,"Medium Discount", AE251&gt;0.16, "High Discount")</f>
        <v>Low Discount</v>
      </c>
      <c r="AG251" s="2">
        <v>60624</v>
      </c>
      <c r="AH251" s="2">
        <v>129.99</v>
      </c>
      <c r="AI251" s="2">
        <v>0.34</v>
      </c>
      <c r="AJ251" s="2" t="str" cm="1">
        <f t="array" ref="AJ251">_xlfn.IFS(AI251&lt;=0, "No Profit", AI251&lt;=0.16,"Low Profit",AI251&lt;=0.32,"Medium Profit",AI251&gt;0.32,"High Profit")</f>
        <v>High Profit</v>
      </c>
      <c r="AK251" s="2">
        <v>1</v>
      </c>
      <c r="AL251" s="2">
        <v>129.99</v>
      </c>
      <c r="AM251" s="2">
        <v>122.84</v>
      </c>
      <c r="AN251" s="2">
        <v>41.52</v>
      </c>
      <c r="AO251" s="2" t="s">
        <v>78</v>
      </c>
      <c r="AP251" s="2" t="s">
        <v>1445</v>
      </c>
      <c r="AQ251" s="2" t="s">
        <v>80</v>
      </c>
      <c r="AR251" s="2" t="s">
        <v>81</v>
      </c>
      <c r="AS251" s="2">
        <v>403</v>
      </c>
      <c r="AT251" s="2">
        <v>18</v>
      </c>
      <c r="AU251" s="2" t="s">
        <v>869</v>
      </c>
      <c r="AV251" s="2">
        <v>129.99</v>
      </c>
      <c r="AW251" s="2">
        <v>0</v>
      </c>
      <c r="AX251" s="2" t="s">
        <v>1446</v>
      </c>
      <c r="AY251" s="2" t="s">
        <v>83</v>
      </c>
      <c r="AZ251" s="4">
        <v>42358</v>
      </c>
      <c r="BA251" s="5">
        <v>0.68680555555555556</v>
      </c>
      <c r="BB251" s="2">
        <v>2015</v>
      </c>
      <c r="BC251" s="2" t="s">
        <v>357</v>
      </c>
      <c r="BD251" s="2">
        <v>20</v>
      </c>
      <c r="BE251" s="4">
        <v>42364</v>
      </c>
      <c r="BF251" s="5">
        <v>0.68680555555555556</v>
      </c>
      <c r="BG251" s="2" t="str" cm="1">
        <f t="array" ref="BG251">_xlfn.IFS(BF251&lt;TIMEVALUE("06:00"),"Night", BF251&gt;=TIMEVALUE("21:00"),"Night",BF251&gt;=TIMEVALUE("17:00"),"Evening",BF251&gt;=TIMEVALUE("12:00"),"Afternoon", BF251&gt;=TIMEVALUE("06:00"),"Morning")</f>
        <v>Afternoon</v>
      </c>
      <c r="BH251" s="2">
        <v>2015</v>
      </c>
      <c r="BI251" s="2" t="s">
        <v>357</v>
      </c>
      <c r="BJ251" s="2">
        <v>26</v>
      </c>
    </row>
    <row r="252" spans="1:62" x14ac:dyDescent="0.3">
      <c r="A252" s="2" t="s">
        <v>62</v>
      </c>
      <c r="B252" s="2">
        <v>4</v>
      </c>
      <c r="C252" s="2">
        <v>4</v>
      </c>
      <c r="D252" s="2">
        <v>9.2100000000000009</v>
      </c>
      <c r="E252" s="2">
        <v>122.84</v>
      </c>
      <c r="F252" s="2" t="s">
        <v>100</v>
      </c>
      <c r="G252" s="2" t="s">
        <v>64</v>
      </c>
      <c r="H252" s="2">
        <v>18</v>
      </c>
      <c r="I252" s="2" t="s">
        <v>863</v>
      </c>
      <c r="J252" s="2" t="s">
        <v>1097</v>
      </c>
      <c r="K252" s="2" t="s">
        <v>102</v>
      </c>
      <c r="L252" s="2" t="s">
        <v>1387</v>
      </c>
      <c r="M252" s="2">
        <v>5384</v>
      </c>
      <c r="N252" s="2" t="s">
        <v>425</v>
      </c>
      <c r="O252" s="2" t="s">
        <v>124</v>
      </c>
      <c r="P252" s="2" t="s">
        <v>333</v>
      </c>
      <c r="Q252" s="2" t="s">
        <v>1388</v>
      </c>
      <c r="R252" s="2">
        <v>77015</v>
      </c>
      <c r="S252" s="2">
        <v>4</v>
      </c>
      <c r="T252" s="2" t="s">
        <v>417</v>
      </c>
      <c r="U252" s="2">
        <v>29.7805748</v>
      </c>
      <c r="V252" s="2">
        <v>-95.171997099999999</v>
      </c>
      <c r="W252" s="2" t="s">
        <v>74</v>
      </c>
      <c r="X252" s="2" t="s">
        <v>1389</v>
      </c>
      <c r="Y252" s="2" t="s">
        <v>429</v>
      </c>
      <c r="Z252" s="2">
        <v>5384</v>
      </c>
      <c r="AA252" s="3">
        <v>42716.082638888889</v>
      </c>
      <c r="AB252" s="2">
        <v>48713</v>
      </c>
      <c r="AC252" s="2">
        <v>403</v>
      </c>
      <c r="AD252" s="2">
        <v>7.15</v>
      </c>
      <c r="AE252" s="2">
        <v>0.06</v>
      </c>
      <c r="AF252" s="2" t="str" cm="1">
        <f t="array" ref="AF252">_xlfn.IFS(AE252=0, "No Discount ", AE252&lt;=0.08,"Low Discount", AE252&lt;=0.16,"Medium Discount", AE252&gt;0.16, "High Discount")</f>
        <v>Low Discount</v>
      </c>
      <c r="AG252" s="2">
        <v>121830</v>
      </c>
      <c r="AH252" s="2">
        <v>129.99</v>
      </c>
      <c r="AI252" s="2">
        <v>0.08</v>
      </c>
      <c r="AJ252" s="2" t="str" cm="1">
        <f t="array" ref="AJ252">_xlfn.IFS(AI252&lt;=0, "No Profit", AI252&lt;=0.16,"Low Profit",AI252&lt;=0.32,"Medium Profit",AI252&gt;0.32,"High Profit")</f>
        <v>Low Profit</v>
      </c>
      <c r="AK252" s="2">
        <v>1</v>
      </c>
      <c r="AL252" s="2">
        <v>129.99</v>
      </c>
      <c r="AM252" s="2">
        <v>122.84</v>
      </c>
      <c r="AN252" s="2">
        <v>9.2100000000000009</v>
      </c>
      <c r="AO252" s="2" t="s">
        <v>431</v>
      </c>
      <c r="AP252" s="2" t="s">
        <v>1389</v>
      </c>
      <c r="AQ252" s="2" t="s">
        <v>80</v>
      </c>
      <c r="AR252" s="2" t="s">
        <v>81</v>
      </c>
      <c r="AS252" s="2">
        <v>403</v>
      </c>
      <c r="AT252" s="2">
        <v>18</v>
      </c>
      <c r="AU252" s="2" t="s">
        <v>869</v>
      </c>
      <c r="AV252" s="2">
        <v>129.99</v>
      </c>
      <c r="AW252" s="2">
        <v>0</v>
      </c>
      <c r="AX252" s="2" t="s">
        <v>1390</v>
      </c>
      <c r="AY252" s="2" t="s">
        <v>83</v>
      </c>
      <c r="AZ252" s="4">
        <v>42716</v>
      </c>
      <c r="BA252" s="5">
        <v>8.2638888888888887E-2</v>
      </c>
      <c r="BB252" s="2">
        <v>2016</v>
      </c>
      <c r="BC252" s="2" t="s">
        <v>357</v>
      </c>
      <c r="BD252" s="2">
        <v>12</v>
      </c>
      <c r="BE252" s="4">
        <v>42720</v>
      </c>
      <c r="BF252" s="5">
        <v>8.2638888888888887E-2</v>
      </c>
      <c r="BG252" s="2" t="str" cm="1">
        <f t="array" ref="BG252">_xlfn.IFS(BF252&lt;TIMEVALUE("06:00"),"Night", BF252&gt;=TIMEVALUE("21:00"),"Night",BF252&gt;=TIMEVALUE("17:00"),"Evening",BF252&gt;=TIMEVALUE("12:00"),"Afternoon", BF252&gt;=TIMEVALUE("06:00"),"Morning")</f>
        <v>Night</v>
      </c>
      <c r="BH252" s="2">
        <v>2016</v>
      </c>
      <c r="BI252" s="2" t="s">
        <v>357</v>
      </c>
      <c r="BJ252" s="2">
        <v>16</v>
      </c>
    </row>
    <row r="253" spans="1:62" x14ac:dyDescent="0.3">
      <c r="A253" s="2" t="s">
        <v>62</v>
      </c>
      <c r="B253" s="2">
        <v>4</v>
      </c>
      <c r="C253" s="2">
        <v>4</v>
      </c>
      <c r="D253" s="2">
        <v>12.28</v>
      </c>
      <c r="E253" s="2">
        <v>122.84</v>
      </c>
      <c r="F253" s="2" t="s">
        <v>100</v>
      </c>
      <c r="G253" s="2" t="s">
        <v>64</v>
      </c>
      <c r="H253" s="2">
        <v>18</v>
      </c>
      <c r="I253" s="2" t="s">
        <v>863</v>
      </c>
      <c r="J253" s="2" t="s">
        <v>1447</v>
      </c>
      <c r="K253" s="2" t="s">
        <v>102</v>
      </c>
      <c r="L253" s="2" t="s">
        <v>414</v>
      </c>
      <c r="M253" s="2">
        <v>5295</v>
      </c>
      <c r="N253" s="2" t="s">
        <v>1162</v>
      </c>
      <c r="O253" s="2" t="s">
        <v>124</v>
      </c>
      <c r="P253" s="2" t="s">
        <v>1448</v>
      </c>
      <c r="Q253" s="2" t="s">
        <v>1449</v>
      </c>
      <c r="R253" s="2">
        <v>84010</v>
      </c>
      <c r="S253" s="2">
        <v>4</v>
      </c>
      <c r="T253" s="2" t="s">
        <v>417</v>
      </c>
      <c r="U253" s="2">
        <v>40.866493200000001</v>
      </c>
      <c r="V253" s="2">
        <v>-111.8493271</v>
      </c>
      <c r="W253" s="2" t="s">
        <v>74</v>
      </c>
      <c r="X253" s="2" t="s">
        <v>1450</v>
      </c>
      <c r="Y253" s="2" t="s">
        <v>429</v>
      </c>
      <c r="Z253" s="2">
        <v>5295</v>
      </c>
      <c r="AA253" s="3">
        <v>42652.240972222222</v>
      </c>
      <c r="AB253" s="2">
        <v>42353</v>
      </c>
      <c r="AC253" s="2">
        <v>403</v>
      </c>
      <c r="AD253" s="2">
        <v>7.15</v>
      </c>
      <c r="AE253" s="2">
        <v>0.06</v>
      </c>
      <c r="AF253" s="2" t="str" cm="1">
        <f t="array" ref="AF253">_xlfn.IFS(AE253=0, "No Discount ", AE253&lt;=0.08,"Low Discount", AE253&lt;=0.16,"Medium Discount", AE253&gt;0.16, "High Discount")</f>
        <v>Low Discount</v>
      </c>
      <c r="AG253" s="2">
        <v>105750</v>
      </c>
      <c r="AH253" s="2">
        <v>129.99</v>
      </c>
      <c r="AI253" s="2">
        <v>0.1</v>
      </c>
      <c r="AJ253" s="2" t="str" cm="1">
        <f t="array" ref="AJ253">_xlfn.IFS(AI253&lt;=0, "No Profit", AI253&lt;=0.16,"Low Profit",AI253&lt;=0.32,"Medium Profit",AI253&gt;0.32,"High Profit")</f>
        <v>Low Profit</v>
      </c>
      <c r="AK253" s="2">
        <v>1</v>
      </c>
      <c r="AL253" s="2">
        <v>129.99</v>
      </c>
      <c r="AM253" s="2">
        <v>122.84</v>
      </c>
      <c r="AN253" s="2">
        <v>12.28</v>
      </c>
      <c r="AO253" s="2" t="s">
        <v>431</v>
      </c>
      <c r="AP253" s="2" t="s">
        <v>1450</v>
      </c>
      <c r="AQ253" s="2" t="s">
        <v>80</v>
      </c>
      <c r="AR253" s="2" t="s">
        <v>81</v>
      </c>
      <c r="AS253" s="2">
        <v>403</v>
      </c>
      <c r="AT253" s="2">
        <v>18</v>
      </c>
      <c r="AU253" s="2" t="s">
        <v>869</v>
      </c>
      <c r="AV253" s="2">
        <v>129.99</v>
      </c>
      <c r="AW253" s="2">
        <v>0</v>
      </c>
      <c r="AX253" s="2" t="s">
        <v>1451</v>
      </c>
      <c r="AY253" s="2" t="s">
        <v>83</v>
      </c>
      <c r="AZ253" s="4">
        <v>42652</v>
      </c>
      <c r="BA253" s="5">
        <v>0.24097222222222223</v>
      </c>
      <c r="BB253" s="2">
        <v>2016</v>
      </c>
      <c r="BC253" s="2" t="s">
        <v>434</v>
      </c>
      <c r="BD253" s="2">
        <v>9</v>
      </c>
      <c r="BE253" s="4">
        <v>42627</v>
      </c>
      <c r="BF253" s="5">
        <v>0.24097222222222223</v>
      </c>
      <c r="BG253" s="2" t="str" cm="1">
        <f t="array" ref="BG253">_xlfn.IFS(BF253&lt;TIMEVALUE("06:00"),"Night", BF253&gt;=TIMEVALUE("21:00"),"Night",BF253&gt;=TIMEVALUE("17:00"),"Evening",BF253&gt;=TIMEVALUE("12:00"),"Afternoon", BF253&gt;=TIMEVALUE("06:00"),"Morning")</f>
        <v>Night</v>
      </c>
      <c r="BH253" s="2">
        <v>2016</v>
      </c>
      <c r="BI253" s="2" t="s">
        <v>552</v>
      </c>
      <c r="BJ253" s="2">
        <v>14</v>
      </c>
    </row>
    <row r="254" spans="1:62" x14ac:dyDescent="0.3">
      <c r="A254" s="2" t="s">
        <v>62</v>
      </c>
      <c r="B254" s="2">
        <v>4</v>
      </c>
      <c r="C254" s="2">
        <v>4</v>
      </c>
      <c r="D254" s="2">
        <v>36.85</v>
      </c>
      <c r="E254" s="2">
        <v>122.84</v>
      </c>
      <c r="F254" s="2" t="s">
        <v>100</v>
      </c>
      <c r="G254" s="2" t="s">
        <v>64</v>
      </c>
      <c r="H254" s="2">
        <v>18</v>
      </c>
      <c r="I254" s="2" t="s">
        <v>863</v>
      </c>
      <c r="J254" s="2" t="s">
        <v>1391</v>
      </c>
      <c r="K254" s="2" t="s">
        <v>102</v>
      </c>
      <c r="L254" s="2" t="s">
        <v>1392</v>
      </c>
      <c r="M254" s="2">
        <v>2985</v>
      </c>
      <c r="N254" s="2" t="s">
        <v>1393</v>
      </c>
      <c r="O254" s="2" t="s">
        <v>124</v>
      </c>
      <c r="P254" s="2" t="s">
        <v>1394</v>
      </c>
      <c r="Q254" s="2" t="s">
        <v>1395</v>
      </c>
      <c r="R254" s="2">
        <v>23666</v>
      </c>
      <c r="S254" s="2">
        <v>4</v>
      </c>
      <c r="T254" s="2" t="s">
        <v>417</v>
      </c>
      <c r="U254" s="2">
        <v>37.051742599999997</v>
      </c>
      <c r="V254" s="2">
        <v>-76.401634200000004</v>
      </c>
      <c r="W254" s="2" t="s">
        <v>74</v>
      </c>
      <c r="X254" s="2" t="s">
        <v>1396</v>
      </c>
      <c r="Y254" s="2" t="s">
        <v>1397</v>
      </c>
      <c r="Z254" s="2">
        <v>2985</v>
      </c>
      <c r="AA254" s="2" t="s">
        <v>1398</v>
      </c>
      <c r="AB254" s="2">
        <v>45668</v>
      </c>
      <c r="AC254" s="2">
        <v>403</v>
      </c>
      <c r="AD254" s="2">
        <v>7.15</v>
      </c>
      <c r="AE254" s="2">
        <v>0.06</v>
      </c>
      <c r="AF254" s="2" t="str" cm="1">
        <f t="array" ref="AF254">_xlfn.IFS(AE254=0, "No Discount ", AE254&lt;=0.08,"Low Discount", AE254&lt;=0.16,"Medium Discount", AE254&gt;0.16, "High Discount")</f>
        <v>Low Discount</v>
      </c>
      <c r="AG254" s="2">
        <v>114147</v>
      </c>
      <c r="AH254" s="2">
        <v>129.99</v>
      </c>
      <c r="AI254" s="2">
        <v>0.3</v>
      </c>
      <c r="AJ254" s="2" t="str" cm="1">
        <f t="array" ref="AJ254">_xlfn.IFS(AI254&lt;=0, "No Profit", AI254&lt;=0.16,"Low Profit",AI254&lt;=0.32,"Medium Profit",AI254&gt;0.32,"High Profit")</f>
        <v>Medium Profit</v>
      </c>
      <c r="AK254" s="2">
        <v>1</v>
      </c>
      <c r="AL254" s="2">
        <v>129.99</v>
      </c>
      <c r="AM254" s="2">
        <v>122.84</v>
      </c>
      <c r="AN254" s="2">
        <v>36.85</v>
      </c>
      <c r="AO254" s="2" t="s">
        <v>431</v>
      </c>
      <c r="AP254" s="2" t="s">
        <v>1399</v>
      </c>
      <c r="AQ254" s="2" t="s">
        <v>80</v>
      </c>
      <c r="AR254" s="2" t="s">
        <v>81</v>
      </c>
      <c r="AS254" s="2">
        <v>403</v>
      </c>
      <c r="AT254" s="2">
        <v>18</v>
      </c>
      <c r="AU254" s="2" t="s">
        <v>869</v>
      </c>
      <c r="AV254" s="2">
        <v>129.99</v>
      </c>
      <c r="AW254" s="2">
        <v>0</v>
      </c>
      <c r="AX254" s="3">
        <v>42380.632638888892</v>
      </c>
      <c r="AY254" s="2" t="s">
        <v>83</v>
      </c>
      <c r="AZ254" s="4">
        <v>42671</v>
      </c>
      <c r="BA254" s="5">
        <v>0.63263888888888886</v>
      </c>
      <c r="BB254" s="2">
        <v>2016</v>
      </c>
      <c r="BC254" s="2" t="s">
        <v>434</v>
      </c>
      <c r="BD254" s="2">
        <v>28</v>
      </c>
      <c r="BE254" s="4">
        <v>42380</v>
      </c>
      <c r="BF254" s="5">
        <v>0.63263888888888886</v>
      </c>
      <c r="BG254" s="2" t="str" cm="1">
        <f t="array" ref="BG254">_xlfn.IFS(BF254&lt;TIMEVALUE("06:00"),"Night", BF254&gt;=TIMEVALUE("21:00"),"Night",BF254&gt;=TIMEVALUE("17:00"),"Evening",BF254&gt;=TIMEVALUE("12:00"),"Afternoon", BF254&gt;=TIMEVALUE("06:00"),"Morning")</f>
        <v>Afternoon</v>
      </c>
      <c r="BH254" s="2">
        <v>2016</v>
      </c>
      <c r="BI254" s="2" t="s">
        <v>84</v>
      </c>
      <c r="BJ254" s="2">
        <v>11</v>
      </c>
    </row>
    <row r="255" spans="1:62" x14ac:dyDescent="0.3">
      <c r="A255" s="2" t="s">
        <v>62</v>
      </c>
      <c r="B255" s="2">
        <v>5</v>
      </c>
      <c r="C255" s="2">
        <v>4</v>
      </c>
      <c r="D255" s="2">
        <v>60.45</v>
      </c>
      <c r="E255" s="2">
        <v>120.89</v>
      </c>
      <c r="F255" s="2" t="s">
        <v>87</v>
      </c>
      <c r="G255" s="2" t="s">
        <v>88</v>
      </c>
      <c r="H255" s="2">
        <v>18</v>
      </c>
      <c r="I255" s="2" t="s">
        <v>863</v>
      </c>
      <c r="J255" s="2" t="s">
        <v>1452</v>
      </c>
      <c r="K255" s="2" t="s">
        <v>102</v>
      </c>
      <c r="L255" s="2" t="s">
        <v>497</v>
      </c>
      <c r="M255" s="2">
        <v>3984</v>
      </c>
      <c r="N255" s="2" t="s">
        <v>1453</v>
      </c>
      <c r="O255" s="2" t="s">
        <v>124</v>
      </c>
      <c r="P255" s="2" t="s">
        <v>1454</v>
      </c>
      <c r="Q255" s="2" t="s">
        <v>1455</v>
      </c>
      <c r="R255" s="2">
        <v>98031</v>
      </c>
      <c r="S255" s="2">
        <v>4</v>
      </c>
      <c r="T255" s="2" t="s">
        <v>417</v>
      </c>
      <c r="U255" s="2">
        <v>47.393711099999997</v>
      </c>
      <c r="V255" s="2">
        <v>-122.2228317</v>
      </c>
      <c r="W255" s="2" t="s">
        <v>74</v>
      </c>
      <c r="X255" s="2" t="s">
        <v>1456</v>
      </c>
      <c r="Y255" s="2" t="s">
        <v>1457</v>
      </c>
      <c r="Z255" s="2">
        <v>3984</v>
      </c>
      <c r="AA255" s="3">
        <v>42560.044444444444</v>
      </c>
      <c r="AB255" s="2">
        <v>42134</v>
      </c>
      <c r="AC255" s="2">
        <v>403</v>
      </c>
      <c r="AD255" s="2">
        <v>9.1</v>
      </c>
      <c r="AE255" s="2">
        <v>7.0000000000000007E-2</v>
      </c>
      <c r="AF255" s="2" t="str" cm="1">
        <f t="array" ref="AF255">_xlfn.IFS(AE255=0, "No Discount ", AE255&lt;=0.08,"Low Discount", AE255&lt;=0.16,"Medium Discount", AE255&gt;0.16, "High Discount")</f>
        <v>Low Discount</v>
      </c>
      <c r="AG255" s="2">
        <v>105206</v>
      </c>
      <c r="AH255" s="2">
        <v>129.99</v>
      </c>
      <c r="AI255" s="2">
        <v>0.5</v>
      </c>
      <c r="AJ255" s="2" t="str" cm="1">
        <f t="array" ref="AJ255">_xlfn.IFS(AI255&lt;=0, "No Profit", AI255&lt;=0.16,"Low Profit",AI255&lt;=0.32,"Medium Profit",AI255&gt;0.32,"High Profit")</f>
        <v>High Profit</v>
      </c>
      <c r="AK255" s="2">
        <v>1</v>
      </c>
      <c r="AL255" s="2">
        <v>129.99</v>
      </c>
      <c r="AM255" s="2">
        <v>120.89</v>
      </c>
      <c r="AN255" s="2">
        <v>60.45</v>
      </c>
      <c r="AO255" s="2" t="s">
        <v>1458</v>
      </c>
      <c r="AP255" s="2" t="s">
        <v>1459</v>
      </c>
      <c r="AQ255" s="2" t="s">
        <v>80</v>
      </c>
      <c r="AR255" s="2" t="s">
        <v>81</v>
      </c>
      <c r="AS255" s="2">
        <v>403</v>
      </c>
      <c r="AT255" s="2">
        <v>18</v>
      </c>
      <c r="AU255" s="2" t="s">
        <v>869</v>
      </c>
      <c r="AV255" s="2">
        <v>129.99</v>
      </c>
      <c r="AW255" s="2">
        <v>0</v>
      </c>
      <c r="AX255" s="3">
        <v>42713.044444444444</v>
      </c>
      <c r="AY255" s="2" t="s">
        <v>83</v>
      </c>
      <c r="AZ255" s="4">
        <v>42560</v>
      </c>
      <c r="BA255" s="5">
        <v>4.4444444444444446E-2</v>
      </c>
      <c r="BB255" s="2">
        <v>2016</v>
      </c>
      <c r="BC255" s="2" t="s">
        <v>533</v>
      </c>
      <c r="BD255" s="2">
        <v>9</v>
      </c>
      <c r="BE255" s="4">
        <v>42713</v>
      </c>
      <c r="BF255" s="5">
        <v>4.4444444444444446E-2</v>
      </c>
      <c r="BG255" s="2" t="str" cm="1">
        <f t="array" ref="BG255">_xlfn.IFS(BF255&lt;TIMEVALUE("06:00"),"Night", BF255&gt;=TIMEVALUE("21:00"),"Night",BF255&gt;=TIMEVALUE("17:00"),"Evening",BF255&gt;=TIMEVALUE("12:00"),"Afternoon", BF255&gt;=TIMEVALUE("06:00"),"Morning")</f>
        <v>Night</v>
      </c>
      <c r="BH255" s="2">
        <v>2016</v>
      </c>
      <c r="BI255" s="2" t="s">
        <v>357</v>
      </c>
      <c r="BJ255" s="2">
        <v>9</v>
      </c>
    </row>
    <row r="256" spans="1:62" x14ac:dyDescent="0.3">
      <c r="A256" s="2" t="s">
        <v>62</v>
      </c>
      <c r="B256" s="2">
        <v>3</v>
      </c>
      <c r="C256" s="2">
        <v>4</v>
      </c>
      <c r="D256" s="2">
        <v>-29.38</v>
      </c>
      <c r="E256" s="2">
        <v>120.89</v>
      </c>
      <c r="F256" s="2" t="s">
        <v>63</v>
      </c>
      <c r="G256" s="2" t="s">
        <v>64</v>
      </c>
      <c r="H256" s="2">
        <v>18</v>
      </c>
      <c r="I256" s="2" t="s">
        <v>863</v>
      </c>
      <c r="J256" s="2" t="s">
        <v>1460</v>
      </c>
      <c r="K256" s="2" t="s">
        <v>102</v>
      </c>
      <c r="L256" s="2" t="s">
        <v>1461</v>
      </c>
      <c r="M256" s="2">
        <v>5270</v>
      </c>
      <c r="N256" s="2" t="s">
        <v>1462</v>
      </c>
      <c r="O256" s="2" t="s">
        <v>124</v>
      </c>
      <c r="P256" s="2" t="s">
        <v>234</v>
      </c>
      <c r="Q256" s="2" t="s">
        <v>1463</v>
      </c>
      <c r="R256" s="2">
        <v>60620</v>
      </c>
      <c r="S256" s="2">
        <v>4</v>
      </c>
      <c r="T256" s="2" t="s">
        <v>417</v>
      </c>
      <c r="U256" s="2">
        <v>41.748664900000001</v>
      </c>
      <c r="V256" s="2">
        <v>-87.663200399999994</v>
      </c>
      <c r="W256" s="2" t="s">
        <v>74</v>
      </c>
      <c r="X256" s="2" t="s">
        <v>1464</v>
      </c>
      <c r="Y256" s="2" t="s">
        <v>143</v>
      </c>
      <c r="Z256" s="2">
        <v>5270</v>
      </c>
      <c r="AA256" s="3">
        <v>42319.15625</v>
      </c>
      <c r="AB256" s="2">
        <v>21522</v>
      </c>
      <c r="AC256" s="2">
        <v>403</v>
      </c>
      <c r="AD256" s="2">
        <v>9.1</v>
      </c>
      <c r="AE256" s="2">
        <v>7.0000000000000007E-2</v>
      </c>
      <c r="AF256" s="2" t="str" cm="1">
        <f t="array" ref="AF256">_xlfn.IFS(AE256=0, "No Discount ", AE256&lt;=0.08,"Low Discount", AE256&lt;=0.16,"Medium Discount", AE256&gt;0.16, "High Discount")</f>
        <v>Low Discount</v>
      </c>
      <c r="AG256" s="2">
        <v>53808</v>
      </c>
      <c r="AH256" s="2">
        <v>129.99</v>
      </c>
      <c r="AI256" s="2">
        <v>-0.24</v>
      </c>
      <c r="AJ256" s="2" t="str" cm="1">
        <f t="array" ref="AJ256">_xlfn.IFS(AI256&lt;=0, "No Profit", AI256&lt;=0.16,"Low Profit",AI256&lt;=0.32,"Medium Profit",AI256&gt;0.32,"High Profit")</f>
        <v>No Profit</v>
      </c>
      <c r="AK256" s="2">
        <v>1</v>
      </c>
      <c r="AL256" s="2">
        <v>129.99</v>
      </c>
      <c r="AM256" s="2">
        <v>120.89</v>
      </c>
      <c r="AN256" s="2">
        <v>-29.38</v>
      </c>
      <c r="AO256" s="2" t="s">
        <v>145</v>
      </c>
      <c r="AP256" s="2" t="s">
        <v>1465</v>
      </c>
      <c r="AQ256" s="2" t="s">
        <v>80</v>
      </c>
      <c r="AR256" s="2" t="s">
        <v>81</v>
      </c>
      <c r="AS256" s="2">
        <v>403</v>
      </c>
      <c r="AT256" s="2">
        <v>18</v>
      </c>
      <c r="AU256" s="2" t="s">
        <v>869</v>
      </c>
      <c r="AV256" s="2">
        <v>129.99</v>
      </c>
      <c r="AW256" s="2">
        <v>0</v>
      </c>
      <c r="AX256" s="2" t="s">
        <v>1466</v>
      </c>
      <c r="AY256" s="2" t="s">
        <v>83</v>
      </c>
      <c r="AZ256" s="4">
        <v>42319</v>
      </c>
      <c r="BA256" s="5">
        <v>0.15625</v>
      </c>
      <c r="BB256" s="2">
        <v>2015</v>
      </c>
      <c r="BC256" s="2" t="s">
        <v>455</v>
      </c>
      <c r="BD256" s="2">
        <v>11</v>
      </c>
      <c r="BE256" s="4">
        <v>42322</v>
      </c>
      <c r="BF256" s="5">
        <v>0.15625</v>
      </c>
      <c r="BG256" s="2" t="str" cm="1">
        <f t="array" ref="BG256">_xlfn.IFS(BF256&lt;TIMEVALUE("06:00"),"Night", BF256&gt;=TIMEVALUE("21:00"),"Night",BF256&gt;=TIMEVALUE("17:00"),"Evening",BF256&gt;=TIMEVALUE("12:00"),"Afternoon", BF256&gt;=TIMEVALUE("06:00"),"Morning")</f>
        <v>Night</v>
      </c>
      <c r="BH256" s="2">
        <v>2015</v>
      </c>
      <c r="BI256" s="2" t="s">
        <v>455</v>
      </c>
      <c r="BJ256" s="2">
        <v>14</v>
      </c>
    </row>
    <row r="257" spans="1:62" x14ac:dyDescent="0.3">
      <c r="A257" s="2" t="s">
        <v>62</v>
      </c>
      <c r="B257" s="2">
        <v>3</v>
      </c>
      <c r="C257" s="2">
        <v>4</v>
      </c>
      <c r="D257" s="2">
        <v>15.11</v>
      </c>
      <c r="E257" s="2">
        <v>120.89</v>
      </c>
      <c r="F257" s="2" t="s">
        <v>63</v>
      </c>
      <c r="G257" s="2" t="s">
        <v>64</v>
      </c>
      <c r="H257" s="2">
        <v>18</v>
      </c>
      <c r="I257" s="2" t="s">
        <v>863</v>
      </c>
      <c r="J257" s="2" t="s">
        <v>1467</v>
      </c>
      <c r="K257" s="2" t="s">
        <v>102</v>
      </c>
      <c r="L257" s="2" t="s">
        <v>1468</v>
      </c>
      <c r="M257" s="2">
        <v>10966</v>
      </c>
      <c r="N257" s="2" t="s">
        <v>1469</v>
      </c>
      <c r="O257" s="2" t="s">
        <v>124</v>
      </c>
      <c r="P257" s="2" t="s">
        <v>201</v>
      </c>
      <c r="Q257" s="2" t="s">
        <v>1470</v>
      </c>
      <c r="R257" s="2">
        <v>2360</v>
      </c>
      <c r="S257" s="2">
        <v>4</v>
      </c>
      <c r="T257" s="2" t="s">
        <v>417</v>
      </c>
      <c r="U257" s="2">
        <v>41.958511399999999</v>
      </c>
      <c r="V257" s="2">
        <v>-70.668617299999994</v>
      </c>
      <c r="W257" s="2" t="s">
        <v>74</v>
      </c>
      <c r="X257" s="2" t="s">
        <v>1471</v>
      </c>
      <c r="Y257" s="2" t="s">
        <v>143</v>
      </c>
      <c r="Z257" s="2">
        <v>10966</v>
      </c>
      <c r="AA257" s="2" t="s">
        <v>1472</v>
      </c>
      <c r="AB257" s="2">
        <v>23767</v>
      </c>
      <c r="AC257" s="2">
        <v>403</v>
      </c>
      <c r="AD257" s="2">
        <v>9.1</v>
      </c>
      <c r="AE257" s="2">
        <v>7.0000000000000007E-2</v>
      </c>
      <c r="AF257" s="2" t="str" cm="1">
        <f t="array" ref="AF257">_xlfn.IFS(AE257=0, "No Discount ", AE257&lt;=0.08,"Low Discount", AE257&lt;=0.16,"Medium Discount", AE257&gt;0.16, "High Discount")</f>
        <v>Low Discount</v>
      </c>
      <c r="AG257" s="2">
        <v>59474</v>
      </c>
      <c r="AH257" s="2">
        <v>129.99</v>
      </c>
      <c r="AI257" s="2">
        <v>0.13</v>
      </c>
      <c r="AJ257" s="2" t="str" cm="1">
        <f t="array" ref="AJ257">_xlfn.IFS(AI257&lt;=0, "No Profit", AI257&lt;=0.16,"Low Profit",AI257&lt;=0.32,"Medium Profit",AI257&gt;0.32,"High Profit")</f>
        <v>Low Profit</v>
      </c>
      <c r="AK257" s="2">
        <v>1</v>
      </c>
      <c r="AL257" s="2">
        <v>129.99</v>
      </c>
      <c r="AM257" s="2">
        <v>120.89</v>
      </c>
      <c r="AN257" s="2">
        <v>15.11</v>
      </c>
      <c r="AO257" s="2" t="s">
        <v>145</v>
      </c>
      <c r="AP257" s="2" t="s">
        <v>1473</v>
      </c>
      <c r="AQ257" s="2" t="s">
        <v>80</v>
      </c>
      <c r="AR257" s="2" t="s">
        <v>81</v>
      </c>
      <c r="AS257" s="2">
        <v>403</v>
      </c>
      <c r="AT257" s="2">
        <v>18</v>
      </c>
      <c r="AU257" s="2" t="s">
        <v>869</v>
      </c>
      <c r="AV257" s="2">
        <v>129.99</v>
      </c>
      <c r="AW257" s="2">
        <v>0</v>
      </c>
      <c r="AX257" s="2" t="s">
        <v>1474</v>
      </c>
      <c r="AY257" s="2" t="s">
        <v>83</v>
      </c>
      <c r="AZ257" s="4">
        <v>42351</v>
      </c>
      <c r="BA257" s="5">
        <v>0.92847222222222225</v>
      </c>
      <c r="BB257" s="2">
        <v>2015</v>
      </c>
      <c r="BC257" s="2" t="s">
        <v>357</v>
      </c>
      <c r="BD257" s="2">
        <v>13</v>
      </c>
      <c r="BE257" s="4">
        <v>42354</v>
      </c>
      <c r="BF257" s="5">
        <v>0.92847222222222225</v>
      </c>
      <c r="BG257" s="2" t="str" cm="1">
        <f t="array" ref="BG257">_xlfn.IFS(BF257&lt;TIMEVALUE("06:00"),"Night", BF257&gt;=TIMEVALUE("21:00"),"Night",BF257&gt;=TIMEVALUE("17:00"),"Evening",BF257&gt;=TIMEVALUE("12:00"),"Afternoon", BF257&gt;=TIMEVALUE("06:00"),"Morning")</f>
        <v>Night</v>
      </c>
      <c r="BH257" s="2">
        <v>2015</v>
      </c>
      <c r="BI257" s="2" t="s">
        <v>357</v>
      </c>
      <c r="BJ257" s="2">
        <v>16</v>
      </c>
    </row>
    <row r="258" spans="1:62" x14ac:dyDescent="0.3">
      <c r="A258" s="2" t="s">
        <v>62</v>
      </c>
      <c r="B258" s="2">
        <v>4</v>
      </c>
      <c r="C258" s="2">
        <v>4</v>
      </c>
      <c r="D258" s="2">
        <v>-105.78</v>
      </c>
      <c r="E258" s="2">
        <v>120.89</v>
      </c>
      <c r="F258" s="2" t="s">
        <v>100</v>
      </c>
      <c r="G258" s="2" t="s">
        <v>64</v>
      </c>
      <c r="H258" s="2">
        <v>18</v>
      </c>
      <c r="I258" s="2" t="s">
        <v>863</v>
      </c>
      <c r="J258" s="2" t="s">
        <v>1475</v>
      </c>
      <c r="K258" s="2" t="s">
        <v>102</v>
      </c>
      <c r="L258" s="2" t="s">
        <v>414</v>
      </c>
      <c r="M258" s="2">
        <v>1868</v>
      </c>
      <c r="N258" s="2" t="s">
        <v>1476</v>
      </c>
      <c r="O258" s="2" t="s">
        <v>124</v>
      </c>
      <c r="P258" s="2" t="s">
        <v>133</v>
      </c>
      <c r="Q258" s="2" t="s">
        <v>1477</v>
      </c>
      <c r="R258" s="2">
        <v>11691</v>
      </c>
      <c r="S258" s="2">
        <v>4</v>
      </c>
      <c r="T258" s="2" t="s">
        <v>417</v>
      </c>
      <c r="U258" s="2">
        <v>40.599494900000003</v>
      </c>
      <c r="V258" s="2">
        <v>-73.762481699999995</v>
      </c>
      <c r="W258" s="2" t="s">
        <v>74</v>
      </c>
      <c r="X258" s="2" t="s">
        <v>1478</v>
      </c>
      <c r="Y258" s="2" t="s">
        <v>143</v>
      </c>
      <c r="Z258" s="2">
        <v>1868</v>
      </c>
      <c r="AA258" s="3">
        <v>42552.247916666667</v>
      </c>
      <c r="AB258" s="2">
        <v>25433</v>
      </c>
      <c r="AC258" s="2">
        <v>403</v>
      </c>
      <c r="AD258" s="2">
        <v>9.1</v>
      </c>
      <c r="AE258" s="2">
        <v>7.0000000000000007E-2</v>
      </c>
      <c r="AF258" s="2" t="str" cm="1">
        <f t="array" ref="AF258">_xlfn.IFS(AE258=0, "No Discount ", AE258&lt;=0.08,"Low Discount", AE258&lt;=0.16,"Medium Discount", AE258&gt;0.16, "High Discount")</f>
        <v>Low Discount</v>
      </c>
      <c r="AG258" s="2">
        <v>63711</v>
      </c>
      <c r="AH258" s="2">
        <v>129.99</v>
      </c>
      <c r="AI258" s="2">
        <v>-0.88</v>
      </c>
      <c r="AJ258" s="2" t="str" cm="1">
        <f t="array" ref="AJ258">_xlfn.IFS(AI258&lt;=0, "No Profit", AI258&lt;=0.16,"Low Profit",AI258&lt;=0.32,"Medium Profit",AI258&gt;0.32,"High Profit")</f>
        <v>No Profit</v>
      </c>
      <c r="AK258" s="2">
        <v>1</v>
      </c>
      <c r="AL258" s="2">
        <v>129.99</v>
      </c>
      <c r="AM258" s="2">
        <v>120.89</v>
      </c>
      <c r="AN258" s="2">
        <v>-105.78</v>
      </c>
      <c r="AO258" s="2" t="s">
        <v>145</v>
      </c>
      <c r="AP258" s="2" t="s">
        <v>1479</v>
      </c>
      <c r="AQ258" s="2" t="s">
        <v>80</v>
      </c>
      <c r="AR258" s="2" t="s">
        <v>81</v>
      </c>
      <c r="AS258" s="2">
        <v>403</v>
      </c>
      <c r="AT258" s="2">
        <v>18</v>
      </c>
      <c r="AU258" s="2" t="s">
        <v>869</v>
      </c>
      <c r="AV258" s="2">
        <v>129.99</v>
      </c>
      <c r="AW258" s="2">
        <v>0</v>
      </c>
      <c r="AX258" s="3">
        <v>42675.247916666667</v>
      </c>
      <c r="AY258" s="2" t="s">
        <v>83</v>
      </c>
      <c r="AZ258" s="4">
        <v>42552</v>
      </c>
      <c r="BA258" s="5">
        <v>0.24791666666666667</v>
      </c>
      <c r="BB258" s="2">
        <v>2016</v>
      </c>
      <c r="BC258" s="2" t="s">
        <v>533</v>
      </c>
      <c r="BD258" s="2">
        <v>1</v>
      </c>
      <c r="BE258" s="4">
        <v>42675</v>
      </c>
      <c r="BF258" s="5">
        <v>0.24791666666666667</v>
      </c>
      <c r="BG258" s="2" t="str" cm="1">
        <f t="array" ref="BG258">_xlfn.IFS(BF258&lt;TIMEVALUE("06:00"),"Night", BF258&gt;=TIMEVALUE("21:00"),"Night",BF258&gt;=TIMEVALUE("17:00"),"Evening",BF258&gt;=TIMEVALUE("12:00"),"Afternoon", BF258&gt;=TIMEVALUE("06:00"),"Morning")</f>
        <v>Night</v>
      </c>
      <c r="BH258" s="2">
        <v>2016</v>
      </c>
      <c r="BI258" s="2" t="s">
        <v>455</v>
      </c>
      <c r="BJ258" s="2">
        <v>1</v>
      </c>
    </row>
    <row r="259" spans="1:62" x14ac:dyDescent="0.3">
      <c r="A259" s="2" t="s">
        <v>62</v>
      </c>
      <c r="B259" s="2">
        <v>4</v>
      </c>
      <c r="C259" s="2">
        <v>4</v>
      </c>
      <c r="D259" s="2">
        <v>72.86</v>
      </c>
      <c r="E259" s="2">
        <v>200.71</v>
      </c>
      <c r="F259" s="2" t="s">
        <v>100</v>
      </c>
      <c r="G259" s="2" t="s">
        <v>64</v>
      </c>
      <c r="H259" s="2">
        <v>76</v>
      </c>
      <c r="I259" s="2" t="s">
        <v>1351</v>
      </c>
      <c r="J259" s="2" t="s">
        <v>1097</v>
      </c>
      <c r="K259" s="2" t="s">
        <v>102</v>
      </c>
      <c r="L259" s="2" t="s">
        <v>178</v>
      </c>
      <c r="M259" s="2">
        <v>17446</v>
      </c>
      <c r="N259" s="2" t="s">
        <v>1480</v>
      </c>
      <c r="O259" s="2" t="s">
        <v>124</v>
      </c>
      <c r="P259" s="2" t="s">
        <v>333</v>
      </c>
      <c r="Q259" s="2" t="s">
        <v>1481</v>
      </c>
      <c r="R259" s="2">
        <v>77088</v>
      </c>
      <c r="S259" s="2">
        <v>4</v>
      </c>
      <c r="T259" s="2" t="s">
        <v>417</v>
      </c>
      <c r="U259" s="2">
        <v>29.669582399999999</v>
      </c>
      <c r="V259" s="2">
        <v>-95.241470300000003</v>
      </c>
      <c r="W259" s="2" t="s">
        <v>74</v>
      </c>
      <c r="X259" s="2" t="s">
        <v>1482</v>
      </c>
      <c r="Y259" s="2" t="s">
        <v>143</v>
      </c>
      <c r="Z259" s="2">
        <v>17446</v>
      </c>
      <c r="AA259" s="2" t="s">
        <v>1483</v>
      </c>
      <c r="AB259" s="2">
        <v>73893</v>
      </c>
      <c r="AC259" s="2">
        <v>1363</v>
      </c>
      <c r="AD259" s="2">
        <v>15.11</v>
      </c>
      <c r="AE259" s="2">
        <v>7.0000000000000007E-2</v>
      </c>
      <c r="AF259" s="2" t="str" cm="1">
        <f t="array" ref="AF259">_xlfn.IFS(AE259=0, "No Discount ", AE259&lt;=0.08,"Low Discount", AE259&lt;=0.16,"Medium Discount", AE259&gt;0.16, "High Discount")</f>
        <v>Low Discount</v>
      </c>
      <c r="AG259" s="2">
        <v>177208</v>
      </c>
      <c r="AH259" s="2">
        <v>215.82</v>
      </c>
      <c r="AI259" s="2">
        <v>0.36</v>
      </c>
      <c r="AJ259" s="2" t="str" cm="1">
        <f t="array" ref="AJ259">_xlfn.IFS(AI259&lt;=0, "No Profit", AI259&lt;=0.16,"Low Profit",AI259&lt;=0.32,"Medium Profit",AI259&gt;0.32,"High Profit")</f>
        <v>High Profit</v>
      </c>
      <c r="AK259" s="2">
        <v>1</v>
      </c>
      <c r="AL259" s="2">
        <v>215.82</v>
      </c>
      <c r="AM259" s="2">
        <v>200.71</v>
      </c>
      <c r="AN259" s="2">
        <v>72.86</v>
      </c>
      <c r="AO259" s="2" t="s">
        <v>145</v>
      </c>
      <c r="AP259" s="2" t="s">
        <v>1484</v>
      </c>
      <c r="AQ259" s="2" t="s">
        <v>80</v>
      </c>
      <c r="AR259" s="2" t="s">
        <v>81</v>
      </c>
      <c r="AS259" s="2">
        <v>1363</v>
      </c>
      <c r="AT259" s="2">
        <v>76</v>
      </c>
      <c r="AU259" s="2" t="s">
        <v>1356</v>
      </c>
      <c r="AV259" s="2">
        <v>215.82</v>
      </c>
      <c r="AW259" s="2">
        <v>0</v>
      </c>
      <c r="AX259" s="2" t="s">
        <v>1485</v>
      </c>
      <c r="AY259" s="2" t="s">
        <v>83</v>
      </c>
      <c r="AZ259" s="4">
        <v>43083</v>
      </c>
      <c r="BA259" s="5">
        <v>0.65208333333333335</v>
      </c>
      <c r="BB259" s="2">
        <v>2017</v>
      </c>
      <c r="BC259" s="2" t="s">
        <v>357</v>
      </c>
      <c r="BD259" s="2">
        <v>14</v>
      </c>
      <c r="BE259" s="4">
        <v>43087</v>
      </c>
      <c r="BF259" s="5">
        <v>0.65208333333333335</v>
      </c>
      <c r="BG259" s="2" t="str" cm="1">
        <f t="array" ref="BG259">_xlfn.IFS(BF259&lt;TIMEVALUE("06:00"),"Night", BF259&gt;=TIMEVALUE("21:00"),"Night",BF259&gt;=TIMEVALUE("17:00"),"Evening",BF259&gt;=TIMEVALUE("12:00"),"Afternoon", BF259&gt;=TIMEVALUE("06:00"),"Morning")</f>
        <v>Afternoon</v>
      </c>
      <c r="BH259" s="2">
        <v>2017</v>
      </c>
      <c r="BI259" s="2" t="s">
        <v>357</v>
      </c>
      <c r="BJ259" s="2">
        <v>18</v>
      </c>
    </row>
    <row r="260" spans="1:62" x14ac:dyDescent="0.3">
      <c r="A260" s="2" t="s">
        <v>62</v>
      </c>
      <c r="B260" s="2">
        <v>6</v>
      </c>
      <c r="C260" s="2">
        <v>4</v>
      </c>
      <c r="D260" s="2">
        <v>26.78</v>
      </c>
      <c r="E260" s="2">
        <v>55.79</v>
      </c>
      <c r="F260" s="2" t="s">
        <v>87</v>
      </c>
      <c r="G260" s="2" t="s">
        <v>88</v>
      </c>
      <c r="H260" s="2">
        <v>17</v>
      </c>
      <c r="I260" s="2" t="s">
        <v>412</v>
      </c>
      <c r="J260" s="2" t="s">
        <v>1147</v>
      </c>
      <c r="K260" s="2" t="s">
        <v>102</v>
      </c>
      <c r="L260" s="2" t="s">
        <v>414</v>
      </c>
      <c r="M260" s="2">
        <v>10071</v>
      </c>
      <c r="N260" s="2" t="s">
        <v>1486</v>
      </c>
      <c r="O260" s="2" t="s">
        <v>124</v>
      </c>
      <c r="P260" s="2" t="s">
        <v>280</v>
      </c>
      <c r="Q260" s="2" t="s">
        <v>1487</v>
      </c>
      <c r="R260" s="2">
        <v>19124</v>
      </c>
      <c r="S260" s="2">
        <v>4</v>
      </c>
      <c r="T260" s="2" t="s">
        <v>417</v>
      </c>
      <c r="U260" s="2">
        <v>40.015621199999998</v>
      </c>
      <c r="V260" s="2">
        <v>-75.084106500000004</v>
      </c>
      <c r="W260" s="2" t="s">
        <v>74</v>
      </c>
      <c r="X260" s="2" t="s">
        <v>1488</v>
      </c>
      <c r="Y260" s="2" t="s">
        <v>116</v>
      </c>
      <c r="Z260" s="2">
        <v>10071</v>
      </c>
      <c r="AA260" s="2" t="s">
        <v>1489</v>
      </c>
      <c r="AB260" s="2">
        <v>30085</v>
      </c>
      <c r="AC260" s="2">
        <v>365</v>
      </c>
      <c r="AD260" s="2">
        <v>4.2</v>
      </c>
      <c r="AE260" s="2">
        <v>7.0000000000000007E-2</v>
      </c>
      <c r="AF260" s="2" t="str" cm="1">
        <f t="array" ref="AF260">_xlfn.IFS(AE260=0, "No Discount ", AE260&lt;=0.08,"Low Discount", AE260&lt;=0.16,"Medium Discount", AE260&gt;0.16, "High Discount")</f>
        <v>Low Discount</v>
      </c>
      <c r="AG260" s="2">
        <v>75205</v>
      </c>
      <c r="AH260" s="2">
        <v>59.99</v>
      </c>
      <c r="AI260" s="2">
        <v>0.48</v>
      </c>
      <c r="AJ260" s="2" t="str" cm="1">
        <f t="array" ref="AJ260">_xlfn.IFS(AI260&lt;=0, "No Profit", AI260&lt;=0.16,"Low Profit",AI260&lt;=0.32,"Medium Profit",AI260&gt;0.32,"High Profit")</f>
        <v>High Profit</v>
      </c>
      <c r="AK260" s="2">
        <v>1</v>
      </c>
      <c r="AL260" s="2">
        <v>59.99</v>
      </c>
      <c r="AM260" s="2">
        <v>55.79</v>
      </c>
      <c r="AN260" s="2">
        <v>26.78</v>
      </c>
      <c r="AO260" s="2" t="s">
        <v>118</v>
      </c>
      <c r="AP260" s="2" t="s">
        <v>119</v>
      </c>
      <c r="AQ260" s="2" t="s">
        <v>80</v>
      </c>
      <c r="AR260" s="2" t="s">
        <v>81</v>
      </c>
      <c r="AS260" s="2">
        <v>365</v>
      </c>
      <c r="AT260" s="2">
        <v>17</v>
      </c>
      <c r="AU260" s="2" t="s">
        <v>421</v>
      </c>
      <c r="AV260" s="2">
        <v>59.99</v>
      </c>
      <c r="AW260" s="2">
        <v>0</v>
      </c>
      <c r="AX260" s="2" t="s">
        <v>1490</v>
      </c>
      <c r="AY260" s="2" t="s">
        <v>83</v>
      </c>
      <c r="AZ260" s="4">
        <v>42444</v>
      </c>
      <c r="BA260" s="5">
        <v>0.15625</v>
      </c>
      <c r="BB260" s="2">
        <v>2016</v>
      </c>
      <c r="BC260" s="2" t="s">
        <v>85</v>
      </c>
      <c r="BD260" s="2">
        <v>15</v>
      </c>
      <c r="BE260" s="4">
        <v>42450</v>
      </c>
      <c r="BF260" s="5">
        <v>0.15625</v>
      </c>
      <c r="BG260" s="2" t="str" cm="1">
        <f t="array" ref="BG260">_xlfn.IFS(BF260&lt;TIMEVALUE("06:00"),"Night", BF260&gt;=TIMEVALUE("21:00"),"Night",BF260&gt;=TIMEVALUE("17:00"),"Evening",BF260&gt;=TIMEVALUE("12:00"),"Afternoon", BF260&gt;=TIMEVALUE("06:00"),"Morning")</f>
        <v>Night</v>
      </c>
      <c r="BH260" s="2">
        <v>2016</v>
      </c>
      <c r="BI260" s="2" t="s">
        <v>85</v>
      </c>
      <c r="BJ260" s="2">
        <v>21</v>
      </c>
    </row>
    <row r="261" spans="1:62" x14ac:dyDescent="0.3">
      <c r="A261" s="2" t="s">
        <v>62</v>
      </c>
      <c r="B261" s="2">
        <v>3</v>
      </c>
      <c r="C261" s="2">
        <v>4</v>
      </c>
      <c r="D261" s="2">
        <v>31.79</v>
      </c>
      <c r="E261" s="2">
        <v>120.89</v>
      </c>
      <c r="F261" s="2" t="s">
        <v>63</v>
      </c>
      <c r="G261" s="2" t="s">
        <v>64</v>
      </c>
      <c r="H261" s="2">
        <v>18</v>
      </c>
      <c r="I261" s="2" t="s">
        <v>863</v>
      </c>
      <c r="J261" s="2" t="s">
        <v>1274</v>
      </c>
      <c r="K261" s="2" t="s">
        <v>102</v>
      </c>
      <c r="L261" s="2" t="s">
        <v>1491</v>
      </c>
      <c r="M261" s="2">
        <v>1271</v>
      </c>
      <c r="N261" s="2" t="s">
        <v>1492</v>
      </c>
      <c r="O261" s="2" t="s">
        <v>124</v>
      </c>
      <c r="P261" s="2" t="s">
        <v>105</v>
      </c>
      <c r="Q261" s="2" t="s">
        <v>1493</v>
      </c>
      <c r="R261" s="2">
        <v>93065</v>
      </c>
      <c r="S261" s="2">
        <v>4</v>
      </c>
      <c r="T261" s="2" t="s">
        <v>417</v>
      </c>
      <c r="U261" s="2">
        <v>34.2739105</v>
      </c>
      <c r="V261" s="2">
        <v>-118.76621249999999</v>
      </c>
      <c r="W261" s="2" t="s">
        <v>74</v>
      </c>
      <c r="X261" s="2" t="s">
        <v>1431</v>
      </c>
      <c r="Y261" s="2" t="s">
        <v>116</v>
      </c>
      <c r="Z261" s="2">
        <v>1271</v>
      </c>
      <c r="AA261" s="2" t="s">
        <v>1494</v>
      </c>
      <c r="AB261" s="2">
        <v>30172</v>
      </c>
      <c r="AC261" s="2">
        <v>403</v>
      </c>
      <c r="AD261" s="2">
        <v>9.1</v>
      </c>
      <c r="AE261" s="2">
        <v>7.0000000000000007E-2</v>
      </c>
      <c r="AF261" s="2" t="str" cm="1">
        <f t="array" ref="AF261">_xlfn.IFS(AE261=0, "No Discount ", AE261&lt;=0.08,"Low Discount", AE261&lt;=0.16,"Medium Discount", AE261&gt;0.16, "High Discount")</f>
        <v>Low Discount</v>
      </c>
      <c r="AG261" s="2">
        <v>75410</v>
      </c>
      <c r="AH261" s="2">
        <v>129.99</v>
      </c>
      <c r="AI261" s="2">
        <v>0.26</v>
      </c>
      <c r="AJ261" s="2" t="str" cm="1">
        <f t="array" ref="AJ261">_xlfn.IFS(AI261&lt;=0, "No Profit", AI261&lt;=0.16,"Low Profit",AI261&lt;=0.32,"Medium Profit",AI261&gt;0.32,"High Profit")</f>
        <v>Medium Profit</v>
      </c>
      <c r="AK261" s="2">
        <v>1</v>
      </c>
      <c r="AL261" s="2">
        <v>129.99</v>
      </c>
      <c r="AM261" s="2">
        <v>120.89</v>
      </c>
      <c r="AN261" s="2">
        <v>31.79</v>
      </c>
      <c r="AO261" s="2" t="s">
        <v>118</v>
      </c>
      <c r="AP261" s="2" t="s">
        <v>255</v>
      </c>
      <c r="AQ261" s="2" t="s">
        <v>80</v>
      </c>
      <c r="AR261" s="2" t="s">
        <v>81</v>
      </c>
      <c r="AS261" s="2">
        <v>403</v>
      </c>
      <c r="AT261" s="2">
        <v>18</v>
      </c>
      <c r="AU261" s="2" t="s">
        <v>869</v>
      </c>
      <c r="AV261" s="2">
        <v>129.99</v>
      </c>
      <c r="AW261" s="2">
        <v>0</v>
      </c>
      <c r="AX261" s="2" t="s">
        <v>1495</v>
      </c>
      <c r="AY261" s="2" t="s">
        <v>83</v>
      </c>
      <c r="AZ261" s="4">
        <v>42445</v>
      </c>
      <c r="BA261" s="5">
        <v>0.42638888888888887</v>
      </c>
      <c r="BB261" s="2">
        <v>2016</v>
      </c>
      <c r="BC261" s="2" t="s">
        <v>85</v>
      </c>
      <c r="BD261" s="2">
        <v>16</v>
      </c>
      <c r="BE261" s="4">
        <v>42448</v>
      </c>
      <c r="BF261" s="5">
        <v>0.42638888888888887</v>
      </c>
      <c r="BG261" s="2" t="str" cm="1">
        <f t="array" ref="BG261">_xlfn.IFS(BF261&lt;TIMEVALUE("06:00"),"Night", BF261&gt;=TIMEVALUE("21:00"),"Night",BF261&gt;=TIMEVALUE("17:00"),"Evening",BF261&gt;=TIMEVALUE("12:00"),"Afternoon", BF261&gt;=TIMEVALUE("06:00"),"Morning")</f>
        <v>Morning</v>
      </c>
      <c r="BH261" s="2">
        <v>2016</v>
      </c>
      <c r="BI261" s="2" t="s">
        <v>85</v>
      </c>
      <c r="BJ261" s="2">
        <v>19</v>
      </c>
    </row>
    <row r="262" spans="1:62" x14ac:dyDescent="0.3">
      <c r="A262" s="2" t="s">
        <v>62</v>
      </c>
      <c r="B262" s="2">
        <v>4</v>
      </c>
      <c r="C262" s="2">
        <v>4</v>
      </c>
      <c r="D262" s="2">
        <v>7.62</v>
      </c>
      <c r="E262" s="2">
        <v>120.89</v>
      </c>
      <c r="F262" s="2" t="s">
        <v>100</v>
      </c>
      <c r="G262" s="2" t="s">
        <v>64</v>
      </c>
      <c r="H262" s="2">
        <v>18</v>
      </c>
      <c r="I262" s="2" t="s">
        <v>863</v>
      </c>
      <c r="J262" s="2" t="s">
        <v>322</v>
      </c>
      <c r="K262" s="2" t="s">
        <v>102</v>
      </c>
      <c r="L262" s="2" t="s">
        <v>414</v>
      </c>
      <c r="M262" s="2">
        <v>11930</v>
      </c>
      <c r="N262" s="2" t="s">
        <v>1104</v>
      </c>
      <c r="O262" s="2" t="s">
        <v>124</v>
      </c>
      <c r="P262" s="2" t="s">
        <v>294</v>
      </c>
      <c r="Q262" s="2" t="s">
        <v>1496</v>
      </c>
      <c r="R262" s="2">
        <v>48227</v>
      </c>
      <c r="S262" s="2">
        <v>4</v>
      </c>
      <c r="T262" s="2" t="s">
        <v>417</v>
      </c>
      <c r="U262" s="2">
        <v>42.398078900000002</v>
      </c>
      <c r="V262" s="2">
        <v>-83.201576200000005</v>
      </c>
      <c r="W262" s="2" t="s">
        <v>74</v>
      </c>
      <c r="X262" s="2" t="s">
        <v>1497</v>
      </c>
      <c r="Y262" s="2" t="s">
        <v>116</v>
      </c>
      <c r="Z262" s="2">
        <v>11930</v>
      </c>
      <c r="AA262" s="3">
        <v>42523.100694444445</v>
      </c>
      <c r="AB262" s="2">
        <v>27478</v>
      </c>
      <c r="AC262" s="2">
        <v>403</v>
      </c>
      <c r="AD262" s="2">
        <v>9.1</v>
      </c>
      <c r="AE262" s="2">
        <v>7.0000000000000007E-2</v>
      </c>
      <c r="AF262" s="2" t="str" cm="1">
        <f t="array" ref="AF262">_xlfn.IFS(AE262=0, "No Discount ", AE262&lt;=0.08,"Low Discount", AE262&lt;=0.16,"Medium Discount", AE262&gt;0.16, "High Discount")</f>
        <v>Low Discount</v>
      </c>
      <c r="AG262" s="2">
        <v>68790</v>
      </c>
      <c r="AH262" s="2">
        <v>129.99</v>
      </c>
      <c r="AI262" s="2">
        <v>0.06</v>
      </c>
      <c r="AJ262" s="2" t="str" cm="1">
        <f t="array" ref="AJ262">_xlfn.IFS(AI262&lt;=0, "No Profit", AI262&lt;=0.16,"Low Profit",AI262&lt;=0.32,"Medium Profit",AI262&gt;0.32,"High Profit")</f>
        <v>Low Profit</v>
      </c>
      <c r="AK262" s="2">
        <v>1</v>
      </c>
      <c r="AL262" s="2">
        <v>129.99</v>
      </c>
      <c r="AM262" s="2">
        <v>120.89</v>
      </c>
      <c r="AN262" s="2">
        <v>7.62</v>
      </c>
      <c r="AO262" s="2" t="s">
        <v>118</v>
      </c>
      <c r="AP262" s="2" t="s">
        <v>255</v>
      </c>
      <c r="AQ262" s="2" t="s">
        <v>80</v>
      </c>
      <c r="AR262" s="2" t="s">
        <v>81</v>
      </c>
      <c r="AS262" s="2">
        <v>403</v>
      </c>
      <c r="AT262" s="2">
        <v>18</v>
      </c>
      <c r="AU262" s="2" t="s">
        <v>869</v>
      </c>
      <c r="AV262" s="2">
        <v>129.99</v>
      </c>
      <c r="AW262" s="2">
        <v>0</v>
      </c>
      <c r="AX262" s="3">
        <v>42645.100694444445</v>
      </c>
      <c r="AY262" s="2" t="s">
        <v>83</v>
      </c>
      <c r="AZ262" s="4">
        <v>42523</v>
      </c>
      <c r="BA262" s="5">
        <v>0.10069444444444445</v>
      </c>
      <c r="BB262" s="2">
        <v>2016</v>
      </c>
      <c r="BC262" s="2" t="s">
        <v>474</v>
      </c>
      <c r="BD262" s="2">
        <v>2</v>
      </c>
      <c r="BE262" s="4">
        <v>42645</v>
      </c>
      <c r="BF262" s="5">
        <v>0.10069444444444445</v>
      </c>
      <c r="BG262" s="2" t="str" cm="1">
        <f t="array" ref="BG262">_xlfn.IFS(BF262&lt;TIMEVALUE("06:00"),"Night", BF262&gt;=TIMEVALUE("21:00"),"Night",BF262&gt;=TIMEVALUE("17:00"),"Evening",BF262&gt;=TIMEVALUE("12:00"),"Afternoon", BF262&gt;=TIMEVALUE("06:00"),"Morning")</f>
        <v>Night</v>
      </c>
      <c r="BH262" s="2">
        <v>2016</v>
      </c>
      <c r="BI262" s="2" t="s">
        <v>434</v>
      </c>
      <c r="BJ262" s="2">
        <v>2</v>
      </c>
    </row>
    <row r="263" spans="1:62" x14ac:dyDescent="0.3">
      <c r="A263" s="2" t="s">
        <v>62</v>
      </c>
      <c r="B263" s="2">
        <v>2</v>
      </c>
      <c r="C263" s="2">
        <v>4</v>
      </c>
      <c r="D263" s="2">
        <v>62.82</v>
      </c>
      <c r="E263" s="2">
        <v>200.71</v>
      </c>
      <c r="F263" s="2" t="s">
        <v>63</v>
      </c>
      <c r="G263" s="2" t="s">
        <v>64</v>
      </c>
      <c r="H263" s="2">
        <v>76</v>
      </c>
      <c r="I263" s="2" t="s">
        <v>1351</v>
      </c>
      <c r="J263" s="2" t="s">
        <v>1498</v>
      </c>
      <c r="K263" s="2" t="s">
        <v>102</v>
      </c>
      <c r="L263" s="2" t="s">
        <v>1230</v>
      </c>
      <c r="M263" s="2">
        <v>20529</v>
      </c>
      <c r="N263" s="2" t="s">
        <v>1499</v>
      </c>
      <c r="O263" s="2" t="s">
        <v>124</v>
      </c>
      <c r="P263" s="2" t="s">
        <v>105</v>
      </c>
      <c r="Q263" s="2" t="s">
        <v>1500</v>
      </c>
      <c r="R263" s="2">
        <v>92840</v>
      </c>
      <c r="S263" s="2">
        <v>4</v>
      </c>
      <c r="T263" s="2" t="s">
        <v>417</v>
      </c>
      <c r="U263" s="2">
        <v>33.773666400000003</v>
      </c>
      <c r="V263" s="2">
        <v>-118.0033035</v>
      </c>
      <c r="W263" s="2" t="s">
        <v>74</v>
      </c>
      <c r="X263" s="2" t="s">
        <v>1501</v>
      </c>
      <c r="Y263" s="2" t="s">
        <v>116</v>
      </c>
      <c r="Z263" s="2">
        <v>20529</v>
      </c>
      <c r="AA263" s="2" t="s">
        <v>1502</v>
      </c>
      <c r="AB263" s="2">
        <v>76976</v>
      </c>
      <c r="AC263" s="2">
        <v>1363</v>
      </c>
      <c r="AD263" s="2">
        <v>15.11</v>
      </c>
      <c r="AE263" s="2">
        <v>7.0000000000000007E-2</v>
      </c>
      <c r="AF263" s="2" t="str" cm="1">
        <f t="array" ref="AF263">_xlfn.IFS(AE263=0, "No Discount ", AE263&lt;=0.08,"Low Discount", AE263&lt;=0.16,"Medium Discount", AE263&gt;0.16, "High Discount")</f>
        <v>Low Discount</v>
      </c>
      <c r="AG263" s="2">
        <v>180291</v>
      </c>
      <c r="AH263" s="2">
        <v>215.82</v>
      </c>
      <c r="AI263" s="2">
        <v>0.31</v>
      </c>
      <c r="AJ263" s="2" t="str" cm="1">
        <f t="array" ref="AJ263">_xlfn.IFS(AI263&lt;=0, "No Profit", AI263&lt;=0.16,"Low Profit",AI263&lt;=0.32,"Medium Profit",AI263&gt;0.32,"High Profit")</f>
        <v>Medium Profit</v>
      </c>
      <c r="AK263" s="2">
        <v>1</v>
      </c>
      <c r="AL263" s="2">
        <v>215.82</v>
      </c>
      <c r="AM263" s="2">
        <v>200.71</v>
      </c>
      <c r="AN263" s="2">
        <v>62.82</v>
      </c>
      <c r="AO263" s="2" t="s">
        <v>118</v>
      </c>
      <c r="AP263" s="2" t="s">
        <v>441</v>
      </c>
      <c r="AQ263" s="2" t="s">
        <v>80</v>
      </c>
      <c r="AR263" s="2" t="s">
        <v>81</v>
      </c>
      <c r="AS263" s="2">
        <v>1363</v>
      </c>
      <c r="AT263" s="2">
        <v>76</v>
      </c>
      <c r="AU263" s="2" t="s">
        <v>1356</v>
      </c>
      <c r="AV263" s="2">
        <v>215.82</v>
      </c>
      <c r="AW263" s="2">
        <v>0</v>
      </c>
      <c r="AX263" s="2" t="s">
        <v>1503</v>
      </c>
      <c r="AY263" s="2" t="s">
        <v>83</v>
      </c>
      <c r="AZ263" s="4">
        <v>43128</v>
      </c>
      <c r="BA263" s="5">
        <v>0.65694444444444444</v>
      </c>
      <c r="BB263" s="2">
        <v>2018</v>
      </c>
      <c r="BC263" s="2" t="s">
        <v>84</v>
      </c>
      <c r="BD263" s="2">
        <v>28</v>
      </c>
      <c r="BE263" s="4">
        <v>43130</v>
      </c>
      <c r="BF263" s="5">
        <v>0.65694444444444444</v>
      </c>
      <c r="BG263" s="2" t="str" cm="1">
        <f t="array" ref="BG263">_xlfn.IFS(BF263&lt;TIMEVALUE("06:00"),"Night", BF263&gt;=TIMEVALUE("21:00"),"Night",BF263&gt;=TIMEVALUE("17:00"),"Evening",BF263&gt;=TIMEVALUE("12:00"),"Afternoon", BF263&gt;=TIMEVALUE("06:00"),"Morning")</f>
        <v>Afternoon</v>
      </c>
      <c r="BH263" s="2">
        <v>2018</v>
      </c>
      <c r="BI263" s="2" t="s">
        <v>84</v>
      </c>
      <c r="BJ263" s="2">
        <v>30</v>
      </c>
    </row>
    <row r="264" spans="1:62" x14ac:dyDescent="0.3">
      <c r="A264" s="2" t="s">
        <v>62</v>
      </c>
      <c r="B264" s="2">
        <v>4</v>
      </c>
      <c r="C264" s="2">
        <v>4</v>
      </c>
      <c r="D264" s="2">
        <v>-187.38</v>
      </c>
      <c r="E264" s="2">
        <v>120.89</v>
      </c>
      <c r="F264" s="2" t="s">
        <v>100</v>
      </c>
      <c r="G264" s="2" t="s">
        <v>64</v>
      </c>
      <c r="H264" s="2">
        <v>18</v>
      </c>
      <c r="I264" s="2" t="s">
        <v>863</v>
      </c>
      <c r="J264" s="2" t="s">
        <v>1331</v>
      </c>
      <c r="K264" s="2" t="s">
        <v>102</v>
      </c>
      <c r="L264" s="2" t="s">
        <v>414</v>
      </c>
      <c r="M264" s="2">
        <v>8358</v>
      </c>
      <c r="N264" s="2" t="s">
        <v>425</v>
      </c>
      <c r="O264" s="2" t="s">
        <v>124</v>
      </c>
      <c r="P264" s="2" t="s">
        <v>105</v>
      </c>
      <c r="Q264" s="2" t="s">
        <v>1504</v>
      </c>
      <c r="R264" s="2">
        <v>92105</v>
      </c>
      <c r="S264" s="2">
        <v>4</v>
      </c>
      <c r="T264" s="2" t="s">
        <v>417</v>
      </c>
      <c r="U264" s="2">
        <v>32.749534599999997</v>
      </c>
      <c r="V264" s="2">
        <v>-117.10465240000001</v>
      </c>
      <c r="W264" s="2" t="s">
        <v>74</v>
      </c>
      <c r="X264" s="2" t="s">
        <v>1505</v>
      </c>
      <c r="Y264" s="2" t="s">
        <v>93</v>
      </c>
      <c r="Z264" s="2">
        <v>8358</v>
      </c>
      <c r="AA264" s="2" t="s">
        <v>1506</v>
      </c>
      <c r="AB264" s="2">
        <v>24063</v>
      </c>
      <c r="AC264" s="2">
        <v>403</v>
      </c>
      <c r="AD264" s="2">
        <v>9.1</v>
      </c>
      <c r="AE264" s="2">
        <v>7.0000000000000007E-2</v>
      </c>
      <c r="AF264" s="2" t="str" cm="1">
        <f t="array" ref="AF264">_xlfn.IFS(AE264=0, "No Discount ", AE264&lt;=0.08,"Low Discount", AE264&lt;=0.16,"Medium Discount", AE264&gt;0.16, "High Discount")</f>
        <v>Low Discount</v>
      </c>
      <c r="AG264" s="2">
        <v>60210</v>
      </c>
      <c r="AH264" s="2">
        <v>129.99</v>
      </c>
      <c r="AI264" s="2">
        <v>-1.55</v>
      </c>
      <c r="AJ264" s="2" t="str" cm="1">
        <f t="array" ref="AJ264">_xlfn.IFS(AI264&lt;=0, "No Profit", AI264&lt;=0.16,"Low Profit",AI264&lt;=0.32,"Medium Profit",AI264&gt;0.32,"High Profit")</f>
        <v>No Profit</v>
      </c>
      <c r="AK264" s="2">
        <v>1</v>
      </c>
      <c r="AL264" s="2">
        <v>129.99</v>
      </c>
      <c r="AM264" s="2">
        <v>120.89</v>
      </c>
      <c r="AN264" s="2">
        <v>-187.38</v>
      </c>
      <c r="AO264" s="2" t="s">
        <v>95</v>
      </c>
      <c r="AP264" s="2" t="s">
        <v>96</v>
      </c>
      <c r="AQ264" s="2" t="s">
        <v>80</v>
      </c>
      <c r="AR264" s="2" t="s">
        <v>81</v>
      </c>
      <c r="AS264" s="2">
        <v>403</v>
      </c>
      <c r="AT264" s="2">
        <v>18</v>
      </c>
      <c r="AU264" s="2" t="s">
        <v>869</v>
      </c>
      <c r="AV264" s="2">
        <v>129.99</v>
      </c>
      <c r="AW264" s="2">
        <v>0</v>
      </c>
      <c r="AX264" s="2" t="s">
        <v>1507</v>
      </c>
      <c r="AY264" s="2" t="s">
        <v>83</v>
      </c>
      <c r="AZ264" s="4">
        <v>42356</v>
      </c>
      <c r="BA264" s="5">
        <v>0.24930555555555556</v>
      </c>
      <c r="BB264" s="2">
        <v>2015</v>
      </c>
      <c r="BC264" s="2" t="s">
        <v>357</v>
      </c>
      <c r="BD264" s="2">
        <v>18</v>
      </c>
      <c r="BE264" s="4">
        <v>42360</v>
      </c>
      <c r="BF264" s="5">
        <v>0.24930555555555556</v>
      </c>
      <c r="BG264" s="2" t="str" cm="1">
        <f t="array" ref="BG264">_xlfn.IFS(BF264&lt;TIMEVALUE("06:00"),"Night", BF264&gt;=TIMEVALUE("21:00"),"Night",BF264&gt;=TIMEVALUE("17:00"),"Evening",BF264&gt;=TIMEVALUE("12:00"),"Afternoon", BF264&gt;=TIMEVALUE("06:00"),"Morning")</f>
        <v>Night</v>
      </c>
      <c r="BH264" s="2">
        <v>2015</v>
      </c>
      <c r="BI264" s="2" t="s">
        <v>357</v>
      </c>
      <c r="BJ264" s="2">
        <v>22</v>
      </c>
    </row>
    <row r="265" spans="1:62" x14ac:dyDescent="0.3">
      <c r="A265" s="2" t="s">
        <v>62</v>
      </c>
      <c r="B265" s="2">
        <v>5</v>
      </c>
      <c r="C265" s="2">
        <v>4</v>
      </c>
      <c r="D265" s="2">
        <v>31.43</v>
      </c>
      <c r="E265" s="2">
        <v>120.89</v>
      </c>
      <c r="F265" s="2" t="s">
        <v>87</v>
      </c>
      <c r="G265" s="2" t="s">
        <v>88</v>
      </c>
      <c r="H265" s="2">
        <v>18</v>
      </c>
      <c r="I265" s="2" t="s">
        <v>863</v>
      </c>
      <c r="J265" s="2" t="s">
        <v>1460</v>
      </c>
      <c r="K265" s="2" t="s">
        <v>102</v>
      </c>
      <c r="L265" s="2" t="s">
        <v>1508</v>
      </c>
      <c r="M265" s="2">
        <v>7705</v>
      </c>
      <c r="N265" s="2" t="s">
        <v>1509</v>
      </c>
      <c r="O265" s="2" t="s">
        <v>124</v>
      </c>
      <c r="P265" s="2" t="s">
        <v>234</v>
      </c>
      <c r="Q265" s="2" t="s">
        <v>1510</v>
      </c>
      <c r="R265" s="2">
        <v>60609</v>
      </c>
      <c r="S265" s="2">
        <v>4</v>
      </c>
      <c r="T265" s="2" t="s">
        <v>417</v>
      </c>
      <c r="U265" s="2">
        <v>41.895519299999997</v>
      </c>
      <c r="V265" s="2">
        <v>-87.718215900000004</v>
      </c>
      <c r="W265" s="2" t="s">
        <v>74</v>
      </c>
      <c r="X265" s="2" t="s">
        <v>1511</v>
      </c>
      <c r="Y265" s="2" t="s">
        <v>1512</v>
      </c>
      <c r="Z265" s="2">
        <v>7705</v>
      </c>
      <c r="AA265" s="2" t="s">
        <v>1513</v>
      </c>
      <c r="AB265" s="2">
        <v>51209</v>
      </c>
      <c r="AC265" s="2">
        <v>403</v>
      </c>
      <c r="AD265" s="2">
        <v>9.1</v>
      </c>
      <c r="AE265" s="2">
        <v>7.0000000000000007E-2</v>
      </c>
      <c r="AF265" s="2" t="str" cm="1">
        <f t="array" ref="AF265">_xlfn.IFS(AE265=0, "No Discount ", AE265&lt;=0.08,"Low Discount", AE265&lt;=0.16,"Medium Discount", AE265&gt;0.16, "High Discount")</f>
        <v>Low Discount</v>
      </c>
      <c r="AG265" s="2">
        <v>127964</v>
      </c>
      <c r="AH265" s="2">
        <v>129.99</v>
      </c>
      <c r="AI265" s="2">
        <v>0.26</v>
      </c>
      <c r="AJ265" s="2" t="str" cm="1">
        <f t="array" ref="AJ265">_xlfn.IFS(AI265&lt;=0, "No Profit", AI265&lt;=0.16,"Low Profit",AI265&lt;=0.32,"Medium Profit",AI265&gt;0.32,"High Profit")</f>
        <v>Medium Profit</v>
      </c>
      <c r="AK265" s="2">
        <v>1</v>
      </c>
      <c r="AL265" s="2">
        <v>129.99</v>
      </c>
      <c r="AM265" s="2">
        <v>120.89</v>
      </c>
      <c r="AN265" s="2">
        <v>31.43</v>
      </c>
      <c r="AO265" s="2" t="s">
        <v>95</v>
      </c>
      <c r="AP265" s="2" t="s">
        <v>1511</v>
      </c>
      <c r="AQ265" s="2" t="s">
        <v>80</v>
      </c>
      <c r="AR265" s="2" t="s">
        <v>81</v>
      </c>
      <c r="AS265" s="2">
        <v>403</v>
      </c>
      <c r="AT265" s="2">
        <v>18</v>
      </c>
      <c r="AU265" s="2" t="s">
        <v>869</v>
      </c>
      <c r="AV265" s="2">
        <v>129.99</v>
      </c>
      <c r="AW265" s="2">
        <v>0</v>
      </c>
      <c r="AX265" s="2" t="s">
        <v>1514</v>
      </c>
      <c r="AY265" s="2" t="s">
        <v>83</v>
      </c>
      <c r="AZ265" s="4">
        <v>42752</v>
      </c>
      <c r="BA265" s="5">
        <v>0.5180555555555556</v>
      </c>
      <c r="BB265" s="2">
        <v>2017</v>
      </c>
      <c r="BC265" s="2" t="s">
        <v>84</v>
      </c>
      <c r="BD265" s="2">
        <v>17</v>
      </c>
      <c r="BE265" s="4">
        <v>42757</v>
      </c>
      <c r="BF265" s="5">
        <v>0.5180555555555556</v>
      </c>
      <c r="BG265" s="2" t="str" cm="1">
        <f t="array" ref="BG265">_xlfn.IFS(BF265&lt;TIMEVALUE("06:00"),"Night", BF265&gt;=TIMEVALUE("21:00"),"Night",BF265&gt;=TIMEVALUE("17:00"),"Evening",BF265&gt;=TIMEVALUE("12:00"),"Afternoon", BF265&gt;=TIMEVALUE("06:00"),"Morning")</f>
        <v>Afternoon</v>
      </c>
      <c r="BH265" s="2">
        <v>2017</v>
      </c>
      <c r="BI265" s="2" t="s">
        <v>84</v>
      </c>
      <c r="BJ265" s="2">
        <v>22</v>
      </c>
    </row>
    <row r="266" spans="1:62" x14ac:dyDescent="0.3">
      <c r="A266" s="2" t="s">
        <v>62</v>
      </c>
      <c r="B266" s="2">
        <v>5</v>
      </c>
      <c r="C266" s="2">
        <v>4</v>
      </c>
      <c r="D266" s="2">
        <v>-140.5</v>
      </c>
      <c r="E266" s="2">
        <v>200.71</v>
      </c>
      <c r="F266" s="2" t="s">
        <v>87</v>
      </c>
      <c r="G266" s="2" t="s">
        <v>88</v>
      </c>
      <c r="H266" s="2">
        <v>76</v>
      </c>
      <c r="I266" s="2" t="s">
        <v>1351</v>
      </c>
      <c r="J266" s="2" t="s">
        <v>1515</v>
      </c>
      <c r="K266" s="2" t="s">
        <v>102</v>
      </c>
      <c r="L266" s="2" t="s">
        <v>1516</v>
      </c>
      <c r="M266" s="2">
        <v>17392</v>
      </c>
      <c r="N266" s="2" t="s">
        <v>1517</v>
      </c>
      <c r="O266" s="2" t="s">
        <v>124</v>
      </c>
      <c r="P266" s="2" t="s">
        <v>105</v>
      </c>
      <c r="Q266" s="2" t="s">
        <v>1518</v>
      </c>
      <c r="R266" s="2">
        <v>92870</v>
      </c>
      <c r="S266" s="2">
        <v>4</v>
      </c>
      <c r="T266" s="2" t="s">
        <v>417</v>
      </c>
      <c r="U266" s="2">
        <v>33.994598400000001</v>
      </c>
      <c r="V266" s="2">
        <v>-117.9534302</v>
      </c>
      <c r="W266" s="2" t="s">
        <v>74</v>
      </c>
      <c r="X266" s="2" t="s">
        <v>1519</v>
      </c>
      <c r="Y266" s="2" t="s">
        <v>93</v>
      </c>
      <c r="Z266" s="2">
        <v>17392</v>
      </c>
      <c r="AA266" s="2" t="s">
        <v>1520</v>
      </c>
      <c r="AB266" s="2">
        <v>73839</v>
      </c>
      <c r="AC266" s="2">
        <v>1363</v>
      </c>
      <c r="AD266" s="2">
        <v>15.11</v>
      </c>
      <c r="AE266" s="2">
        <v>7.0000000000000007E-2</v>
      </c>
      <c r="AF266" s="2" t="str" cm="1">
        <f t="array" ref="AF266">_xlfn.IFS(AE266=0, "No Discount ", AE266&lt;=0.08,"Low Discount", AE266&lt;=0.16,"Medium Discount", AE266&gt;0.16, "High Discount")</f>
        <v>Low Discount</v>
      </c>
      <c r="AG266" s="2">
        <v>177154</v>
      </c>
      <c r="AH266" s="2">
        <v>215.82</v>
      </c>
      <c r="AI266" s="2">
        <v>-0.7</v>
      </c>
      <c r="AJ266" s="2" t="str" cm="1">
        <f t="array" ref="AJ266">_xlfn.IFS(AI266&lt;=0, "No Profit", AI266&lt;=0.16,"Low Profit",AI266&lt;=0.32,"Medium Profit",AI266&gt;0.32,"High Profit")</f>
        <v>No Profit</v>
      </c>
      <c r="AK266" s="2">
        <v>1</v>
      </c>
      <c r="AL266" s="2">
        <v>215.82</v>
      </c>
      <c r="AM266" s="2">
        <v>200.71</v>
      </c>
      <c r="AN266" s="2">
        <v>-140.5</v>
      </c>
      <c r="AO266" s="2" t="s">
        <v>95</v>
      </c>
      <c r="AP266" s="2" t="s">
        <v>1521</v>
      </c>
      <c r="AQ266" s="2" t="s">
        <v>80</v>
      </c>
      <c r="AR266" s="2" t="s">
        <v>81</v>
      </c>
      <c r="AS266" s="2">
        <v>1363</v>
      </c>
      <c r="AT266" s="2">
        <v>76</v>
      </c>
      <c r="AU266" s="2" t="s">
        <v>1356</v>
      </c>
      <c r="AV266" s="2">
        <v>215.82</v>
      </c>
      <c r="AW266" s="2">
        <v>0</v>
      </c>
      <c r="AX266" s="2" t="s">
        <v>1522</v>
      </c>
      <c r="AY266" s="2" t="s">
        <v>83</v>
      </c>
      <c r="AZ266" s="4">
        <v>43082</v>
      </c>
      <c r="BA266" s="5">
        <v>0.86388888888888893</v>
      </c>
      <c r="BB266" s="2">
        <v>2017</v>
      </c>
      <c r="BC266" s="2" t="s">
        <v>357</v>
      </c>
      <c r="BD266" s="2">
        <v>13</v>
      </c>
      <c r="BE266" s="4">
        <v>43087</v>
      </c>
      <c r="BF266" s="5">
        <v>0.86388888888888893</v>
      </c>
      <c r="BG266" s="2" t="str" cm="1">
        <f t="array" ref="BG266">_xlfn.IFS(BF266&lt;TIMEVALUE("06:00"),"Night", BF266&gt;=TIMEVALUE("21:00"),"Night",BF266&gt;=TIMEVALUE("17:00"),"Evening",BF266&gt;=TIMEVALUE("12:00"),"Afternoon", BF266&gt;=TIMEVALUE("06:00"),"Morning")</f>
        <v>Evening</v>
      </c>
      <c r="BH266" s="2">
        <v>2017</v>
      </c>
      <c r="BI266" s="2" t="s">
        <v>357</v>
      </c>
      <c r="BJ266" s="2">
        <v>18</v>
      </c>
    </row>
    <row r="267" spans="1:62" x14ac:dyDescent="0.3">
      <c r="A267" s="2" t="s">
        <v>62</v>
      </c>
      <c r="B267" s="2">
        <v>4</v>
      </c>
      <c r="C267" s="2">
        <v>4</v>
      </c>
      <c r="D267" s="2">
        <v>37.770000000000003</v>
      </c>
      <c r="E267" s="2">
        <v>429.18</v>
      </c>
      <c r="F267" s="2" t="s">
        <v>100</v>
      </c>
      <c r="G267" s="2" t="s">
        <v>64</v>
      </c>
      <c r="H267" s="2">
        <v>66</v>
      </c>
      <c r="I267" s="2" t="s">
        <v>1400</v>
      </c>
      <c r="J267" s="2" t="s">
        <v>101</v>
      </c>
      <c r="K267" s="2" t="s">
        <v>102</v>
      </c>
      <c r="L267" s="2" t="s">
        <v>1523</v>
      </c>
      <c r="M267" s="2">
        <v>18276</v>
      </c>
      <c r="N267" s="2" t="s">
        <v>1524</v>
      </c>
      <c r="O267" s="2" t="s">
        <v>124</v>
      </c>
      <c r="P267" s="2" t="s">
        <v>105</v>
      </c>
      <c r="Q267" s="2" t="s">
        <v>1349</v>
      </c>
      <c r="R267" s="2">
        <v>95148</v>
      </c>
      <c r="S267" s="2">
        <v>4</v>
      </c>
      <c r="T267" s="2" t="s">
        <v>417</v>
      </c>
      <c r="U267" s="2">
        <v>37.325542499999997</v>
      </c>
      <c r="V267" s="2">
        <v>-121.7993469</v>
      </c>
      <c r="W267" s="2" t="s">
        <v>74</v>
      </c>
      <c r="X267" s="2" t="s">
        <v>1525</v>
      </c>
      <c r="Y267" s="2" t="s">
        <v>76</v>
      </c>
      <c r="Z267" s="2">
        <v>18276</v>
      </c>
      <c r="AA267" s="2" t="s">
        <v>1526</v>
      </c>
      <c r="AB267" s="2">
        <v>74723</v>
      </c>
      <c r="AC267" s="2">
        <v>1353</v>
      </c>
      <c r="AD267" s="2">
        <v>32.299999999999997</v>
      </c>
      <c r="AE267" s="2">
        <v>7.0000000000000007E-2</v>
      </c>
      <c r="AF267" s="2" t="str" cm="1">
        <f t="array" ref="AF267">_xlfn.IFS(AE267=0, "No Discount ", AE267&lt;=0.08,"Low Discount", AE267&lt;=0.16,"Medium Discount", AE267&gt;0.16, "High Discount")</f>
        <v>Low Discount</v>
      </c>
      <c r="AG267" s="2">
        <v>178038</v>
      </c>
      <c r="AH267" s="2">
        <v>461.48</v>
      </c>
      <c r="AI267" s="2">
        <v>0.09</v>
      </c>
      <c r="AJ267" s="2" t="str" cm="1">
        <f t="array" ref="AJ267">_xlfn.IFS(AI267&lt;=0, "No Profit", AI267&lt;=0.16,"Low Profit",AI267&lt;=0.32,"Medium Profit",AI267&gt;0.32,"High Profit")</f>
        <v>Low Profit</v>
      </c>
      <c r="AK267" s="2">
        <v>1</v>
      </c>
      <c r="AL267" s="2">
        <v>461.48</v>
      </c>
      <c r="AM267" s="2">
        <v>429.18</v>
      </c>
      <c r="AN267" s="2">
        <v>37.770000000000003</v>
      </c>
      <c r="AO267" s="2" t="s">
        <v>78</v>
      </c>
      <c r="AP267" s="2" t="s">
        <v>1527</v>
      </c>
      <c r="AQ267" s="2" t="s">
        <v>80</v>
      </c>
      <c r="AR267" s="2" t="s">
        <v>81</v>
      </c>
      <c r="AS267" s="2">
        <v>1353</v>
      </c>
      <c r="AT267" s="2">
        <v>66</v>
      </c>
      <c r="AU267" s="2" t="s">
        <v>1407</v>
      </c>
      <c r="AV267" s="2">
        <v>461.48</v>
      </c>
      <c r="AW267" s="2">
        <v>0</v>
      </c>
      <c r="AX267" s="2" t="s">
        <v>1528</v>
      </c>
      <c r="AY267" s="2" t="s">
        <v>83</v>
      </c>
      <c r="AZ267" s="4">
        <v>43095</v>
      </c>
      <c r="BA267" s="5">
        <v>0.7680555555555556</v>
      </c>
      <c r="BB267" s="2">
        <v>2017</v>
      </c>
      <c r="BC267" s="2" t="s">
        <v>357</v>
      </c>
      <c r="BD267" s="2">
        <v>26</v>
      </c>
      <c r="BE267" s="4">
        <v>43099</v>
      </c>
      <c r="BF267" s="5">
        <v>0.7680555555555556</v>
      </c>
      <c r="BG267" s="2" t="str" cm="1">
        <f t="array" ref="BG267">_xlfn.IFS(BF267&lt;TIMEVALUE("06:00"),"Night", BF267&gt;=TIMEVALUE("21:00"),"Night",BF267&gt;=TIMEVALUE("17:00"),"Evening",BF267&gt;=TIMEVALUE("12:00"),"Afternoon", BF267&gt;=TIMEVALUE("06:00"),"Morning")</f>
        <v>Evening</v>
      </c>
      <c r="BH267" s="2">
        <v>2017</v>
      </c>
      <c r="BI267" s="2" t="s">
        <v>357</v>
      </c>
      <c r="BJ267" s="2">
        <v>30</v>
      </c>
    </row>
    <row r="268" spans="1:62" x14ac:dyDescent="0.3">
      <c r="A268" s="2" t="s">
        <v>62</v>
      </c>
      <c r="B268" s="2">
        <v>2</v>
      </c>
      <c r="C268" s="2">
        <v>4</v>
      </c>
      <c r="D268" s="2">
        <v>-193.43</v>
      </c>
      <c r="E268" s="2">
        <v>120.89</v>
      </c>
      <c r="F268" s="2" t="s">
        <v>63</v>
      </c>
      <c r="G268" s="2" t="s">
        <v>64</v>
      </c>
      <c r="H268" s="2">
        <v>18</v>
      </c>
      <c r="I268" s="2" t="s">
        <v>863</v>
      </c>
      <c r="J268" s="2" t="s">
        <v>1212</v>
      </c>
      <c r="K268" s="2" t="s">
        <v>102</v>
      </c>
      <c r="L268" s="2" t="s">
        <v>698</v>
      </c>
      <c r="M268" s="2">
        <v>7795</v>
      </c>
      <c r="N268" s="2" t="s">
        <v>425</v>
      </c>
      <c r="O268" s="2" t="s">
        <v>124</v>
      </c>
      <c r="P268" s="2" t="s">
        <v>1154</v>
      </c>
      <c r="Q268" s="2" t="s">
        <v>1529</v>
      </c>
      <c r="R268" s="2">
        <v>96822</v>
      </c>
      <c r="S268" s="2">
        <v>4</v>
      </c>
      <c r="T268" s="2" t="s">
        <v>417</v>
      </c>
      <c r="U268" s="2">
        <v>21.3056202</v>
      </c>
      <c r="V268" s="2">
        <v>-157.8386993</v>
      </c>
      <c r="W268" s="2" t="s">
        <v>74</v>
      </c>
      <c r="X268" s="2" t="s">
        <v>1530</v>
      </c>
      <c r="Y268" s="2" t="s">
        <v>76</v>
      </c>
      <c r="Z268" s="2">
        <v>7795</v>
      </c>
      <c r="AA268" s="2" t="s">
        <v>1531</v>
      </c>
      <c r="AB268" s="2">
        <v>26821</v>
      </c>
      <c r="AC268" s="2">
        <v>403</v>
      </c>
      <c r="AD268" s="2">
        <v>9.1</v>
      </c>
      <c r="AE268" s="2">
        <v>7.0000000000000007E-2</v>
      </c>
      <c r="AF268" s="2" t="str" cm="1">
        <f t="array" ref="AF268">_xlfn.IFS(AE268=0, "No Discount ", AE268&lt;=0.08,"Low Discount", AE268&lt;=0.16,"Medium Discount", AE268&gt;0.16, "High Discount")</f>
        <v>Low Discount</v>
      </c>
      <c r="AG268" s="2">
        <v>67197</v>
      </c>
      <c r="AH268" s="2">
        <v>129.99</v>
      </c>
      <c r="AI268" s="2">
        <v>-1.6</v>
      </c>
      <c r="AJ268" s="2" t="str" cm="1">
        <f t="array" ref="AJ268">_xlfn.IFS(AI268&lt;=0, "No Profit", AI268&lt;=0.16,"Low Profit",AI268&lt;=0.32,"Medium Profit",AI268&gt;0.32,"High Profit")</f>
        <v>No Profit</v>
      </c>
      <c r="AK268" s="2">
        <v>1</v>
      </c>
      <c r="AL268" s="2">
        <v>129.99</v>
      </c>
      <c r="AM268" s="2">
        <v>120.89</v>
      </c>
      <c r="AN268" s="2">
        <v>-193.43</v>
      </c>
      <c r="AO268" s="2" t="s">
        <v>78</v>
      </c>
      <c r="AP268" s="2" t="s">
        <v>79</v>
      </c>
      <c r="AQ268" s="2" t="s">
        <v>80</v>
      </c>
      <c r="AR268" s="2" t="s">
        <v>81</v>
      </c>
      <c r="AS268" s="2">
        <v>403</v>
      </c>
      <c r="AT268" s="2">
        <v>18</v>
      </c>
      <c r="AU268" s="2" t="s">
        <v>869</v>
      </c>
      <c r="AV268" s="2">
        <v>129.99</v>
      </c>
      <c r="AW268" s="2">
        <v>0</v>
      </c>
      <c r="AX268" s="2" t="s">
        <v>1532</v>
      </c>
      <c r="AY268" s="2" t="s">
        <v>83</v>
      </c>
      <c r="AZ268" s="4">
        <v>42396</v>
      </c>
      <c r="BA268" s="5">
        <v>0.50972222222222219</v>
      </c>
      <c r="BB268" s="2">
        <v>2016</v>
      </c>
      <c r="BC268" s="2" t="s">
        <v>84</v>
      </c>
      <c r="BD268" s="2">
        <v>27</v>
      </c>
      <c r="BE268" s="4">
        <v>42398</v>
      </c>
      <c r="BF268" s="5">
        <v>0.50972222222222219</v>
      </c>
      <c r="BG268" s="2" t="str" cm="1">
        <f t="array" ref="BG268">_xlfn.IFS(BF268&lt;TIMEVALUE("06:00"),"Night", BF268&gt;=TIMEVALUE("21:00"),"Night",BF268&gt;=TIMEVALUE("17:00"),"Evening",BF268&gt;=TIMEVALUE("12:00"),"Afternoon", BF268&gt;=TIMEVALUE("06:00"),"Morning")</f>
        <v>Afternoon</v>
      </c>
      <c r="BH268" s="2">
        <v>2016</v>
      </c>
      <c r="BI268" s="2" t="s">
        <v>84</v>
      </c>
      <c r="BJ268" s="2">
        <v>29</v>
      </c>
    </row>
    <row r="269" spans="1:62" x14ac:dyDescent="0.3">
      <c r="A269" s="2" t="s">
        <v>62</v>
      </c>
      <c r="B269" s="2">
        <v>3</v>
      </c>
      <c r="C269" s="2">
        <v>4</v>
      </c>
      <c r="D269" s="2">
        <v>76.27</v>
      </c>
      <c r="E269" s="2">
        <v>200.71</v>
      </c>
      <c r="F269" s="2" t="s">
        <v>63</v>
      </c>
      <c r="G269" s="2" t="s">
        <v>64</v>
      </c>
      <c r="H269" s="2">
        <v>76</v>
      </c>
      <c r="I269" s="2" t="s">
        <v>1351</v>
      </c>
      <c r="J269" s="2" t="s">
        <v>1533</v>
      </c>
      <c r="K269" s="2" t="s">
        <v>102</v>
      </c>
      <c r="L269" s="2" t="s">
        <v>1009</v>
      </c>
      <c r="M269" s="2">
        <v>20655</v>
      </c>
      <c r="N269" s="2" t="s">
        <v>1534</v>
      </c>
      <c r="O269" s="2" t="s">
        <v>124</v>
      </c>
      <c r="P269" s="2" t="s">
        <v>1117</v>
      </c>
      <c r="Q269" s="2" t="s">
        <v>1535</v>
      </c>
      <c r="R269" s="2">
        <v>44060</v>
      </c>
      <c r="S269" s="2">
        <v>4</v>
      </c>
      <c r="T269" s="2" t="s">
        <v>417</v>
      </c>
      <c r="U269" s="2">
        <v>41.7136383</v>
      </c>
      <c r="V269" s="2">
        <v>-81.361679100000003</v>
      </c>
      <c r="W269" s="2" t="s">
        <v>74</v>
      </c>
      <c r="X269" s="2" t="s">
        <v>1536</v>
      </c>
      <c r="Y269" s="2" t="s">
        <v>1537</v>
      </c>
      <c r="Z269" s="2">
        <v>20655</v>
      </c>
      <c r="AA269" s="2" t="s">
        <v>1538</v>
      </c>
      <c r="AB269" s="2">
        <v>77102</v>
      </c>
      <c r="AC269" s="2">
        <v>1363</v>
      </c>
      <c r="AD269" s="2">
        <v>15.11</v>
      </c>
      <c r="AE269" s="2">
        <v>7.0000000000000007E-2</v>
      </c>
      <c r="AF269" s="2" t="str" cm="1">
        <f t="array" ref="AF269">_xlfn.IFS(AE269=0, "No Discount ", AE269&lt;=0.08,"Low Discount", AE269&lt;=0.16,"Medium Discount", AE269&gt;0.16, "High Discount")</f>
        <v>Low Discount</v>
      </c>
      <c r="AG269" s="2">
        <v>180417</v>
      </c>
      <c r="AH269" s="2">
        <v>215.82</v>
      </c>
      <c r="AI269" s="2">
        <v>0.38</v>
      </c>
      <c r="AJ269" s="2" t="str" cm="1">
        <f t="array" ref="AJ269">_xlfn.IFS(AI269&lt;=0, "No Profit", AI269&lt;=0.16,"Low Profit",AI269&lt;=0.32,"Medium Profit",AI269&gt;0.32,"High Profit")</f>
        <v>High Profit</v>
      </c>
      <c r="AK269" s="2">
        <v>1</v>
      </c>
      <c r="AL269" s="2">
        <v>215.82</v>
      </c>
      <c r="AM269" s="2">
        <v>200.71</v>
      </c>
      <c r="AN269" s="2">
        <v>76.27</v>
      </c>
      <c r="AO269" s="2" t="s">
        <v>78</v>
      </c>
      <c r="AP269" s="2" t="s">
        <v>1536</v>
      </c>
      <c r="AQ269" s="2" t="s">
        <v>80</v>
      </c>
      <c r="AR269" s="2" t="s">
        <v>81</v>
      </c>
      <c r="AS269" s="2">
        <v>1363</v>
      </c>
      <c r="AT269" s="2">
        <v>76</v>
      </c>
      <c r="AU269" s="2" t="s">
        <v>1356</v>
      </c>
      <c r="AV269" s="2">
        <v>215.82</v>
      </c>
      <c r="AW269" s="2">
        <v>0</v>
      </c>
      <c r="AX269" s="3">
        <v>43133.495833333334</v>
      </c>
      <c r="AY269" s="2" t="s">
        <v>83</v>
      </c>
      <c r="AZ269" s="4">
        <v>43130</v>
      </c>
      <c r="BA269" s="5">
        <v>0.49583333333333335</v>
      </c>
      <c r="BB269" s="2">
        <v>2018</v>
      </c>
      <c r="BC269" s="2" t="s">
        <v>84</v>
      </c>
      <c r="BD269" s="2">
        <v>30</v>
      </c>
      <c r="BE269" s="4">
        <v>43133</v>
      </c>
      <c r="BF269" s="5">
        <v>0.49583333333333335</v>
      </c>
      <c r="BG269" s="2" t="str" cm="1">
        <f t="array" ref="BG269">_xlfn.IFS(BF269&lt;TIMEVALUE("06:00"),"Night", BF269&gt;=TIMEVALUE("21:00"),"Night",BF269&gt;=TIMEVALUE("17:00"),"Evening",BF269&gt;=TIMEVALUE("12:00"),"Afternoon", BF269&gt;=TIMEVALUE("06:00"),"Morning")</f>
        <v>Morning</v>
      </c>
      <c r="BH269" s="2">
        <v>2018</v>
      </c>
      <c r="BI269" s="2" t="s">
        <v>423</v>
      </c>
      <c r="BJ269" s="2">
        <v>2</v>
      </c>
    </row>
    <row r="270" spans="1:62" x14ac:dyDescent="0.3">
      <c r="A270" s="2" t="s">
        <v>62</v>
      </c>
      <c r="B270" s="2">
        <v>4</v>
      </c>
      <c r="C270" s="2">
        <v>4</v>
      </c>
      <c r="D270" s="2">
        <v>12.09</v>
      </c>
      <c r="E270" s="2">
        <v>120.89</v>
      </c>
      <c r="F270" s="2" t="s">
        <v>100</v>
      </c>
      <c r="G270" s="2" t="s">
        <v>64</v>
      </c>
      <c r="H270" s="2">
        <v>18</v>
      </c>
      <c r="I270" s="2" t="s">
        <v>863</v>
      </c>
      <c r="J270" s="2" t="s">
        <v>1539</v>
      </c>
      <c r="K270" s="2" t="s">
        <v>102</v>
      </c>
      <c r="L270" s="2" t="s">
        <v>488</v>
      </c>
      <c r="M270" s="2">
        <v>2454</v>
      </c>
      <c r="N270" s="2" t="s">
        <v>1540</v>
      </c>
      <c r="O270" s="2" t="s">
        <v>124</v>
      </c>
      <c r="P270" s="2" t="s">
        <v>105</v>
      </c>
      <c r="Q270" s="2" t="s">
        <v>1541</v>
      </c>
      <c r="R270" s="2">
        <v>95051</v>
      </c>
      <c r="S270" s="2">
        <v>4</v>
      </c>
      <c r="T270" s="2" t="s">
        <v>417</v>
      </c>
      <c r="U270" s="2">
        <v>37.3430672</v>
      </c>
      <c r="V270" s="2">
        <v>-121.98393249999999</v>
      </c>
      <c r="W270" s="2" t="s">
        <v>74</v>
      </c>
      <c r="X270" s="2" t="s">
        <v>1542</v>
      </c>
      <c r="Y270" s="2" t="s">
        <v>429</v>
      </c>
      <c r="Z270" s="2">
        <v>2454</v>
      </c>
      <c r="AA270" s="2" t="s">
        <v>1543</v>
      </c>
      <c r="AB270" s="2">
        <v>41608</v>
      </c>
      <c r="AC270" s="2">
        <v>403</v>
      </c>
      <c r="AD270" s="2">
        <v>9.1</v>
      </c>
      <c r="AE270" s="2">
        <v>7.0000000000000007E-2</v>
      </c>
      <c r="AF270" s="2" t="str" cm="1">
        <f t="array" ref="AF270">_xlfn.IFS(AE270=0, "No Discount ", AE270&lt;=0.08,"Low Discount", AE270&lt;=0.16,"Medium Discount", AE270&gt;0.16, "High Discount")</f>
        <v>Low Discount</v>
      </c>
      <c r="AG270" s="2">
        <v>103859</v>
      </c>
      <c r="AH270" s="2">
        <v>129.99</v>
      </c>
      <c r="AI270" s="2">
        <v>0.1</v>
      </c>
      <c r="AJ270" s="2" t="str" cm="1">
        <f t="array" ref="AJ270">_xlfn.IFS(AI270&lt;=0, "No Profit", AI270&lt;=0.16,"Low Profit",AI270&lt;=0.32,"Medium Profit",AI270&gt;0.32,"High Profit")</f>
        <v>Low Profit</v>
      </c>
      <c r="AK270" s="2">
        <v>1</v>
      </c>
      <c r="AL270" s="2">
        <v>129.99</v>
      </c>
      <c r="AM270" s="2">
        <v>120.89</v>
      </c>
      <c r="AN270" s="2">
        <v>12.09</v>
      </c>
      <c r="AO270" s="2" t="s">
        <v>431</v>
      </c>
      <c r="AP270" s="2" t="s">
        <v>1542</v>
      </c>
      <c r="AQ270" s="2" t="s">
        <v>80</v>
      </c>
      <c r="AR270" s="2" t="s">
        <v>81</v>
      </c>
      <c r="AS270" s="2">
        <v>403</v>
      </c>
      <c r="AT270" s="2">
        <v>18</v>
      </c>
      <c r="AU270" s="2" t="s">
        <v>869</v>
      </c>
      <c r="AV270" s="2">
        <v>129.99</v>
      </c>
      <c r="AW270" s="2">
        <v>0</v>
      </c>
      <c r="AX270" s="3">
        <v>42438.365972222222</v>
      </c>
      <c r="AY270" s="2" t="s">
        <v>83</v>
      </c>
      <c r="AZ270" s="4">
        <v>42612</v>
      </c>
      <c r="BA270" s="5">
        <v>0.3659722222222222</v>
      </c>
      <c r="BB270" s="2">
        <v>2016</v>
      </c>
      <c r="BC270" s="2" t="s">
        <v>482</v>
      </c>
      <c r="BD270" s="2">
        <v>30</v>
      </c>
      <c r="BE270" s="4">
        <v>42438</v>
      </c>
      <c r="BF270" s="5">
        <v>0.3659722222222222</v>
      </c>
      <c r="BG270" s="2" t="str" cm="1">
        <f t="array" ref="BG270">_xlfn.IFS(BF270&lt;TIMEVALUE("06:00"),"Night", BF270&gt;=TIMEVALUE("21:00"),"Night",BF270&gt;=TIMEVALUE("17:00"),"Evening",BF270&gt;=TIMEVALUE("12:00"),"Afternoon", BF270&gt;=TIMEVALUE("06:00"),"Morning")</f>
        <v>Morning</v>
      </c>
      <c r="BH270" s="2">
        <v>2016</v>
      </c>
      <c r="BI270" s="2" t="s">
        <v>85</v>
      </c>
      <c r="BJ270" s="2">
        <v>9</v>
      </c>
    </row>
    <row r="271" spans="1:62" x14ac:dyDescent="0.3">
      <c r="A271" s="2" t="s">
        <v>62</v>
      </c>
      <c r="B271" s="2">
        <v>5</v>
      </c>
      <c r="C271" s="2">
        <v>4</v>
      </c>
      <c r="D271" s="2">
        <v>32.64</v>
      </c>
      <c r="E271" s="2">
        <v>120.89</v>
      </c>
      <c r="F271" s="2" t="s">
        <v>87</v>
      </c>
      <c r="G271" s="2" t="s">
        <v>88</v>
      </c>
      <c r="H271" s="2">
        <v>18</v>
      </c>
      <c r="I271" s="2" t="s">
        <v>863</v>
      </c>
      <c r="J271" s="2" t="s">
        <v>1544</v>
      </c>
      <c r="K271" s="2" t="s">
        <v>102</v>
      </c>
      <c r="L271" s="2" t="s">
        <v>414</v>
      </c>
      <c r="M271" s="2">
        <v>150</v>
      </c>
      <c r="N271" s="2" t="s">
        <v>425</v>
      </c>
      <c r="O271" s="2" t="s">
        <v>124</v>
      </c>
      <c r="P271" s="2" t="s">
        <v>1163</v>
      </c>
      <c r="Q271" s="2" t="s">
        <v>1545</v>
      </c>
      <c r="R271" s="2">
        <v>7083</v>
      </c>
      <c r="S271" s="2">
        <v>4</v>
      </c>
      <c r="T271" s="2" t="s">
        <v>417</v>
      </c>
      <c r="U271" s="2">
        <v>33.688960999999999</v>
      </c>
      <c r="V271" s="2">
        <v>-117.9957428</v>
      </c>
      <c r="W271" s="2" t="s">
        <v>74</v>
      </c>
      <c r="X271" s="2" t="s">
        <v>1383</v>
      </c>
      <c r="Y271" s="2" t="s">
        <v>1384</v>
      </c>
      <c r="Z271" s="2">
        <v>150</v>
      </c>
      <c r="AA271" s="2" t="s">
        <v>1546</v>
      </c>
      <c r="AB271" s="2">
        <v>47009</v>
      </c>
      <c r="AC271" s="2">
        <v>403</v>
      </c>
      <c r="AD271" s="2">
        <v>9.1</v>
      </c>
      <c r="AE271" s="2">
        <v>7.0000000000000007E-2</v>
      </c>
      <c r="AF271" s="2" t="str" cm="1">
        <f t="array" ref="AF271">_xlfn.IFS(AE271=0, "No Discount ", AE271&lt;=0.08,"Low Discount", AE271&lt;=0.16,"Medium Discount", AE271&gt;0.16, "High Discount")</f>
        <v>Low Discount</v>
      </c>
      <c r="AG271" s="2">
        <v>117478</v>
      </c>
      <c r="AH271" s="2">
        <v>129.99</v>
      </c>
      <c r="AI271" s="2">
        <v>0.27</v>
      </c>
      <c r="AJ271" s="2" t="str" cm="1">
        <f t="array" ref="AJ271">_xlfn.IFS(AI271&lt;=0, "No Profit", AI271&lt;=0.16,"Low Profit",AI271&lt;=0.32,"Medium Profit",AI271&gt;0.32,"High Profit")</f>
        <v>Medium Profit</v>
      </c>
      <c r="AK271" s="2">
        <v>1</v>
      </c>
      <c r="AL271" s="2">
        <v>129.99</v>
      </c>
      <c r="AM271" s="2">
        <v>120.89</v>
      </c>
      <c r="AN271" s="2">
        <v>32.64</v>
      </c>
      <c r="AO271" s="2" t="s">
        <v>431</v>
      </c>
      <c r="AP271" s="2" t="s">
        <v>1383</v>
      </c>
      <c r="AQ271" s="2" t="s">
        <v>80</v>
      </c>
      <c r="AR271" s="2" t="s">
        <v>81</v>
      </c>
      <c r="AS271" s="2">
        <v>403</v>
      </c>
      <c r="AT271" s="2">
        <v>18</v>
      </c>
      <c r="AU271" s="2" t="s">
        <v>869</v>
      </c>
      <c r="AV271" s="2">
        <v>129.99</v>
      </c>
      <c r="AW271" s="2">
        <v>0</v>
      </c>
      <c r="AX271" s="2" t="s">
        <v>1547</v>
      </c>
      <c r="AY271" s="2" t="s">
        <v>83</v>
      </c>
      <c r="AZ271" s="4">
        <v>42691</v>
      </c>
      <c r="BA271" s="5">
        <v>0.2076388888888889</v>
      </c>
      <c r="BB271" s="2">
        <v>2016</v>
      </c>
      <c r="BC271" s="2" t="s">
        <v>455</v>
      </c>
      <c r="BD271" s="2">
        <v>17</v>
      </c>
      <c r="BE271" s="4">
        <v>42696</v>
      </c>
      <c r="BF271" s="5">
        <v>0.2076388888888889</v>
      </c>
      <c r="BG271" s="2" t="str" cm="1">
        <f t="array" ref="BG271">_xlfn.IFS(BF271&lt;TIMEVALUE("06:00"),"Night", BF271&gt;=TIMEVALUE("21:00"),"Night",BF271&gt;=TIMEVALUE("17:00"),"Evening",BF271&gt;=TIMEVALUE("12:00"),"Afternoon", BF271&gt;=TIMEVALUE("06:00"),"Morning")</f>
        <v>Night</v>
      </c>
      <c r="BH271" s="2">
        <v>2016</v>
      </c>
      <c r="BI271" s="2" t="s">
        <v>455</v>
      </c>
      <c r="BJ271" s="2">
        <v>22</v>
      </c>
    </row>
    <row r="272" spans="1:62" x14ac:dyDescent="0.3">
      <c r="A272" s="2" t="s">
        <v>62</v>
      </c>
      <c r="B272" s="2">
        <v>2</v>
      </c>
      <c r="C272" s="2">
        <v>4</v>
      </c>
      <c r="D272" s="2">
        <v>24.84</v>
      </c>
      <c r="E272" s="2">
        <v>118.29</v>
      </c>
      <c r="F272" s="2" t="s">
        <v>63</v>
      </c>
      <c r="G272" s="2" t="s">
        <v>64</v>
      </c>
      <c r="H272" s="2">
        <v>18</v>
      </c>
      <c r="I272" s="2" t="s">
        <v>863</v>
      </c>
      <c r="J272" s="2" t="s">
        <v>239</v>
      </c>
      <c r="K272" s="2" t="s">
        <v>102</v>
      </c>
      <c r="L272" s="2" t="s">
        <v>1548</v>
      </c>
      <c r="M272" s="2">
        <v>10671</v>
      </c>
      <c r="N272" s="2" t="s">
        <v>1549</v>
      </c>
      <c r="O272" s="2" t="s">
        <v>124</v>
      </c>
      <c r="P272" s="2" t="s">
        <v>105</v>
      </c>
      <c r="Q272" s="2" t="s">
        <v>1550</v>
      </c>
      <c r="R272" s="2">
        <v>90805</v>
      </c>
      <c r="S272" s="2">
        <v>4</v>
      </c>
      <c r="T272" s="2" t="s">
        <v>417</v>
      </c>
      <c r="U272" s="2">
        <v>33.793197599999999</v>
      </c>
      <c r="V272" s="2">
        <v>-118.1895294</v>
      </c>
      <c r="W272" s="2" t="s">
        <v>74</v>
      </c>
      <c r="X272" s="2" t="s">
        <v>1551</v>
      </c>
      <c r="Y272" s="2" t="s">
        <v>1552</v>
      </c>
      <c r="Z272" s="2">
        <v>10671</v>
      </c>
      <c r="AA272" s="2" t="s">
        <v>1553</v>
      </c>
      <c r="AB272" s="2">
        <v>49916</v>
      </c>
      <c r="AC272" s="2">
        <v>403</v>
      </c>
      <c r="AD272" s="2">
        <v>11.7</v>
      </c>
      <c r="AE272" s="2">
        <v>0.09</v>
      </c>
      <c r="AF272" s="2" t="str" cm="1">
        <f t="array" ref="AF272">_xlfn.IFS(AE272=0, "No Discount ", AE272&lt;=0.08,"Low Discount", AE272&lt;=0.16,"Medium Discount", AE272&gt;0.16, "High Discount")</f>
        <v>Medium Discount</v>
      </c>
      <c r="AG272" s="2">
        <v>124787</v>
      </c>
      <c r="AH272" s="2">
        <v>129.99</v>
      </c>
      <c r="AI272" s="2">
        <v>0.21</v>
      </c>
      <c r="AJ272" s="2" t="str" cm="1">
        <f t="array" ref="AJ272">_xlfn.IFS(AI272&lt;=0, "No Profit", AI272&lt;=0.16,"Low Profit",AI272&lt;=0.32,"Medium Profit",AI272&gt;0.32,"High Profit")</f>
        <v>Medium Profit</v>
      </c>
      <c r="AK272" s="2">
        <v>1</v>
      </c>
      <c r="AL272" s="2">
        <v>129.99</v>
      </c>
      <c r="AM272" s="2">
        <v>118.29</v>
      </c>
      <c r="AN272" s="2">
        <v>24.84</v>
      </c>
      <c r="AO272" s="2" t="s">
        <v>1458</v>
      </c>
      <c r="AP272" s="2" t="s">
        <v>1551</v>
      </c>
      <c r="AQ272" s="2" t="s">
        <v>80</v>
      </c>
      <c r="AR272" s="2" t="s">
        <v>81</v>
      </c>
      <c r="AS272" s="2">
        <v>403</v>
      </c>
      <c r="AT272" s="2">
        <v>18</v>
      </c>
      <c r="AU272" s="2" t="s">
        <v>869</v>
      </c>
      <c r="AV272" s="2">
        <v>129.99</v>
      </c>
      <c r="AW272" s="2">
        <v>0</v>
      </c>
      <c r="AX272" s="2" t="s">
        <v>1554</v>
      </c>
      <c r="AY272" s="2" t="s">
        <v>83</v>
      </c>
      <c r="AZ272" s="4">
        <v>42733</v>
      </c>
      <c r="BA272" s="5">
        <v>0.6430555555555556</v>
      </c>
      <c r="BB272" s="2">
        <v>2016</v>
      </c>
      <c r="BC272" s="2" t="s">
        <v>357</v>
      </c>
      <c r="BD272" s="2">
        <v>29</v>
      </c>
      <c r="BE272" s="4">
        <v>42735</v>
      </c>
      <c r="BF272" s="5">
        <v>0.6430555555555556</v>
      </c>
      <c r="BG272" s="2" t="str" cm="1">
        <f t="array" ref="BG272">_xlfn.IFS(BF272&lt;TIMEVALUE("06:00"),"Night", BF272&gt;=TIMEVALUE("21:00"),"Night",BF272&gt;=TIMEVALUE("17:00"),"Evening",BF272&gt;=TIMEVALUE("12:00"),"Afternoon", BF272&gt;=TIMEVALUE("06:00"),"Morning")</f>
        <v>Afternoon</v>
      </c>
      <c r="BH272" s="2">
        <v>2016</v>
      </c>
      <c r="BI272" s="2" t="s">
        <v>357</v>
      </c>
      <c r="BJ272" s="2">
        <v>31</v>
      </c>
    </row>
    <row r="273" spans="1:62" x14ac:dyDescent="0.3">
      <c r="A273" s="2" t="s">
        <v>62</v>
      </c>
      <c r="B273" s="2">
        <v>2</v>
      </c>
      <c r="C273" s="2">
        <v>4</v>
      </c>
      <c r="D273" s="2">
        <v>6.17</v>
      </c>
      <c r="E273" s="2">
        <v>54.59</v>
      </c>
      <c r="F273" s="2" t="s">
        <v>63</v>
      </c>
      <c r="G273" s="2" t="s">
        <v>64</v>
      </c>
      <c r="H273" s="2">
        <v>17</v>
      </c>
      <c r="I273" s="2" t="s">
        <v>412</v>
      </c>
      <c r="J273" s="2" t="s">
        <v>1555</v>
      </c>
      <c r="K273" s="2" t="s">
        <v>102</v>
      </c>
      <c r="L273" s="2" t="s">
        <v>414</v>
      </c>
      <c r="M273" s="2">
        <v>11924</v>
      </c>
      <c r="N273" s="2" t="s">
        <v>1556</v>
      </c>
      <c r="O273" s="2" t="s">
        <v>124</v>
      </c>
      <c r="P273" s="2" t="s">
        <v>105</v>
      </c>
      <c r="Q273" s="2" t="s">
        <v>1557</v>
      </c>
      <c r="R273" s="2">
        <v>92683</v>
      </c>
      <c r="S273" s="2">
        <v>4</v>
      </c>
      <c r="T273" s="2" t="s">
        <v>417</v>
      </c>
      <c r="U273" s="2">
        <v>33.758209200000003</v>
      </c>
      <c r="V273" s="2">
        <v>-118.0019073</v>
      </c>
      <c r="W273" s="2" t="s">
        <v>74</v>
      </c>
      <c r="X273" s="2" t="s">
        <v>1558</v>
      </c>
      <c r="Y273" s="2" t="s">
        <v>143</v>
      </c>
      <c r="Z273" s="2">
        <v>11924</v>
      </c>
      <c r="AA273" s="3">
        <v>42646.207638888889</v>
      </c>
      <c r="AB273" s="2">
        <v>29746</v>
      </c>
      <c r="AC273" s="2">
        <v>365</v>
      </c>
      <c r="AD273" s="2">
        <v>5.4</v>
      </c>
      <c r="AE273" s="2">
        <v>0.09</v>
      </c>
      <c r="AF273" s="2" t="str" cm="1">
        <f t="array" ref="AF273">_xlfn.IFS(AE273=0, "No Discount ", AE273&lt;=0.08,"Low Discount", AE273&lt;=0.16,"Medium Discount", AE273&gt;0.16, "High Discount")</f>
        <v>Medium Discount</v>
      </c>
      <c r="AG273" s="2">
        <v>74420</v>
      </c>
      <c r="AH273" s="2">
        <v>59.99</v>
      </c>
      <c r="AI273" s="2">
        <v>0.11</v>
      </c>
      <c r="AJ273" s="2" t="str" cm="1">
        <f t="array" ref="AJ273">_xlfn.IFS(AI273&lt;=0, "No Profit", AI273&lt;=0.16,"Low Profit",AI273&lt;=0.32,"Medium Profit",AI273&gt;0.32,"High Profit")</f>
        <v>Low Profit</v>
      </c>
      <c r="AK273" s="2">
        <v>1</v>
      </c>
      <c r="AL273" s="2">
        <v>59.99</v>
      </c>
      <c r="AM273" s="2">
        <v>54.59</v>
      </c>
      <c r="AN273" s="2">
        <v>6.17</v>
      </c>
      <c r="AO273" s="2" t="s">
        <v>145</v>
      </c>
      <c r="AP273" s="2" t="s">
        <v>1559</v>
      </c>
      <c r="AQ273" s="2" t="s">
        <v>80</v>
      </c>
      <c r="AR273" s="2" t="s">
        <v>81</v>
      </c>
      <c r="AS273" s="2">
        <v>365</v>
      </c>
      <c r="AT273" s="2">
        <v>17</v>
      </c>
      <c r="AU273" s="2" t="s">
        <v>421</v>
      </c>
      <c r="AV273" s="2">
        <v>59.99</v>
      </c>
      <c r="AW273" s="2">
        <v>0</v>
      </c>
      <c r="AX273" s="3">
        <v>42707.207638888889</v>
      </c>
      <c r="AY273" s="2" t="s">
        <v>83</v>
      </c>
      <c r="AZ273" s="4">
        <v>42646</v>
      </c>
      <c r="BA273" s="5">
        <v>0.2076388888888889</v>
      </c>
      <c r="BB273" s="2">
        <v>2016</v>
      </c>
      <c r="BC273" s="2" t="s">
        <v>434</v>
      </c>
      <c r="BD273" s="2">
        <v>3</v>
      </c>
      <c r="BE273" s="4">
        <v>42707</v>
      </c>
      <c r="BF273" s="5">
        <v>0.2076388888888889</v>
      </c>
      <c r="BG273" s="2" t="str" cm="1">
        <f t="array" ref="BG273">_xlfn.IFS(BF273&lt;TIMEVALUE("06:00"),"Night", BF273&gt;=TIMEVALUE("21:00"),"Night",BF273&gt;=TIMEVALUE("17:00"),"Evening",BF273&gt;=TIMEVALUE("12:00"),"Afternoon", BF273&gt;=TIMEVALUE("06:00"),"Morning")</f>
        <v>Night</v>
      </c>
      <c r="BH273" s="2">
        <v>2016</v>
      </c>
      <c r="BI273" s="2" t="s">
        <v>357</v>
      </c>
      <c r="BJ273" s="2">
        <v>3</v>
      </c>
    </row>
    <row r="274" spans="1:62" x14ac:dyDescent="0.3">
      <c r="A274" s="2" t="s">
        <v>62</v>
      </c>
      <c r="B274" s="2">
        <v>4</v>
      </c>
      <c r="C274" s="2">
        <v>4</v>
      </c>
      <c r="D274" s="2">
        <v>94.02</v>
      </c>
      <c r="E274" s="2">
        <v>191.87</v>
      </c>
      <c r="F274" s="2" t="s">
        <v>100</v>
      </c>
      <c r="G274" s="2" t="s">
        <v>64</v>
      </c>
      <c r="H274" s="2">
        <v>70</v>
      </c>
      <c r="I274" s="2" t="s">
        <v>1560</v>
      </c>
      <c r="J274" s="2" t="s">
        <v>1561</v>
      </c>
      <c r="K274" s="2" t="s">
        <v>102</v>
      </c>
      <c r="L274" s="2" t="s">
        <v>1562</v>
      </c>
      <c r="M274" s="2">
        <v>16086</v>
      </c>
      <c r="N274" s="2" t="s">
        <v>140</v>
      </c>
      <c r="O274" s="2" t="s">
        <v>124</v>
      </c>
      <c r="P274" s="2" t="s">
        <v>152</v>
      </c>
      <c r="Q274" s="2" t="s">
        <v>1563</v>
      </c>
      <c r="R274" s="2">
        <v>33068</v>
      </c>
      <c r="S274" s="2">
        <v>4</v>
      </c>
      <c r="T274" s="2" t="s">
        <v>417</v>
      </c>
      <c r="U274" s="2">
        <v>26.214729299999998</v>
      </c>
      <c r="V274" s="2">
        <v>-80.230049100000002</v>
      </c>
      <c r="W274" s="2" t="s">
        <v>74</v>
      </c>
      <c r="X274" s="2" t="s">
        <v>1564</v>
      </c>
      <c r="Y274" s="2" t="s">
        <v>143</v>
      </c>
      <c r="Z274" s="2">
        <v>16086</v>
      </c>
      <c r="AA274" s="2" t="s">
        <v>1565</v>
      </c>
      <c r="AB274" s="2">
        <v>72533</v>
      </c>
      <c r="AC274" s="2">
        <v>1357</v>
      </c>
      <c r="AD274" s="2">
        <v>18.98</v>
      </c>
      <c r="AE274" s="2">
        <v>0.09</v>
      </c>
      <c r="AF274" s="2" t="str" cm="1">
        <f t="array" ref="AF274">_xlfn.IFS(AE274=0, "No Discount ", AE274&lt;=0.08,"Low Discount", AE274&lt;=0.16,"Medium Discount", AE274&gt;0.16, "High Discount")</f>
        <v>Medium Discount</v>
      </c>
      <c r="AG274" s="2">
        <v>175848</v>
      </c>
      <c r="AH274" s="2">
        <v>210.85</v>
      </c>
      <c r="AI274" s="2">
        <v>0.49</v>
      </c>
      <c r="AJ274" s="2" t="str" cm="1">
        <f t="array" ref="AJ274">_xlfn.IFS(AI274&lt;=0, "No Profit", AI274&lt;=0.16,"Low Profit",AI274&lt;=0.32,"Medium Profit",AI274&gt;0.32,"High Profit")</f>
        <v>High Profit</v>
      </c>
      <c r="AK274" s="2">
        <v>1</v>
      </c>
      <c r="AL274" s="2">
        <v>210.85</v>
      </c>
      <c r="AM274" s="2">
        <v>191.87</v>
      </c>
      <c r="AN274" s="2">
        <v>94.02</v>
      </c>
      <c r="AO274" s="2" t="s">
        <v>145</v>
      </c>
      <c r="AP274" s="2" t="s">
        <v>1566</v>
      </c>
      <c r="AQ274" s="2" t="s">
        <v>80</v>
      </c>
      <c r="AR274" s="2" t="s">
        <v>81</v>
      </c>
      <c r="AS274" s="2">
        <v>1357</v>
      </c>
      <c r="AT274" s="2">
        <v>70</v>
      </c>
      <c r="AU274" s="2" t="s">
        <v>1567</v>
      </c>
      <c r="AV274" s="2">
        <v>210.85</v>
      </c>
      <c r="AW274" s="2">
        <v>0</v>
      </c>
      <c r="AX274" s="2" t="s">
        <v>1568</v>
      </c>
      <c r="AY274" s="2" t="s">
        <v>83</v>
      </c>
      <c r="AZ274" s="4">
        <v>43063</v>
      </c>
      <c r="BA274" s="5">
        <v>0.7993055555555556</v>
      </c>
      <c r="BB274" s="2">
        <v>2017</v>
      </c>
      <c r="BC274" s="2" t="s">
        <v>455</v>
      </c>
      <c r="BD274" s="2">
        <v>24</v>
      </c>
      <c r="BE274" s="4">
        <v>43067</v>
      </c>
      <c r="BF274" s="5">
        <v>0.7993055555555556</v>
      </c>
      <c r="BG274" s="2" t="str" cm="1">
        <f t="array" ref="BG274">_xlfn.IFS(BF274&lt;TIMEVALUE("06:00"),"Night", BF274&gt;=TIMEVALUE("21:00"),"Night",BF274&gt;=TIMEVALUE("17:00"),"Evening",BF274&gt;=TIMEVALUE("12:00"),"Afternoon", BF274&gt;=TIMEVALUE("06:00"),"Morning")</f>
        <v>Evening</v>
      </c>
      <c r="BH274" s="2">
        <v>2017</v>
      </c>
      <c r="BI274" s="2" t="s">
        <v>455</v>
      </c>
      <c r="BJ274" s="2">
        <v>28</v>
      </c>
    </row>
    <row r="275" spans="1:62" x14ac:dyDescent="0.3">
      <c r="A275" s="2" t="s">
        <v>62</v>
      </c>
      <c r="B275" s="2">
        <v>4</v>
      </c>
      <c r="C275" s="2">
        <v>4</v>
      </c>
      <c r="D275" s="2">
        <v>22.5</v>
      </c>
      <c r="E275" s="2">
        <v>225</v>
      </c>
      <c r="F275" s="2" t="s">
        <v>100</v>
      </c>
      <c r="G275" s="2" t="s">
        <v>64</v>
      </c>
      <c r="H275" s="2">
        <v>24</v>
      </c>
      <c r="I275" s="2" t="s">
        <v>435</v>
      </c>
      <c r="J275" s="2" t="s">
        <v>1569</v>
      </c>
      <c r="K275" s="2" t="s">
        <v>102</v>
      </c>
      <c r="L275" s="2" t="s">
        <v>414</v>
      </c>
      <c r="M275" s="2">
        <v>4398</v>
      </c>
      <c r="N275" s="2" t="s">
        <v>1570</v>
      </c>
      <c r="O275" s="2" t="s">
        <v>70</v>
      </c>
      <c r="P275" s="2" t="s">
        <v>105</v>
      </c>
      <c r="Q275" s="2" t="s">
        <v>1571</v>
      </c>
      <c r="R275" s="2">
        <v>91702</v>
      </c>
      <c r="S275" s="2">
        <v>5</v>
      </c>
      <c r="T275" s="2" t="s">
        <v>427</v>
      </c>
      <c r="U275" s="2">
        <v>34.139320400000003</v>
      </c>
      <c r="V275" s="2">
        <v>-117.9074402</v>
      </c>
      <c r="W275" s="2" t="s">
        <v>500</v>
      </c>
      <c r="X275" s="2" t="s">
        <v>1572</v>
      </c>
      <c r="Y275" s="2" t="s">
        <v>1573</v>
      </c>
      <c r="Z275" s="2">
        <v>4398</v>
      </c>
      <c r="AA275" s="3">
        <v>42655.549305555556</v>
      </c>
      <c r="AB275" s="2">
        <v>48608</v>
      </c>
      <c r="AC275" s="2">
        <v>502</v>
      </c>
      <c r="AD275" s="2">
        <v>25</v>
      </c>
      <c r="AE275" s="2">
        <v>0.1</v>
      </c>
      <c r="AF275" s="2" t="str" cm="1">
        <f t="array" ref="AF275">_xlfn.IFS(AE275=0, "No Discount ", AE275&lt;=0.08,"Low Discount", AE275&lt;=0.16,"Medium Discount", AE275&gt;0.16, "High Discount")</f>
        <v>Medium Discount</v>
      </c>
      <c r="AG275" s="2">
        <v>121561</v>
      </c>
      <c r="AH275" s="2">
        <v>50</v>
      </c>
      <c r="AI275" s="2">
        <v>0.1</v>
      </c>
      <c r="AJ275" s="2" t="str" cm="1">
        <f t="array" ref="AJ275">_xlfn.IFS(AI275&lt;=0, "No Profit", AI275&lt;=0.16,"Low Profit",AI275&lt;=0.32,"Medium Profit",AI275&gt;0.32,"High Profit")</f>
        <v>Low Profit</v>
      </c>
      <c r="AK275" s="2">
        <v>5</v>
      </c>
      <c r="AL275" s="2">
        <v>250</v>
      </c>
      <c r="AM275" s="2">
        <v>225</v>
      </c>
      <c r="AN275" s="2">
        <v>22.5</v>
      </c>
      <c r="AO275" s="2" t="s">
        <v>503</v>
      </c>
      <c r="AP275" s="2" t="s">
        <v>1574</v>
      </c>
      <c r="AQ275" s="2" t="s">
        <v>80</v>
      </c>
      <c r="AR275" s="2" t="s">
        <v>81</v>
      </c>
      <c r="AS275" s="2">
        <v>502</v>
      </c>
      <c r="AT275" s="2">
        <v>24</v>
      </c>
      <c r="AU275" s="2" t="s">
        <v>442</v>
      </c>
      <c r="AV275" s="2">
        <v>50</v>
      </c>
      <c r="AW275" s="2">
        <v>0</v>
      </c>
      <c r="AX275" s="2" t="s">
        <v>1575</v>
      </c>
      <c r="AY275" s="2" t="s">
        <v>83</v>
      </c>
      <c r="AZ275" s="4">
        <v>42655</v>
      </c>
      <c r="BA275" s="5">
        <v>0.5493055555555556</v>
      </c>
      <c r="BB275" s="2">
        <v>2016</v>
      </c>
      <c r="BC275" s="2" t="s">
        <v>434</v>
      </c>
      <c r="BD275" s="2">
        <v>12</v>
      </c>
      <c r="BE275" s="4">
        <v>42718</v>
      </c>
      <c r="BF275" s="5">
        <v>0.5493055555555556</v>
      </c>
      <c r="BG275" s="2" t="str" cm="1">
        <f t="array" ref="BG275">_xlfn.IFS(BF275&lt;TIMEVALUE("06:00"),"Night", BF275&gt;=TIMEVALUE("21:00"),"Night",BF275&gt;=TIMEVALUE("17:00"),"Evening",BF275&gt;=TIMEVALUE("12:00"),"Afternoon", BF275&gt;=TIMEVALUE("06:00"),"Morning")</f>
        <v>Afternoon</v>
      </c>
      <c r="BH275" s="2">
        <v>2016</v>
      </c>
      <c r="BI275" s="2" t="s">
        <v>357</v>
      </c>
      <c r="BJ275" s="2">
        <v>14</v>
      </c>
    </row>
    <row r="276" spans="1:62" x14ac:dyDescent="0.3">
      <c r="A276" s="2" t="s">
        <v>62</v>
      </c>
      <c r="B276" s="2">
        <v>2</v>
      </c>
      <c r="C276" s="2">
        <v>4</v>
      </c>
      <c r="D276" s="2">
        <v>15.4</v>
      </c>
      <c r="E276" s="2">
        <v>220</v>
      </c>
      <c r="F276" s="2" t="s">
        <v>63</v>
      </c>
      <c r="G276" s="2" t="s">
        <v>64</v>
      </c>
      <c r="H276" s="2">
        <v>24</v>
      </c>
      <c r="I276" s="2" t="s">
        <v>435</v>
      </c>
      <c r="J276" s="2" t="s">
        <v>1576</v>
      </c>
      <c r="K276" s="2" t="s">
        <v>102</v>
      </c>
      <c r="L276" s="2" t="s">
        <v>414</v>
      </c>
      <c r="M276" s="2">
        <v>5687</v>
      </c>
      <c r="N276" s="2" t="s">
        <v>1577</v>
      </c>
      <c r="O276" s="2" t="s">
        <v>70</v>
      </c>
      <c r="P276" s="2" t="s">
        <v>152</v>
      </c>
      <c r="Q276" s="2" t="s">
        <v>1578</v>
      </c>
      <c r="R276" s="2">
        <v>33324</v>
      </c>
      <c r="S276" s="2">
        <v>5</v>
      </c>
      <c r="T276" s="2" t="s">
        <v>427</v>
      </c>
      <c r="U276" s="2">
        <v>26.0984993</v>
      </c>
      <c r="V276" s="2">
        <v>-80.270950299999996</v>
      </c>
      <c r="W276" s="2" t="s">
        <v>500</v>
      </c>
      <c r="X276" s="2" t="s">
        <v>1579</v>
      </c>
      <c r="Y276" s="2" t="s">
        <v>502</v>
      </c>
      <c r="Z276" s="2">
        <v>5687</v>
      </c>
      <c r="AA276" s="2" t="s">
        <v>1580</v>
      </c>
      <c r="AB276" s="2">
        <v>45506</v>
      </c>
      <c r="AC276" s="2">
        <v>502</v>
      </c>
      <c r="AD276" s="2">
        <v>30</v>
      </c>
      <c r="AE276" s="2">
        <v>0.12</v>
      </c>
      <c r="AF276" s="2" t="str" cm="1">
        <f t="array" ref="AF276">_xlfn.IFS(AE276=0, "No Discount ", AE276&lt;=0.08,"Low Discount", AE276&lt;=0.16,"Medium Discount", AE276&gt;0.16, "High Discount")</f>
        <v>Medium Discount</v>
      </c>
      <c r="AG276" s="2">
        <v>113719</v>
      </c>
      <c r="AH276" s="2">
        <v>50</v>
      </c>
      <c r="AI276" s="2">
        <v>7.0000000000000007E-2</v>
      </c>
      <c r="AJ276" s="2" t="str" cm="1">
        <f t="array" ref="AJ276">_xlfn.IFS(AI276&lt;=0, "No Profit", AI276&lt;=0.16,"Low Profit",AI276&lt;=0.32,"Medium Profit",AI276&gt;0.32,"High Profit")</f>
        <v>Low Profit</v>
      </c>
      <c r="AK276" s="2">
        <v>5</v>
      </c>
      <c r="AL276" s="2">
        <v>250</v>
      </c>
      <c r="AM276" s="2">
        <v>220</v>
      </c>
      <c r="AN276" s="2">
        <v>15.4</v>
      </c>
      <c r="AO276" s="2" t="s">
        <v>503</v>
      </c>
      <c r="AP276" s="2" t="s">
        <v>1581</v>
      </c>
      <c r="AQ276" s="2" t="s">
        <v>80</v>
      </c>
      <c r="AR276" s="2" t="s">
        <v>81</v>
      </c>
      <c r="AS276" s="2">
        <v>502</v>
      </c>
      <c r="AT276" s="2">
        <v>24</v>
      </c>
      <c r="AU276" s="2" t="s">
        <v>442</v>
      </c>
      <c r="AV276" s="2">
        <v>50</v>
      </c>
      <c r="AW276" s="2">
        <v>0</v>
      </c>
      <c r="AX276" s="2" t="s">
        <v>1582</v>
      </c>
      <c r="AY276" s="2" t="s">
        <v>83</v>
      </c>
      <c r="AZ276" s="4">
        <v>42669</v>
      </c>
      <c r="BA276" s="5">
        <v>0.2673611111111111</v>
      </c>
      <c r="BB276" s="2">
        <v>2016</v>
      </c>
      <c r="BC276" s="2" t="s">
        <v>434</v>
      </c>
      <c r="BD276" s="2">
        <v>26</v>
      </c>
      <c r="BE276" s="4">
        <v>42671</v>
      </c>
      <c r="BF276" s="5">
        <v>0.2673611111111111</v>
      </c>
      <c r="BG276" s="2" t="str" cm="1">
        <f t="array" ref="BG276">_xlfn.IFS(BF276&lt;TIMEVALUE("06:00"),"Night", BF276&gt;=TIMEVALUE("21:00"),"Night",BF276&gt;=TIMEVALUE("17:00"),"Evening",BF276&gt;=TIMEVALUE("12:00"),"Afternoon", BF276&gt;=TIMEVALUE("06:00"),"Morning")</f>
        <v>Morning</v>
      </c>
      <c r="BH276" s="2">
        <v>2016</v>
      </c>
      <c r="BI276" s="2" t="s">
        <v>434</v>
      </c>
      <c r="BJ276" s="2">
        <v>28</v>
      </c>
    </row>
    <row r="277" spans="1:62" x14ac:dyDescent="0.3">
      <c r="A277" s="2" t="s">
        <v>62</v>
      </c>
      <c r="B277" s="2">
        <v>3</v>
      </c>
      <c r="C277" s="2">
        <v>4</v>
      </c>
      <c r="D277" s="2">
        <v>52.19</v>
      </c>
      <c r="E277" s="2">
        <v>173.96</v>
      </c>
      <c r="F277" s="2" t="s">
        <v>63</v>
      </c>
      <c r="G277" s="2" t="s">
        <v>64</v>
      </c>
      <c r="H277" s="2">
        <v>29</v>
      </c>
      <c r="I277" s="2" t="s">
        <v>424</v>
      </c>
      <c r="J277" s="2" t="s">
        <v>1296</v>
      </c>
      <c r="K277" s="2" t="s">
        <v>102</v>
      </c>
      <c r="L277" s="2" t="s">
        <v>414</v>
      </c>
      <c r="M277" s="2">
        <v>8534</v>
      </c>
      <c r="N277" s="2" t="s">
        <v>1583</v>
      </c>
      <c r="O277" s="2" t="s">
        <v>70</v>
      </c>
      <c r="P277" s="2" t="s">
        <v>333</v>
      </c>
      <c r="Q277" s="2" t="s">
        <v>1584</v>
      </c>
      <c r="R277" s="2">
        <v>78201</v>
      </c>
      <c r="S277" s="2">
        <v>5</v>
      </c>
      <c r="T277" s="2" t="s">
        <v>427</v>
      </c>
      <c r="U277" s="2">
        <v>29.460079199999999</v>
      </c>
      <c r="V277" s="2">
        <v>-98.527542100000005</v>
      </c>
      <c r="W277" s="2" t="s">
        <v>500</v>
      </c>
      <c r="X277" s="2" t="s">
        <v>1585</v>
      </c>
      <c r="Y277" s="2" t="s">
        <v>502</v>
      </c>
      <c r="Z277" s="2">
        <v>8534</v>
      </c>
      <c r="AA277" s="2" t="s">
        <v>1586</v>
      </c>
      <c r="AB277" s="2">
        <v>45027</v>
      </c>
      <c r="AC277" s="2">
        <v>627</v>
      </c>
      <c r="AD277" s="2">
        <v>25.99</v>
      </c>
      <c r="AE277" s="2">
        <v>0.13</v>
      </c>
      <c r="AF277" s="2" t="str" cm="1">
        <f t="array" ref="AF277">_xlfn.IFS(AE277=0, "No Discount ", AE277&lt;=0.08,"Low Discount", AE277&lt;=0.16,"Medium Discount", AE277&gt;0.16, "High Discount")</f>
        <v>Medium Discount</v>
      </c>
      <c r="AG277" s="2">
        <v>112427</v>
      </c>
      <c r="AH277" s="2">
        <v>39.99</v>
      </c>
      <c r="AI277" s="2">
        <v>0.3</v>
      </c>
      <c r="AJ277" s="2" t="str" cm="1">
        <f t="array" ref="AJ277">_xlfn.IFS(AI277&lt;=0, "No Profit", AI277&lt;=0.16,"Low Profit",AI277&lt;=0.32,"Medium Profit",AI277&gt;0.32,"High Profit")</f>
        <v>Medium Profit</v>
      </c>
      <c r="AK277" s="2">
        <v>5</v>
      </c>
      <c r="AL277" s="2">
        <v>199.95</v>
      </c>
      <c r="AM277" s="2">
        <v>173.96</v>
      </c>
      <c r="AN277" s="2">
        <v>52.19</v>
      </c>
      <c r="AO277" s="2" t="s">
        <v>503</v>
      </c>
      <c r="AP277" s="2" t="s">
        <v>1587</v>
      </c>
      <c r="AQ277" s="2" t="s">
        <v>80</v>
      </c>
      <c r="AR277" s="2" t="s">
        <v>81</v>
      </c>
      <c r="AS277" s="2">
        <v>627</v>
      </c>
      <c r="AT277" s="2">
        <v>29</v>
      </c>
      <c r="AU277" s="2" t="s">
        <v>432</v>
      </c>
      <c r="AV277" s="2">
        <v>39.99</v>
      </c>
      <c r="AW277" s="2">
        <v>0</v>
      </c>
      <c r="AX277" s="2" t="s">
        <v>1588</v>
      </c>
      <c r="AY277" s="2" t="s">
        <v>83</v>
      </c>
      <c r="AZ277" s="4">
        <v>42662</v>
      </c>
      <c r="BA277" s="5">
        <v>0.27500000000000002</v>
      </c>
      <c r="BB277" s="2">
        <v>2016</v>
      </c>
      <c r="BC277" s="2" t="s">
        <v>434</v>
      </c>
      <c r="BD277" s="2">
        <v>19</v>
      </c>
      <c r="BE277" s="4">
        <v>42665</v>
      </c>
      <c r="BF277" s="5">
        <v>0.27500000000000002</v>
      </c>
      <c r="BG277" s="2" t="str" cm="1">
        <f t="array" ref="BG277">_xlfn.IFS(BF277&lt;TIMEVALUE("06:00"),"Night", BF277&gt;=TIMEVALUE("21:00"),"Night",BF277&gt;=TIMEVALUE("17:00"),"Evening",BF277&gt;=TIMEVALUE("12:00"),"Afternoon", BF277&gt;=TIMEVALUE("06:00"),"Morning")</f>
        <v>Morning</v>
      </c>
      <c r="BH277" s="2">
        <v>2016</v>
      </c>
      <c r="BI277" s="2" t="s">
        <v>434</v>
      </c>
      <c r="BJ277" s="2">
        <v>22</v>
      </c>
    </row>
    <row r="278" spans="1:62" x14ac:dyDescent="0.3">
      <c r="A278" s="2" t="s">
        <v>62</v>
      </c>
      <c r="B278" s="2">
        <v>4</v>
      </c>
      <c r="C278" s="2">
        <v>4</v>
      </c>
      <c r="D278" s="2">
        <v>84.98</v>
      </c>
      <c r="E278" s="2">
        <v>169.96</v>
      </c>
      <c r="F278" s="2" t="s">
        <v>100</v>
      </c>
      <c r="G278" s="2" t="s">
        <v>64</v>
      </c>
      <c r="H278" s="2">
        <v>29</v>
      </c>
      <c r="I278" s="2" t="s">
        <v>424</v>
      </c>
      <c r="J278" s="2" t="s">
        <v>1589</v>
      </c>
      <c r="K278" s="2" t="s">
        <v>102</v>
      </c>
      <c r="L278" s="2" t="s">
        <v>1590</v>
      </c>
      <c r="M278" s="2">
        <v>3372</v>
      </c>
      <c r="N278" s="2" t="s">
        <v>425</v>
      </c>
      <c r="O278" s="2" t="s">
        <v>70</v>
      </c>
      <c r="P278" s="2" t="s">
        <v>1163</v>
      </c>
      <c r="Q278" s="2" t="s">
        <v>1591</v>
      </c>
      <c r="R278" s="2">
        <v>8540</v>
      </c>
      <c r="S278" s="2">
        <v>5</v>
      </c>
      <c r="T278" s="2" t="s">
        <v>427</v>
      </c>
      <c r="U278" s="2">
        <v>40.357421899999999</v>
      </c>
      <c r="V278" s="2">
        <v>-74.648422199999999</v>
      </c>
      <c r="W278" s="2" t="s">
        <v>500</v>
      </c>
      <c r="X278" s="2" t="s">
        <v>1592</v>
      </c>
      <c r="Y278" s="2" t="s">
        <v>509</v>
      </c>
      <c r="Z278" s="2">
        <v>3372</v>
      </c>
      <c r="AA278" s="3">
        <v>42532.974999999999</v>
      </c>
      <c r="AB278" s="2">
        <v>46308</v>
      </c>
      <c r="AC278" s="2">
        <v>627</v>
      </c>
      <c r="AD278" s="2">
        <v>29.99</v>
      </c>
      <c r="AE278" s="2">
        <v>0.15</v>
      </c>
      <c r="AF278" s="2" t="str" cm="1">
        <f t="array" ref="AF278">_xlfn.IFS(AE278=0, "No Discount ", AE278&lt;=0.08,"Low Discount", AE278&lt;=0.16,"Medium Discount", AE278&gt;0.16, "High Discount")</f>
        <v>Medium Discount</v>
      </c>
      <c r="AG278" s="2">
        <v>115752</v>
      </c>
      <c r="AH278" s="2">
        <v>39.99</v>
      </c>
      <c r="AI278" s="2">
        <v>0.5</v>
      </c>
      <c r="AJ278" s="2" t="str" cm="1">
        <f t="array" ref="AJ278">_xlfn.IFS(AI278&lt;=0, "No Profit", AI278&lt;=0.16,"Low Profit",AI278&lt;=0.32,"Medium Profit",AI278&gt;0.32,"High Profit")</f>
        <v>High Profit</v>
      </c>
      <c r="AK278" s="2">
        <v>5</v>
      </c>
      <c r="AL278" s="2">
        <v>199.95</v>
      </c>
      <c r="AM278" s="2">
        <v>169.96</v>
      </c>
      <c r="AN278" s="2">
        <v>84.98</v>
      </c>
      <c r="AO278" s="2" t="s">
        <v>510</v>
      </c>
      <c r="AP278" s="2" t="s">
        <v>1592</v>
      </c>
      <c r="AQ278" s="2" t="s">
        <v>80</v>
      </c>
      <c r="AR278" s="2" t="s">
        <v>81</v>
      </c>
      <c r="AS278" s="2">
        <v>627</v>
      </c>
      <c r="AT278" s="2">
        <v>29</v>
      </c>
      <c r="AU278" s="2" t="s">
        <v>432</v>
      </c>
      <c r="AV278" s="2">
        <v>39.99</v>
      </c>
      <c r="AW278" s="2">
        <v>0</v>
      </c>
      <c r="AX278" s="3">
        <v>42654.974999999999</v>
      </c>
      <c r="AY278" s="2" t="s">
        <v>83</v>
      </c>
      <c r="AZ278" s="4">
        <v>42532</v>
      </c>
      <c r="BA278" s="5">
        <v>0.97499999999999998</v>
      </c>
      <c r="BB278" s="2">
        <v>2016</v>
      </c>
      <c r="BC278" s="2" t="s">
        <v>474</v>
      </c>
      <c r="BD278" s="2">
        <v>11</v>
      </c>
      <c r="BE278" s="4">
        <v>42654</v>
      </c>
      <c r="BF278" s="5">
        <v>0.97499999999999998</v>
      </c>
      <c r="BG278" s="2" t="str" cm="1">
        <f t="array" ref="BG278">_xlfn.IFS(BF278&lt;TIMEVALUE("06:00"),"Night", BF278&gt;=TIMEVALUE("21:00"),"Night",BF278&gt;=TIMEVALUE("17:00"),"Evening",BF278&gt;=TIMEVALUE("12:00"),"Afternoon", BF278&gt;=TIMEVALUE("06:00"),"Morning")</f>
        <v>Night</v>
      </c>
      <c r="BH278" s="2">
        <v>2016</v>
      </c>
      <c r="BI278" s="2" t="s">
        <v>434</v>
      </c>
      <c r="BJ278" s="2">
        <v>11</v>
      </c>
    </row>
    <row r="279" spans="1:62" x14ac:dyDescent="0.3">
      <c r="A279" s="2" t="s">
        <v>62</v>
      </c>
      <c r="B279" s="2">
        <v>6</v>
      </c>
      <c r="C279" s="2">
        <v>4</v>
      </c>
      <c r="D279" s="2">
        <v>65.73</v>
      </c>
      <c r="E279" s="2">
        <v>210</v>
      </c>
      <c r="F279" s="2" t="s">
        <v>87</v>
      </c>
      <c r="G279" s="2" t="s">
        <v>88</v>
      </c>
      <c r="H279" s="2">
        <v>24</v>
      </c>
      <c r="I279" s="2" t="s">
        <v>435</v>
      </c>
      <c r="J279" s="2" t="s">
        <v>1593</v>
      </c>
      <c r="K279" s="2" t="s">
        <v>102</v>
      </c>
      <c r="L279" s="2" t="s">
        <v>1594</v>
      </c>
      <c r="M279" s="2">
        <v>10927</v>
      </c>
      <c r="N279" s="2" t="s">
        <v>1595</v>
      </c>
      <c r="O279" s="2" t="s">
        <v>70</v>
      </c>
      <c r="P279" s="2" t="s">
        <v>1163</v>
      </c>
      <c r="Q279" s="2" t="s">
        <v>1596</v>
      </c>
      <c r="R279" s="2">
        <v>8861</v>
      </c>
      <c r="S279" s="2">
        <v>5</v>
      </c>
      <c r="T279" s="2" t="s">
        <v>427</v>
      </c>
      <c r="U279" s="2">
        <v>40.5098038</v>
      </c>
      <c r="V279" s="2">
        <v>-74.269668600000003</v>
      </c>
      <c r="W279" s="2" t="s">
        <v>500</v>
      </c>
      <c r="X279" s="2" t="s">
        <v>1269</v>
      </c>
      <c r="Y279" s="2" t="s">
        <v>502</v>
      </c>
      <c r="Z279" s="2">
        <v>10927</v>
      </c>
      <c r="AA279" s="2" t="s">
        <v>1597</v>
      </c>
      <c r="AB279" s="2">
        <v>43685</v>
      </c>
      <c r="AC279" s="2">
        <v>502</v>
      </c>
      <c r="AD279" s="2">
        <v>40</v>
      </c>
      <c r="AE279" s="2">
        <v>0.16</v>
      </c>
      <c r="AF279" s="2" t="str" cm="1">
        <f t="array" ref="AF279">_xlfn.IFS(AE279=0, "No Discount ", AE279&lt;=0.08,"Low Discount", AE279&lt;=0.16,"Medium Discount", AE279&gt;0.16, "High Discount")</f>
        <v>Medium Discount</v>
      </c>
      <c r="AG279" s="2">
        <v>109111</v>
      </c>
      <c r="AH279" s="2">
        <v>50</v>
      </c>
      <c r="AI279" s="2">
        <v>0.31</v>
      </c>
      <c r="AJ279" s="2" t="str" cm="1">
        <f t="array" ref="AJ279">_xlfn.IFS(AI279&lt;=0, "No Profit", AI279&lt;=0.16,"Low Profit",AI279&lt;=0.32,"Medium Profit",AI279&gt;0.32,"High Profit")</f>
        <v>Medium Profit</v>
      </c>
      <c r="AK279" s="2">
        <v>5</v>
      </c>
      <c r="AL279" s="2">
        <v>250</v>
      </c>
      <c r="AM279" s="2">
        <v>210</v>
      </c>
      <c r="AN279" s="2">
        <v>65.73</v>
      </c>
      <c r="AO279" s="2" t="s">
        <v>503</v>
      </c>
      <c r="AP279" s="2" t="s">
        <v>1269</v>
      </c>
      <c r="AQ279" s="2" t="s">
        <v>80</v>
      </c>
      <c r="AR279" s="2" t="s">
        <v>81</v>
      </c>
      <c r="AS279" s="2">
        <v>502</v>
      </c>
      <c r="AT279" s="2">
        <v>24</v>
      </c>
      <c r="AU279" s="2" t="s">
        <v>442</v>
      </c>
      <c r="AV279" s="2">
        <v>50</v>
      </c>
      <c r="AW279" s="2">
        <v>0</v>
      </c>
      <c r="AX279" s="3">
        <v>42500.685416666667</v>
      </c>
      <c r="AY279" s="2" t="s">
        <v>83</v>
      </c>
      <c r="AZ279" s="4">
        <v>42642</v>
      </c>
      <c r="BA279" s="5">
        <v>0.68541666666666667</v>
      </c>
      <c r="BB279" s="2">
        <v>2016</v>
      </c>
      <c r="BC279" s="2" t="s">
        <v>552</v>
      </c>
      <c r="BD279" s="2">
        <v>29</v>
      </c>
      <c r="BE279" s="4">
        <v>42500</v>
      </c>
      <c r="BF279" s="5">
        <v>0.68541666666666667</v>
      </c>
      <c r="BG279" s="2" t="str" cm="1">
        <f t="array" ref="BG279">_xlfn.IFS(BF279&lt;TIMEVALUE("06:00"),"Night", BF279&gt;=TIMEVALUE("21:00"),"Night",BF279&gt;=TIMEVALUE("17:00"),"Evening",BF279&gt;=TIMEVALUE("12:00"),"Afternoon", BF279&gt;=TIMEVALUE("06:00"),"Morning")</f>
        <v>Afternoon</v>
      </c>
      <c r="BH279" s="2">
        <v>2016</v>
      </c>
      <c r="BI279" s="2" t="s">
        <v>443</v>
      </c>
      <c r="BJ279" s="2">
        <v>10</v>
      </c>
    </row>
    <row r="280" spans="1:62" x14ac:dyDescent="0.3">
      <c r="A280" s="2" t="s">
        <v>62</v>
      </c>
      <c r="B280" s="2">
        <v>4</v>
      </c>
      <c r="C280" s="2">
        <v>4</v>
      </c>
      <c r="D280" s="2">
        <v>70.14</v>
      </c>
      <c r="E280" s="2">
        <v>207.5</v>
      </c>
      <c r="F280" s="2" t="s">
        <v>100</v>
      </c>
      <c r="G280" s="2" t="s">
        <v>64</v>
      </c>
      <c r="H280" s="2">
        <v>24</v>
      </c>
      <c r="I280" s="2" t="s">
        <v>435</v>
      </c>
      <c r="J280" s="2" t="s">
        <v>149</v>
      </c>
      <c r="K280" s="2" t="s">
        <v>102</v>
      </c>
      <c r="L280" s="2" t="s">
        <v>1598</v>
      </c>
      <c r="M280" s="2">
        <v>3597</v>
      </c>
      <c r="N280" s="2" t="s">
        <v>425</v>
      </c>
      <c r="O280" s="2" t="s">
        <v>70</v>
      </c>
      <c r="P280" s="2" t="s">
        <v>152</v>
      </c>
      <c r="Q280" s="2" t="s">
        <v>1599</v>
      </c>
      <c r="R280" s="2">
        <v>33162</v>
      </c>
      <c r="S280" s="2">
        <v>5</v>
      </c>
      <c r="T280" s="2" t="s">
        <v>427</v>
      </c>
      <c r="U280" s="2">
        <v>25.930015600000001</v>
      </c>
      <c r="V280" s="2">
        <v>-80.162910499999995</v>
      </c>
      <c r="W280" s="2" t="s">
        <v>500</v>
      </c>
      <c r="X280" s="2" t="s">
        <v>1600</v>
      </c>
      <c r="Y280" s="2" t="s">
        <v>1601</v>
      </c>
      <c r="Z280" s="2">
        <v>3597</v>
      </c>
      <c r="AA280" s="3">
        <v>42438.526388888888</v>
      </c>
      <c r="AB280" s="2">
        <v>41893</v>
      </c>
      <c r="AC280" s="2">
        <v>502</v>
      </c>
      <c r="AD280" s="2">
        <v>42.5</v>
      </c>
      <c r="AE280" s="2">
        <v>0.17</v>
      </c>
      <c r="AF280" s="2" t="str" cm="1">
        <f t="array" ref="AF280">_xlfn.IFS(AE280=0, "No Discount ", AE280&lt;=0.08,"Low Discount", AE280&lt;=0.16,"Medium Discount", AE280&gt;0.16, "High Discount")</f>
        <v>High Discount</v>
      </c>
      <c r="AG280" s="2">
        <v>104569</v>
      </c>
      <c r="AH280" s="2">
        <v>50</v>
      </c>
      <c r="AI280" s="2">
        <v>0.34</v>
      </c>
      <c r="AJ280" s="2" t="str" cm="1">
        <f t="array" ref="AJ280">_xlfn.IFS(AI280&lt;=0, "No Profit", AI280&lt;=0.16,"Low Profit",AI280&lt;=0.32,"Medium Profit",AI280&gt;0.32,"High Profit")</f>
        <v>High Profit</v>
      </c>
      <c r="AK280" s="2">
        <v>5</v>
      </c>
      <c r="AL280" s="2">
        <v>250</v>
      </c>
      <c r="AM280" s="2">
        <v>207.5</v>
      </c>
      <c r="AN280" s="2">
        <v>70.14</v>
      </c>
      <c r="AO280" s="2" t="s">
        <v>510</v>
      </c>
      <c r="AP280" s="2" t="s">
        <v>1602</v>
      </c>
      <c r="AQ280" s="2" t="s">
        <v>80</v>
      </c>
      <c r="AR280" s="2" t="s">
        <v>81</v>
      </c>
      <c r="AS280" s="2">
        <v>502</v>
      </c>
      <c r="AT280" s="2">
        <v>24</v>
      </c>
      <c r="AU280" s="2" t="s">
        <v>442</v>
      </c>
      <c r="AV280" s="2">
        <v>50</v>
      </c>
      <c r="AW280" s="2">
        <v>0</v>
      </c>
      <c r="AX280" s="3">
        <v>42560.526388888888</v>
      </c>
      <c r="AY280" s="2" t="s">
        <v>83</v>
      </c>
      <c r="AZ280" s="4">
        <v>42438</v>
      </c>
      <c r="BA280" s="5">
        <v>0.52638888888888891</v>
      </c>
      <c r="BB280" s="2">
        <v>2016</v>
      </c>
      <c r="BC280" s="2" t="s">
        <v>85</v>
      </c>
      <c r="BD280" s="2">
        <v>9</v>
      </c>
      <c r="BE280" s="4">
        <v>42560</v>
      </c>
      <c r="BF280" s="5">
        <v>0.52638888888888891</v>
      </c>
      <c r="BG280" s="2" t="str" cm="1">
        <f t="array" ref="BG280">_xlfn.IFS(BF280&lt;TIMEVALUE("06:00"),"Night", BF280&gt;=TIMEVALUE("21:00"),"Night",BF280&gt;=TIMEVALUE("17:00"),"Evening",BF280&gt;=TIMEVALUE("12:00"),"Afternoon", BF280&gt;=TIMEVALUE("06:00"),"Morning")</f>
        <v>Afternoon</v>
      </c>
      <c r="BH280" s="2">
        <v>2016</v>
      </c>
      <c r="BI280" s="2" t="s">
        <v>533</v>
      </c>
      <c r="BJ280" s="2">
        <v>9</v>
      </c>
    </row>
    <row r="281" spans="1:62" x14ac:dyDescent="0.3">
      <c r="A281" s="2" t="s">
        <v>62</v>
      </c>
      <c r="B281" s="2">
        <v>5</v>
      </c>
      <c r="C281" s="2">
        <v>4</v>
      </c>
      <c r="D281" s="2">
        <v>56.03</v>
      </c>
      <c r="E281" s="2">
        <v>207.5</v>
      </c>
      <c r="F281" s="2" t="s">
        <v>87</v>
      </c>
      <c r="G281" s="2" t="s">
        <v>88</v>
      </c>
      <c r="H281" s="2">
        <v>24</v>
      </c>
      <c r="I281" s="2" t="s">
        <v>435</v>
      </c>
      <c r="J281" s="2" t="s">
        <v>1603</v>
      </c>
      <c r="K281" s="2" t="s">
        <v>102</v>
      </c>
      <c r="L281" s="2" t="s">
        <v>414</v>
      </c>
      <c r="M281" s="2">
        <v>2052</v>
      </c>
      <c r="N281" s="2" t="s">
        <v>852</v>
      </c>
      <c r="O281" s="2" t="s">
        <v>70</v>
      </c>
      <c r="P281" s="2" t="s">
        <v>1117</v>
      </c>
      <c r="Q281" s="2" t="s">
        <v>1604</v>
      </c>
      <c r="R281" s="2">
        <v>45140</v>
      </c>
      <c r="S281" s="2">
        <v>5</v>
      </c>
      <c r="T281" s="2" t="s">
        <v>427</v>
      </c>
      <c r="U281" s="2">
        <v>39.270561200000003</v>
      </c>
      <c r="V281" s="2">
        <v>-84.270591699999997</v>
      </c>
      <c r="W281" s="2" t="s">
        <v>500</v>
      </c>
      <c r="X281" s="2" t="s">
        <v>1605</v>
      </c>
      <c r="Y281" s="2" t="s">
        <v>859</v>
      </c>
      <c r="Z281" s="2">
        <v>2052</v>
      </c>
      <c r="AA281" s="3">
        <v>42562.427083333336</v>
      </c>
      <c r="AB281" s="2">
        <v>46339</v>
      </c>
      <c r="AC281" s="2">
        <v>502</v>
      </c>
      <c r="AD281" s="2">
        <v>42.5</v>
      </c>
      <c r="AE281" s="2">
        <v>0.17</v>
      </c>
      <c r="AF281" s="2" t="str" cm="1">
        <f t="array" ref="AF281">_xlfn.IFS(AE281=0, "No Discount ", AE281&lt;=0.08,"Low Discount", AE281&lt;=0.16,"Medium Discount", AE281&gt;0.16, "High Discount")</f>
        <v>High Discount</v>
      </c>
      <c r="AG281" s="2">
        <v>115856</v>
      </c>
      <c r="AH281" s="2">
        <v>50</v>
      </c>
      <c r="AI281" s="2">
        <v>0.27</v>
      </c>
      <c r="AJ281" s="2" t="str" cm="1">
        <f t="array" ref="AJ281">_xlfn.IFS(AI281&lt;=0, "No Profit", AI281&lt;=0.16,"Low Profit",AI281&lt;=0.32,"Medium Profit",AI281&gt;0.32,"High Profit")</f>
        <v>Medium Profit</v>
      </c>
      <c r="AK281" s="2">
        <v>5</v>
      </c>
      <c r="AL281" s="2">
        <v>250</v>
      </c>
      <c r="AM281" s="2">
        <v>207.5</v>
      </c>
      <c r="AN281" s="2">
        <v>56.03</v>
      </c>
      <c r="AO281" s="2" t="s">
        <v>510</v>
      </c>
      <c r="AP281" s="2" t="s">
        <v>1605</v>
      </c>
      <c r="AQ281" s="2" t="s">
        <v>80</v>
      </c>
      <c r="AR281" s="2" t="s">
        <v>81</v>
      </c>
      <c r="AS281" s="2">
        <v>502</v>
      </c>
      <c r="AT281" s="2">
        <v>24</v>
      </c>
      <c r="AU281" s="2" t="s">
        <v>442</v>
      </c>
      <c r="AV281" s="2">
        <v>50</v>
      </c>
      <c r="AW281" s="2">
        <v>0</v>
      </c>
      <c r="AX281" s="3">
        <v>42715.427083333336</v>
      </c>
      <c r="AY281" s="2" t="s">
        <v>83</v>
      </c>
      <c r="AZ281" s="4">
        <v>42562</v>
      </c>
      <c r="BA281" s="5">
        <v>0.42708333333333331</v>
      </c>
      <c r="BB281" s="2">
        <v>2016</v>
      </c>
      <c r="BC281" s="2" t="s">
        <v>533</v>
      </c>
      <c r="BD281" s="2">
        <v>11</v>
      </c>
      <c r="BE281" s="4">
        <v>42715</v>
      </c>
      <c r="BF281" s="5">
        <v>0.42708333333333331</v>
      </c>
      <c r="BG281" s="2" t="str" cm="1">
        <f t="array" ref="BG281">_xlfn.IFS(BF281&lt;TIMEVALUE("06:00"),"Night", BF281&gt;=TIMEVALUE("21:00"),"Night",BF281&gt;=TIMEVALUE("17:00"),"Evening",BF281&gt;=TIMEVALUE("12:00"),"Afternoon", BF281&gt;=TIMEVALUE("06:00"),"Morning")</f>
        <v>Morning</v>
      </c>
      <c r="BH281" s="2">
        <v>2016</v>
      </c>
      <c r="BI281" s="2" t="s">
        <v>357</v>
      </c>
      <c r="BJ281" s="2">
        <v>11</v>
      </c>
    </row>
    <row r="282" spans="1:62" x14ac:dyDescent="0.3">
      <c r="A282" s="2" t="s">
        <v>62</v>
      </c>
      <c r="B282" s="2">
        <v>3</v>
      </c>
      <c r="C282" s="2">
        <v>4</v>
      </c>
      <c r="D282" s="2">
        <v>12.87</v>
      </c>
      <c r="E282" s="2">
        <v>207.5</v>
      </c>
      <c r="F282" s="2" t="s">
        <v>63</v>
      </c>
      <c r="G282" s="2" t="s">
        <v>64</v>
      </c>
      <c r="H282" s="2">
        <v>24</v>
      </c>
      <c r="I282" s="2" t="s">
        <v>435</v>
      </c>
      <c r="J282" s="2" t="s">
        <v>1606</v>
      </c>
      <c r="K282" s="2" t="s">
        <v>102</v>
      </c>
      <c r="L282" s="2" t="s">
        <v>1607</v>
      </c>
      <c r="M282" s="2">
        <v>4399</v>
      </c>
      <c r="N282" s="2" t="s">
        <v>425</v>
      </c>
      <c r="O282" s="2" t="s">
        <v>70</v>
      </c>
      <c r="P282" s="2" t="s">
        <v>1394</v>
      </c>
      <c r="Q282" s="2" t="s">
        <v>1608</v>
      </c>
      <c r="R282" s="2">
        <v>23455</v>
      </c>
      <c r="S282" s="2">
        <v>5</v>
      </c>
      <c r="T282" s="2" t="s">
        <v>427</v>
      </c>
      <c r="U282" s="2">
        <v>36.9108315</v>
      </c>
      <c r="V282" s="2">
        <v>-76.129585300000002</v>
      </c>
      <c r="W282" s="2" t="s">
        <v>500</v>
      </c>
      <c r="X282" s="2" t="s">
        <v>1609</v>
      </c>
      <c r="Y282" s="2" t="s">
        <v>502</v>
      </c>
      <c r="Z282" s="2">
        <v>4399</v>
      </c>
      <c r="AA282" s="3">
        <v>42715.215277777781</v>
      </c>
      <c r="AB282" s="2">
        <v>46667</v>
      </c>
      <c r="AC282" s="2">
        <v>502</v>
      </c>
      <c r="AD282" s="2">
        <v>42.5</v>
      </c>
      <c r="AE282" s="2">
        <v>0.17</v>
      </c>
      <c r="AF282" s="2" t="str" cm="1">
        <f t="array" ref="AF282">_xlfn.IFS(AE282=0, "No Discount ", AE282&lt;=0.08,"Low Discount", AE282&lt;=0.16,"Medium Discount", AE282&gt;0.16, "High Discount")</f>
        <v>High Discount</v>
      </c>
      <c r="AG282" s="2">
        <v>116672</v>
      </c>
      <c r="AH282" s="2">
        <v>50</v>
      </c>
      <c r="AI282" s="2">
        <v>0.06</v>
      </c>
      <c r="AJ282" s="2" t="str" cm="1">
        <f t="array" ref="AJ282">_xlfn.IFS(AI282&lt;=0, "No Profit", AI282&lt;=0.16,"Low Profit",AI282&lt;=0.32,"Medium Profit",AI282&gt;0.32,"High Profit")</f>
        <v>Low Profit</v>
      </c>
      <c r="AK282" s="2">
        <v>5</v>
      </c>
      <c r="AL282" s="2">
        <v>250</v>
      </c>
      <c r="AM282" s="2">
        <v>207.5</v>
      </c>
      <c r="AN282" s="2">
        <v>12.87</v>
      </c>
      <c r="AO282" s="2" t="s">
        <v>503</v>
      </c>
      <c r="AP282" s="2" t="s">
        <v>1610</v>
      </c>
      <c r="AQ282" s="2" t="s">
        <v>80</v>
      </c>
      <c r="AR282" s="2" t="s">
        <v>81</v>
      </c>
      <c r="AS282" s="2">
        <v>502</v>
      </c>
      <c r="AT282" s="2">
        <v>24</v>
      </c>
      <c r="AU282" s="2" t="s">
        <v>442</v>
      </c>
      <c r="AV282" s="2">
        <v>50</v>
      </c>
      <c r="AW282" s="2">
        <v>0</v>
      </c>
      <c r="AX282" s="2" t="s">
        <v>1611</v>
      </c>
      <c r="AY282" s="2" t="s">
        <v>83</v>
      </c>
      <c r="AZ282" s="4">
        <v>42715</v>
      </c>
      <c r="BA282" s="5">
        <v>0.21527777777777779</v>
      </c>
      <c r="BB282" s="2">
        <v>2016</v>
      </c>
      <c r="BC282" s="2" t="s">
        <v>357</v>
      </c>
      <c r="BD282" s="2">
        <v>11</v>
      </c>
      <c r="BE282" s="4">
        <v>42689</v>
      </c>
      <c r="BF282" s="5">
        <v>0.21527777777777779</v>
      </c>
      <c r="BG282" s="2" t="str" cm="1">
        <f t="array" ref="BG282">_xlfn.IFS(BF282&lt;TIMEVALUE("06:00"),"Night", BF282&gt;=TIMEVALUE("21:00"),"Night",BF282&gt;=TIMEVALUE("17:00"),"Evening",BF282&gt;=TIMEVALUE("12:00"),"Afternoon", BF282&gt;=TIMEVALUE("06:00"),"Morning")</f>
        <v>Night</v>
      </c>
      <c r="BH282" s="2">
        <v>2016</v>
      </c>
      <c r="BI282" s="2" t="s">
        <v>455</v>
      </c>
      <c r="BJ282" s="2">
        <v>15</v>
      </c>
    </row>
    <row r="283" spans="1:62" x14ac:dyDescent="0.3">
      <c r="A283" s="2" t="s">
        <v>62</v>
      </c>
      <c r="B283" s="2">
        <v>3</v>
      </c>
      <c r="C283" s="2">
        <v>4</v>
      </c>
      <c r="D283" s="2">
        <v>64.17</v>
      </c>
      <c r="E283" s="2">
        <v>205</v>
      </c>
      <c r="F283" s="2" t="s">
        <v>63</v>
      </c>
      <c r="G283" s="2" t="s">
        <v>64</v>
      </c>
      <c r="H283" s="2">
        <v>24</v>
      </c>
      <c r="I283" s="2" t="s">
        <v>435</v>
      </c>
      <c r="J283" s="2" t="s">
        <v>1612</v>
      </c>
      <c r="K283" s="2" t="s">
        <v>102</v>
      </c>
      <c r="L283" s="2" t="s">
        <v>1613</v>
      </c>
      <c r="M283" s="2">
        <v>185</v>
      </c>
      <c r="N283" s="2" t="s">
        <v>425</v>
      </c>
      <c r="O283" s="2" t="s">
        <v>70</v>
      </c>
      <c r="P283" s="2" t="s">
        <v>1614</v>
      </c>
      <c r="Q283" s="2" t="s">
        <v>1615</v>
      </c>
      <c r="R283" s="2">
        <v>40214</v>
      </c>
      <c r="S283" s="2">
        <v>5</v>
      </c>
      <c r="T283" s="2" t="s">
        <v>427</v>
      </c>
      <c r="U283" s="2">
        <v>38.159839599999998</v>
      </c>
      <c r="V283" s="2">
        <v>-85.590263399999998</v>
      </c>
      <c r="W283" s="2" t="s">
        <v>500</v>
      </c>
      <c r="X283" s="2" t="s">
        <v>1616</v>
      </c>
      <c r="Y283" s="2" t="s">
        <v>1617</v>
      </c>
      <c r="Z283" s="2">
        <v>185</v>
      </c>
      <c r="AA283" s="2" t="s">
        <v>1618</v>
      </c>
      <c r="AB283" s="2">
        <v>47647</v>
      </c>
      <c r="AC283" s="2">
        <v>502</v>
      </c>
      <c r="AD283" s="2">
        <v>45</v>
      </c>
      <c r="AE283" s="2">
        <v>0.18</v>
      </c>
      <c r="AF283" s="2" t="str" cm="1">
        <f t="array" ref="AF283">_xlfn.IFS(AE283=0, "No Discount ", AE283&lt;=0.08,"Low Discount", AE283&lt;=0.16,"Medium Discount", AE283&gt;0.16, "High Discount")</f>
        <v>High Discount</v>
      </c>
      <c r="AG283" s="2">
        <v>119125</v>
      </c>
      <c r="AH283" s="2">
        <v>50</v>
      </c>
      <c r="AI283" s="2">
        <v>0.31</v>
      </c>
      <c r="AJ283" s="2" t="str" cm="1">
        <f t="array" ref="AJ283">_xlfn.IFS(AI283&lt;=0, "No Profit", AI283&lt;=0.16,"Low Profit",AI283&lt;=0.32,"Medium Profit",AI283&gt;0.32,"High Profit")</f>
        <v>Medium Profit</v>
      </c>
      <c r="AK283" s="2">
        <v>5</v>
      </c>
      <c r="AL283" s="2">
        <v>250</v>
      </c>
      <c r="AM283" s="2">
        <v>205</v>
      </c>
      <c r="AN283" s="2">
        <v>64.17</v>
      </c>
      <c r="AO283" s="2" t="s">
        <v>876</v>
      </c>
      <c r="AP283" s="2" t="s">
        <v>1616</v>
      </c>
      <c r="AQ283" s="2" t="s">
        <v>80</v>
      </c>
      <c r="AR283" s="2" t="s">
        <v>81</v>
      </c>
      <c r="AS283" s="2">
        <v>502</v>
      </c>
      <c r="AT283" s="2">
        <v>24</v>
      </c>
      <c r="AU283" s="2" t="s">
        <v>442</v>
      </c>
      <c r="AV283" s="2">
        <v>50</v>
      </c>
      <c r="AW283" s="2">
        <v>0</v>
      </c>
      <c r="AX283" s="2" t="s">
        <v>1619</v>
      </c>
      <c r="AY283" s="2" t="s">
        <v>83</v>
      </c>
      <c r="AZ283" s="4">
        <v>42700</v>
      </c>
      <c r="BA283" s="5">
        <v>0.52083333333333337</v>
      </c>
      <c r="BB283" s="2">
        <v>2016</v>
      </c>
      <c r="BC283" s="2" t="s">
        <v>455</v>
      </c>
      <c r="BD283" s="2">
        <v>26</v>
      </c>
      <c r="BE283" s="4">
        <v>42703</v>
      </c>
      <c r="BF283" s="5">
        <v>0.52083333333333337</v>
      </c>
      <c r="BG283" s="2" t="str" cm="1">
        <f t="array" ref="BG283">_xlfn.IFS(BF283&lt;TIMEVALUE("06:00"),"Night", BF283&gt;=TIMEVALUE("21:00"),"Night",BF283&gt;=TIMEVALUE("17:00"),"Evening",BF283&gt;=TIMEVALUE("12:00"),"Afternoon", BF283&gt;=TIMEVALUE("06:00"),"Morning")</f>
        <v>Afternoon</v>
      </c>
      <c r="BH283" s="2">
        <v>2016</v>
      </c>
      <c r="BI283" s="2" t="s">
        <v>455</v>
      </c>
      <c r="BJ283" s="2">
        <v>29</v>
      </c>
    </row>
    <row r="284" spans="1:62" x14ac:dyDescent="0.3">
      <c r="A284" s="2" t="s">
        <v>62</v>
      </c>
      <c r="B284" s="2">
        <v>6</v>
      </c>
      <c r="C284" s="2">
        <v>4</v>
      </c>
      <c r="D284" s="2">
        <v>100.45</v>
      </c>
      <c r="E284" s="2">
        <v>205</v>
      </c>
      <c r="F284" s="2" t="s">
        <v>87</v>
      </c>
      <c r="G284" s="2" t="s">
        <v>88</v>
      </c>
      <c r="H284" s="2">
        <v>24</v>
      </c>
      <c r="I284" s="2" t="s">
        <v>435</v>
      </c>
      <c r="J284" s="2" t="s">
        <v>1620</v>
      </c>
      <c r="K284" s="2" t="s">
        <v>102</v>
      </c>
      <c r="L284" s="2" t="s">
        <v>1621</v>
      </c>
      <c r="M284" s="2">
        <v>3441</v>
      </c>
      <c r="N284" s="2" t="s">
        <v>1622</v>
      </c>
      <c r="O284" s="2" t="s">
        <v>70</v>
      </c>
      <c r="P284" s="2" t="s">
        <v>133</v>
      </c>
      <c r="Q284" s="2" t="s">
        <v>1623</v>
      </c>
      <c r="R284" s="2">
        <v>14094</v>
      </c>
      <c r="S284" s="2">
        <v>5</v>
      </c>
      <c r="T284" s="2" t="s">
        <v>427</v>
      </c>
      <c r="U284" s="2">
        <v>43.168911000000001</v>
      </c>
      <c r="V284" s="2">
        <v>-78.692161600000006</v>
      </c>
      <c r="W284" s="2" t="s">
        <v>500</v>
      </c>
      <c r="X284" s="2" t="s">
        <v>1624</v>
      </c>
      <c r="Y284" s="2" t="s">
        <v>1197</v>
      </c>
      <c r="Z284" s="2">
        <v>3441</v>
      </c>
      <c r="AA284" s="3">
        <v>42625.921527777777</v>
      </c>
      <c r="AB284" s="2">
        <v>48565</v>
      </c>
      <c r="AC284" s="2">
        <v>502</v>
      </c>
      <c r="AD284" s="2">
        <v>45</v>
      </c>
      <c r="AE284" s="2">
        <v>0.18</v>
      </c>
      <c r="AF284" s="2" t="str" cm="1">
        <f t="array" ref="AF284">_xlfn.IFS(AE284=0, "No Discount ", AE284&lt;=0.08,"Low Discount", AE284&lt;=0.16,"Medium Discount", AE284&gt;0.16, "High Discount")</f>
        <v>High Discount</v>
      </c>
      <c r="AG284" s="2">
        <v>121445</v>
      </c>
      <c r="AH284" s="2">
        <v>50</v>
      </c>
      <c r="AI284" s="2">
        <v>0.49</v>
      </c>
      <c r="AJ284" s="2" t="str" cm="1">
        <f t="array" ref="AJ284">_xlfn.IFS(AI284&lt;=0, "No Profit", AI284&lt;=0.16,"Low Profit",AI284&lt;=0.32,"Medium Profit",AI284&gt;0.32,"High Profit")</f>
        <v>High Profit</v>
      </c>
      <c r="AK284" s="2">
        <v>5</v>
      </c>
      <c r="AL284" s="2">
        <v>250</v>
      </c>
      <c r="AM284" s="2">
        <v>205</v>
      </c>
      <c r="AN284" s="2">
        <v>100.45</v>
      </c>
      <c r="AO284" s="2" t="s">
        <v>876</v>
      </c>
      <c r="AP284" s="2" t="s">
        <v>1625</v>
      </c>
      <c r="AQ284" s="2" t="s">
        <v>80</v>
      </c>
      <c r="AR284" s="2" t="s">
        <v>81</v>
      </c>
      <c r="AS284" s="2">
        <v>502</v>
      </c>
      <c r="AT284" s="2">
        <v>24</v>
      </c>
      <c r="AU284" s="2" t="s">
        <v>442</v>
      </c>
      <c r="AV284" s="2">
        <v>50</v>
      </c>
      <c r="AW284" s="2">
        <v>0</v>
      </c>
      <c r="AX284" s="2" t="s">
        <v>1626</v>
      </c>
      <c r="AY284" s="2" t="s">
        <v>83</v>
      </c>
      <c r="AZ284" s="4">
        <v>42625</v>
      </c>
      <c r="BA284" s="5">
        <v>0.92152777777777772</v>
      </c>
      <c r="BB284" s="2">
        <v>2016</v>
      </c>
      <c r="BC284" s="2" t="s">
        <v>552</v>
      </c>
      <c r="BD284" s="2">
        <v>12</v>
      </c>
      <c r="BE284" s="4">
        <v>42719</v>
      </c>
      <c r="BF284" s="5">
        <v>0.92152777777777772</v>
      </c>
      <c r="BG284" s="2" t="str" cm="1">
        <f t="array" ref="BG284">_xlfn.IFS(BF284&lt;TIMEVALUE("06:00"),"Night", BF284&gt;=TIMEVALUE("21:00"),"Night",BF284&gt;=TIMEVALUE("17:00"),"Evening",BF284&gt;=TIMEVALUE("12:00"),"Afternoon", BF284&gt;=TIMEVALUE("06:00"),"Morning")</f>
        <v>Night</v>
      </c>
      <c r="BH284" s="2">
        <v>2016</v>
      </c>
      <c r="BI284" s="2" t="s">
        <v>357</v>
      </c>
      <c r="BJ284" s="2">
        <v>15</v>
      </c>
    </row>
    <row r="285" spans="1:62" x14ac:dyDescent="0.3">
      <c r="A285" s="2" t="s">
        <v>62</v>
      </c>
      <c r="B285" s="2">
        <v>5</v>
      </c>
      <c r="C285" s="2">
        <v>4</v>
      </c>
      <c r="D285" s="2">
        <v>71.75</v>
      </c>
      <c r="E285" s="2">
        <v>205</v>
      </c>
      <c r="F285" s="2" t="s">
        <v>87</v>
      </c>
      <c r="G285" s="2" t="s">
        <v>88</v>
      </c>
      <c r="H285" s="2">
        <v>24</v>
      </c>
      <c r="I285" s="2" t="s">
        <v>435</v>
      </c>
      <c r="J285" s="2" t="s">
        <v>1460</v>
      </c>
      <c r="K285" s="2" t="s">
        <v>102</v>
      </c>
      <c r="L285" s="2" t="s">
        <v>414</v>
      </c>
      <c r="M285" s="2">
        <v>11947</v>
      </c>
      <c r="N285" s="2" t="s">
        <v>425</v>
      </c>
      <c r="O285" s="2" t="s">
        <v>70</v>
      </c>
      <c r="P285" s="2" t="s">
        <v>234</v>
      </c>
      <c r="Q285" s="2" t="s">
        <v>1627</v>
      </c>
      <c r="R285" s="2">
        <v>60608</v>
      </c>
      <c r="S285" s="2">
        <v>5</v>
      </c>
      <c r="T285" s="2" t="s">
        <v>427</v>
      </c>
      <c r="U285" s="2">
        <v>41.894916500000001</v>
      </c>
      <c r="V285" s="2">
        <v>-87.761802700000004</v>
      </c>
      <c r="W285" s="2" t="s">
        <v>500</v>
      </c>
      <c r="X285" s="2" t="s">
        <v>1269</v>
      </c>
      <c r="Y285" s="2" t="s">
        <v>502</v>
      </c>
      <c r="Z285" s="2">
        <v>11947</v>
      </c>
      <c r="AA285" s="3">
        <v>42410.663194444445</v>
      </c>
      <c r="AB285" s="2">
        <v>43889</v>
      </c>
      <c r="AC285" s="2">
        <v>502</v>
      </c>
      <c r="AD285" s="2">
        <v>45</v>
      </c>
      <c r="AE285" s="2">
        <v>0.18</v>
      </c>
      <c r="AF285" s="2" t="str" cm="1">
        <f t="array" ref="AF285">_xlfn.IFS(AE285=0, "No Discount ", AE285&lt;=0.08,"Low Discount", AE285&lt;=0.16,"Medium Discount", AE285&gt;0.16, "High Discount")</f>
        <v>High Discount</v>
      </c>
      <c r="AG285" s="2">
        <v>109614</v>
      </c>
      <c r="AH285" s="2">
        <v>50</v>
      </c>
      <c r="AI285" s="2">
        <v>0.35</v>
      </c>
      <c r="AJ285" s="2" t="str" cm="1">
        <f t="array" ref="AJ285">_xlfn.IFS(AI285&lt;=0, "No Profit", AI285&lt;=0.16,"Low Profit",AI285&lt;=0.32,"Medium Profit",AI285&gt;0.32,"High Profit")</f>
        <v>High Profit</v>
      </c>
      <c r="AK285" s="2">
        <v>5</v>
      </c>
      <c r="AL285" s="2">
        <v>250</v>
      </c>
      <c r="AM285" s="2">
        <v>205</v>
      </c>
      <c r="AN285" s="2">
        <v>71.75</v>
      </c>
      <c r="AO285" s="2" t="s">
        <v>503</v>
      </c>
      <c r="AP285" s="2" t="s">
        <v>1269</v>
      </c>
      <c r="AQ285" s="2" t="s">
        <v>80</v>
      </c>
      <c r="AR285" s="2" t="s">
        <v>81</v>
      </c>
      <c r="AS285" s="2">
        <v>502</v>
      </c>
      <c r="AT285" s="2">
        <v>24</v>
      </c>
      <c r="AU285" s="2" t="s">
        <v>442</v>
      </c>
      <c r="AV285" s="2">
        <v>50</v>
      </c>
      <c r="AW285" s="2">
        <v>0</v>
      </c>
      <c r="AX285" s="3">
        <v>42561.663194444445</v>
      </c>
      <c r="AY285" s="2" t="s">
        <v>83</v>
      </c>
      <c r="AZ285" s="4">
        <v>42410</v>
      </c>
      <c r="BA285" s="5">
        <v>0.66319444444444442</v>
      </c>
      <c r="BB285" s="2">
        <v>2016</v>
      </c>
      <c r="BC285" s="2" t="s">
        <v>423</v>
      </c>
      <c r="BD285" s="2">
        <v>10</v>
      </c>
      <c r="BE285" s="4">
        <v>42561</v>
      </c>
      <c r="BF285" s="5">
        <v>0.66319444444444442</v>
      </c>
      <c r="BG285" s="2" t="str" cm="1">
        <f t="array" ref="BG285">_xlfn.IFS(BF285&lt;TIMEVALUE("06:00"),"Night", BF285&gt;=TIMEVALUE("21:00"),"Night",BF285&gt;=TIMEVALUE("17:00"),"Evening",BF285&gt;=TIMEVALUE("12:00"),"Afternoon", BF285&gt;=TIMEVALUE("06:00"),"Morning")</f>
        <v>Afternoon</v>
      </c>
      <c r="BH285" s="2">
        <v>2016</v>
      </c>
      <c r="BI285" s="2" t="s">
        <v>533</v>
      </c>
      <c r="BJ285" s="2">
        <v>10</v>
      </c>
    </row>
    <row r="286" spans="1:62" x14ac:dyDescent="0.3">
      <c r="A286" s="2" t="s">
        <v>62</v>
      </c>
      <c r="B286" s="2">
        <v>4</v>
      </c>
      <c r="C286" s="2">
        <v>4</v>
      </c>
      <c r="D286" s="2">
        <v>72.599999999999994</v>
      </c>
      <c r="E286" s="2">
        <v>200</v>
      </c>
      <c r="F286" s="2" t="s">
        <v>100</v>
      </c>
      <c r="G286" s="2" t="s">
        <v>64</v>
      </c>
      <c r="H286" s="2">
        <v>24</v>
      </c>
      <c r="I286" s="2" t="s">
        <v>435</v>
      </c>
      <c r="J286" s="2" t="s">
        <v>1628</v>
      </c>
      <c r="K286" s="2" t="s">
        <v>102</v>
      </c>
      <c r="L286" s="2" t="s">
        <v>1629</v>
      </c>
      <c r="M286" s="2">
        <v>1555</v>
      </c>
      <c r="N286" s="2" t="s">
        <v>425</v>
      </c>
      <c r="O286" s="2" t="s">
        <v>70</v>
      </c>
      <c r="P286" s="2" t="s">
        <v>133</v>
      </c>
      <c r="Q286" s="2" t="s">
        <v>1630</v>
      </c>
      <c r="R286" s="2">
        <v>10314</v>
      </c>
      <c r="S286" s="2">
        <v>5</v>
      </c>
      <c r="T286" s="2" t="s">
        <v>427</v>
      </c>
      <c r="U286" s="2">
        <v>40.584415399999997</v>
      </c>
      <c r="V286" s="2">
        <v>-74.159919700000003</v>
      </c>
      <c r="W286" s="2" t="s">
        <v>500</v>
      </c>
      <c r="X286" s="2" t="s">
        <v>1631</v>
      </c>
      <c r="Y286" s="2" t="s">
        <v>1601</v>
      </c>
      <c r="Z286" s="2">
        <v>1555</v>
      </c>
      <c r="AA286" s="2" t="s">
        <v>1632</v>
      </c>
      <c r="AB286" s="2">
        <v>45138</v>
      </c>
      <c r="AC286" s="2">
        <v>502</v>
      </c>
      <c r="AD286" s="2">
        <v>50</v>
      </c>
      <c r="AE286" s="2">
        <v>0.2</v>
      </c>
      <c r="AF286" s="2" t="str" cm="1">
        <f t="array" ref="AF286">_xlfn.IFS(AE286=0, "No Discount ", AE286&lt;=0.08,"Low Discount", AE286&lt;=0.16,"Medium Discount", AE286&gt;0.16, "High Discount")</f>
        <v>High Discount</v>
      </c>
      <c r="AG286" s="2">
        <v>112738</v>
      </c>
      <c r="AH286" s="2">
        <v>50</v>
      </c>
      <c r="AI286" s="2">
        <v>0.36</v>
      </c>
      <c r="AJ286" s="2" t="str" cm="1">
        <f t="array" ref="AJ286">_xlfn.IFS(AI286&lt;=0, "No Profit", AI286&lt;=0.16,"Low Profit",AI286&lt;=0.32,"Medium Profit",AI286&gt;0.32,"High Profit")</f>
        <v>High Profit</v>
      </c>
      <c r="AK286" s="2">
        <v>5</v>
      </c>
      <c r="AL286" s="2">
        <v>250</v>
      </c>
      <c r="AM286" s="2">
        <v>200</v>
      </c>
      <c r="AN286" s="2">
        <v>72.599999999999994</v>
      </c>
      <c r="AO286" s="2" t="s">
        <v>510</v>
      </c>
      <c r="AP286" s="2" t="s">
        <v>1633</v>
      </c>
      <c r="AQ286" s="2" t="s">
        <v>80</v>
      </c>
      <c r="AR286" s="2" t="s">
        <v>81</v>
      </c>
      <c r="AS286" s="2">
        <v>502</v>
      </c>
      <c r="AT286" s="2">
        <v>24</v>
      </c>
      <c r="AU286" s="2" t="s">
        <v>442</v>
      </c>
      <c r="AV286" s="2">
        <v>50</v>
      </c>
      <c r="AW286" s="2">
        <v>0</v>
      </c>
      <c r="AX286" s="2" t="s">
        <v>1634</v>
      </c>
      <c r="AY286" s="2" t="s">
        <v>83</v>
      </c>
      <c r="AZ286" s="4">
        <v>42663</v>
      </c>
      <c r="BA286" s="5">
        <v>0.89583333333333337</v>
      </c>
      <c r="BB286" s="2">
        <v>2016</v>
      </c>
      <c r="BC286" s="2" t="s">
        <v>434</v>
      </c>
      <c r="BD286" s="2">
        <v>20</v>
      </c>
      <c r="BE286" s="4">
        <v>42667</v>
      </c>
      <c r="BF286" s="5">
        <v>0.89583333333333337</v>
      </c>
      <c r="BG286" s="2" t="str" cm="1">
        <f t="array" ref="BG286">_xlfn.IFS(BF286&lt;TIMEVALUE("06:00"),"Night", BF286&gt;=TIMEVALUE("21:00"),"Night",BF286&gt;=TIMEVALUE("17:00"),"Evening",BF286&gt;=TIMEVALUE("12:00"),"Afternoon", BF286&gt;=TIMEVALUE("06:00"),"Morning")</f>
        <v>Night</v>
      </c>
      <c r="BH286" s="2">
        <v>2016</v>
      </c>
      <c r="BI286" s="2" t="s">
        <v>434</v>
      </c>
      <c r="BJ286" s="2">
        <v>24</v>
      </c>
    </row>
    <row r="287" spans="1:62" x14ac:dyDescent="0.3">
      <c r="A287" s="2" t="s">
        <v>62</v>
      </c>
      <c r="B287" s="2">
        <v>6</v>
      </c>
      <c r="C287" s="2">
        <v>4</v>
      </c>
      <c r="D287" s="2">
        <v>67.48</v>
      </c>
      <c r="E287" s="2">
        <v>149.96</v>
      </c>
      <c r="F287" s="2" t="s">
        <v>87</v>
      </c>
      <c r="G287" s="2" t="s">
        <v>88</v>
      </c>
      <c r="H287" s="2">
        <v>29</v>
      </c>
      <c r="I287" s="2" t="s">
        <v>424</v>
      </c>
      <c r="J287" s="2" t="s">
        <v>1635</v>
      </c>
      <c r="K287" s="2" t="s">
        <v>102</v>
      </c>
      <c r="L287" s="2" t="s">
        <v>414</v>
      </c>
      <c r="M287" s="2">
        <v>9399</v>
      </c>
      <c r="N287" s="2" t="s">
        <v>871</v>
      </c>
      <c r="O287" s="2" t="s">
        <v>70</v>
      </c>
      <c r="P287" s="2" t="s">
        <v>1254</v>
      </c>
      <c r="Q287" s="2" t="s">
        <v>1636</v>
      </c>
      <c r="R287" s="2">
        <v>85719</v>
      </c>
      <c r="S287" s="2">
        <v>5</v>
      </c>
      <c r="T287" s="2" t="s">
        <v>427</v>
      </c>
      <c r="U287" s="2">
        <v>32.279827099999999</v>
      </c>
      <c r="V287" s="2">
        <v>-110.9582291</v>
      </c>
      <c r="W287" s="2" t="s">
        <v>500</v>
      </c>
      <c r="X287" s="2" t="s">
        <v>1637</v>
      </c>
      <c r="Y287" s="2" t="s">
        <v>509</v>
      </c>
      <c r="Z287" s="2">
        <v>9399</v>
      </c>
      <c r="AA287" s="3">
        <v>42531.618750000001</v>
      </c>
      <c r="AB287" s="2">
        <v>44160</v>
      </c>
      <c r="AC287" s="2">
        <v>627</v>
      </c>
      <c r="AD287" s="2">
        <v>49.99</v>
      </c>
      <c r="AE287" s="2">
        <v>0.25</v>
      </c>
      <c r="AF287" s="2" t="str" cm="1">
        <f t="array" ref="AF287">_xlfn.IFS(AE287=0, "No Discount ", AE287&lt;=0.08,"Low Discount", AE287&lt;=0.16,"Medium Discount", AE287&gt;0.16, "High Discount")</f>
        <v>High Discount</v>
      </c>
      <c r="AG287" s="2">
        <v>110278</v>
      </c>
      <c r="AH287" s="2">
        <v>39.99</v>
      </c>
      <c r="AI287" s="2">
        <v>0.45</v>
      </c>
      <c r="AJ287" s="2" t="str" cm="1">
        <f t="array" ref="AJ287">_xlfn.IFS(AI287&lt;=0, "No Profit", AI287&lt;=0.16,"Low Profit",AI287&lt;=0.32,"Medium Profit",AI287&gt;0.32,"High Profit")</f>
        <v>High Profit</v>
      </c>
      <c r="AK287" s="2">
        <v>5</v>
      </c>
      <c r="AL287" s="2">
        <v>199.95</v>
      </c>
      <c r="AM287" s="2">
        <v>149.96</v>
      </c>
      <c r="AN287" s="2">
        <v>67.48</v>
      </c>
      <c r="AO287" s="2" t="s">
        <v>510</v>
      </c>
      <c r="AP287" s="2" t="s">
        <v>1638</v>
      </c>
      <c r="AQ287" s="2" t="s">
        <v>80</v>
      </c>
      <c r="AR287" s="2" t="s">
        <v>81</v>
      </c>
      <c r="AS287" s="2">
        <v>627</v>
      </c>
      <c r="AT287" s="2">
        <v>29</v>
      </c>
      <c r="AU287" s="2" t="s">
        <v>432</v>
      </c>
      <c r="AV287" s="2">
        <v>39.99</v>
      </c>
      <c r="AW287" s="2">
        <v>0</v>
      </c>
      <c r="AX287" s="3">
        <v>42714.618750000001</v>
      </c>
      <c r="AY287" s="2" t="s">
        <v>83</v>
      </c>
      <c r="AZ287" s="4">
        <v>42531</v>
      </c>
      <c r="BA287" s="5">
        <v>0.61875000000000002</v>
      </c>
      <c r="BB287" s="2">
        <v>2016</v>
      </c>
      <c r="BC287" s="2" t="s">
        <v>474</v>
      </c>
      <c r="BD287" s="2">
        <v>10</v>
      </c>
      <c r="BE287" s="4">
        <v>42714</v>
      </c>
      <c r="BF287" s="5">
        <v>0.61875000000000002</v>
      </c>
      <c r="BG287" s="2" t="str" cm="1">
        <f t="array" ref="BG287">_xlfn.IFS(BF287&lt;TIMEVALUE("06:00"),"Night", BF287&gt;=TIMEVALUE("21:00"),"Night",BF287&gt;=TIMEVALUE("17:00"),"Evening",BF287&gt;=TIMEVALUE("12:00"),"Afternoon", BF287&gt;=TIMEVALUE("06:00"),"Morning")</f>
        <v>Afternoon</v>
      </c>
      <c r="BH287" s="2">
        <v>2016</v>
      </c>
      <c r="BI287" s="2" t="s">
        <v>357</v>
      </c>
      <c r="BJ287" s="2">
        <v>10</v>
      </c>
    </row>
    <row r="288" spans="1:62" x14ac:dyDescent="0.3">
      <c r="A288" s="2" t="s">
        <v>62</v>
      </c>
      <c r="B288" s="2">
        <v>5</v>
      </c>
      <c r="C288" s="2">
        <v>4</v>
      </c>
      <c r="D288" s="2">
        <v>21.19</v>
      </c>
      <c r="E288" s="2">
        <v>187.5</v>
      </c>
      <c r="F288" s="2" t="s">
        <v>87</v>
      </c>
      <c r="G288" s="2" t="s">
        <v>88</v>
      </c>
      <c r="H288" s="2">
        <v>24</v>
      </c>
      <c r="I288" s="2" t="s">
        <v>435</v>
      </c>
      <c r="J288" s="2" t="s">
        <v>1467</v>
      </c>
      <c r="K288" s="2" t="s">
        <v>102</v>
      </c>
      <c r="L288" s="2" t="s">
        <v>807</v>
      </c>
      <c r="M288" s="2">
        <v>2792</v>
      </c>
      <c r="N288" s="2" t="s">
        <v>1639</v>
      </c>
      <c r="O288" s="2" t="s">
        <v>70</v>
      </c>
      <c r="P288" s="2" t="s">
        <v>201</v>
      </c>
      <c r="Q288" s="2" t="s">
        <v>1640</v>
      </c>
      <c r="R288" s="2">
        <v>2360</v>
      </c>
      <c r="S288" s="2">
        <v>5</v>
      </c>
      <c r="T288" s="2" t="s">
        <v>427</v>
      </c>
      <c r="U288" s="2">
        <v>41.927368199999997</v>
      </c>
      <c r="V288" s="2">
        <v>-70.748443600000002</v>
      </c>
      <c r="W288" s="2" t="s">
        <v>500</v>
      </c>
      <c r="X288" s="2" t="s">
        <v>1641</v>
      </c>
      <c r="Y288" s="2" t="s">
        <v>1642</v>
      </c>
      <c r="Z288" s="2">
        <v>2792</v>
      </c>
      <c r="AA288" s="2" t="s">
        <v>1643</v>
      </c>
      <c r="AB288" s="2">
        <v>49214</v>
      </c>
      <c r="AC288" s="2">
        <v>502</v>
      </c>
      <c r="AD288" s="2">
        <v>62.5</v>
      </c>
      <c r="AE288" s="2">
        <v>0.25</v>
      </c>
      <c r="AF288" s="2" t="str" cm="1">
        <f t="array" ref="AF288">_xlfn.IFS(AE288=0, "No Discount ", AE288&lt;=0.08,"Low Discount", AE288&lt;=0.16,"Medium Discount", AE288&gt;0.16, "High Discount")</f>
        <v>High Discount</v>
      </c>
      <c r="AG288" s="2">
        <v>123053</v>
      </c>
      <c r="AH288" s="2">
        <v>50</v>
      </c>
      <c r="AI288" s="2">
        <v>0.11</v>
      </c>
      <c r="AJ288" s="2" t="str" cm="1">
        <f t="array" ref="AJ288">_xlfn.IFS(AI288&lt;=0, "No Profit", AI288&lt;=0.16,"Low Profit",AI288&lt;=0.32,"Medium Profit",AI288&gt;0.32,"High Profit")</f>
        <v>Low Profit</v>
      </c>
      <c r="AK288" s="2">
        <v>5</v>
      </c>
      <c r="AL288" s="2">
        <v>250</v>
      </c>
      <c r="AM288" s="2">
        <v>187.5</v>
      </c>
      <c r="AN288" s="2">
        <v>21.19</v>
      </c>
      <c r="AO288" s="2" t="s">
        <v>503</v>
      </c>
      <c r="AP288" s="2" t="s">
        <v>1644</v>
      </c>
      <c r="AQ288" s="2" t="s">
        <v>80</v>
      </c>
      <c r="AR288" s="2" t="s">
        <v>81</v>
      </c>
      <c r="AS288" s="2">
        <v>502</v>
      </c>
      <c r="AT288" s="2">
        <v>24</v>
      </c>
      <c r="AU288" s="2" t="s">
        <v>442</v>
      </c>
      <c r="AV288" s="2">
        <v>50</v>
      </c>
      <c r="AW288" s="2">
        <v>0</v>
      </c>
      <c r="AX288" s="2" t="s">
        <v>1645</v>
      </c>
      <c r="AY288" s="2" t="s">
        <v>83</v>
      </c>
      <c r="AZ288" s="4">
        <v>42723</v>
      </c>
      <c r="BA288" s="5">
        <v>0.39583333333333331</v>
      </c>
      <c r="BB288" s="2">
        <v>2016</v>
      </c>
      <c r="BC288" s="2" t="s">
        <v>357</v>
      </c>
      <c r="BD288" s="2">
        <v>19</v>
      </c>
      <c r="BE288" s="4">
        <v>42728</v>
      </c>
      <c r="BF288" s="5">
        <v>0.39583333333333331</v>
      </c>
      <c r="BG288" s="2" t="str" cm="1">
        <f t="array" ref="BG288">_xlfn.IFS(BF288&lt;TIMEVALUE("06:00"),"Night", BF288&gt;=TIMEVALUE("21:00"),"Night",BF288&gt;=TIMEVALUE("17:00"),"Evening",BF288&gt;=TIMEVALUE("12:00"),"Afternoon", BF288&gt;=TIMEVALUE("06:00"),"Morning")</f>
        <v>Morning</v>
      </c>
      <c r="BH288" s="2">
        <v>2016</v>
      </c>
      <c r="BI288" s="2" t="s">
        <v>357</v>
      </c>
      <c r="BJ288" s="2">
        <v>24</v>
      </c>
    </row>
    <row r="289" spans="1:62" x14ac:dyDescent="0.3">
      <c r="A289" s="2" t="s">
        <v>62</v>
      </c>
      <c r="B289" s="2">
        <v>6</v>
      </c>
      <c r="C289" s="2">
        <v>4</v>
      </c>
      <c r="D289" s="2">
        <v>59.98</v>
      </c>
      <c r="E289" s="2">
        <v>124.95</v>
      </c>
      <c r="F289" s="2" t="s">
        <v>87</v>
      </c>
      <c r="G289" s="2" t="s">
        <v>88</v>
      </c>
      <c r="H289" s="2">
        <v>40</v>
      </c>
      <c r="I289" s="2" t="s">
        <v>1151</v>
      </c>
      <c r="J289" s="2" t="s">
        <v>1646</v>
      </c>
      <c r="K289" s="2" t="s">
        <v>102</v>
      </c>
      <c r="L289" s="2" t="s">
        <v>414</v>
      </c>
      <c r="M289" s="2">
        <v>10118</v>
      </c>
      <c r="N289" s="2" t="s">
        <v>1647</v>
      </c>
      <c r="O289" s="2" t="s">
        <v>70</v>
      </c>
      <c r="P289" s="2" t="s">
        <v>1117</v>
      </c>
      <c r="Q289" s="2" t="s">
        <v>1648</v>
      </c>
      <c r="R289" s="2">
        <v>44120</v>
      </c>
      <c r="S289" s="2">
        <v>6</v>
      </c>
      <c r="T289" s="2" t="s">
        <v>515</v>
      </c>
      <c r="U289" s="2">
        <v>41.476539600000002</v>
      </c>
      <c r="V289" s="2">
        <v>-81.723419199999995</v>
      </c>
      <c r="W289" s="2" t="s">
        <v>500</v>
      </c>
      <c r="X289" s="2" t="s">
        <v>1247</v>
      </c>
      <c r="Y289" s="2" t="s">
        <v>1248</v>
      </c>
      <c r="Z289" s="2">
        <v>10118</v>
      </c>
      <c r="AA289" s="3">
        <v>42409.533333333333</v>
      </c>
      <c r="AB289" s="2">
        <v>41825</v>
      </c>
      <c r="AC289" s="2">
        <v>906</v>
      </c>
      <c r="AD289" s="2">
        <v>0</v>
      </c>
      <c r="AE289" s="2">
        <v>0</v>
      </c>
      <c r="AF289" s="2" t="str" cm="1">
        <f t="array" ref="AF289">_xlfn.IFS(AE289=0, "No Discount ", AE289&lt;=0.08,"Low Discount", AE289&lt;=0.16,"Medium Discount", AE289&gt;0.16, "High Discount")</f>
        <v xml:space="preserve">No Discount </v>
      </c>
      <c r="AG289" s="2">
        <v>104410</v>
      </c>
      <c r="AH289" s="2">
        <v>24.99</v>
      </c>
      <c r="AI289" s="2">
        <v>0.48</v>
      </c>
      <c r="AJ289" s="2" t="str" cm="1">
        <f t="array" ref="AJ289">_xlfn.IFS(AI289&lt;=0, "No Profit", AI289&lt;=0.16,"Low Profit",AI289&lt;=0.32,"Medium Profit",AI289&gt;0.32,"High Profit")</f>
        <v>High Profit</v>
      </c>
      <c r="AK289" s="2">
        <v>5</v>
      </c>
      <c r="AL289" s="2">
        <v>124.95</v>
      </c>
      <c r="AM289" s="2">
        <v>124.95</v>
      </c>
      <c r="AN289" s="2">
        <v>59.98</v>
      </c>
      <c r="AO289" s="2" t="s">
        <v>1249</v>
      </c>
      <c r="AP289" s="2" t="s">
        <v>1250</v>
      </c>
      <c r="AQ289" s="2" t="s">
        <v>80</v>
      </c>
      <c r="AR289" s="2" t="s">
        <v>81</v>
      </c>
      <c r="AS289" s="2">
        <v>906</v>
      </c>
      <c r="AT289" s="2">
        <v>40</v>
      </c>
      <c r="AU289" s="2" t="s">
        <v>1649</v>
      </c>
      <c r="AV289" s="2">
        <v>24.99</v>
      </c>
      <c r="AW289" s="2">
        <v>0</v>
      </c>
      <c r="AX289" s="3">
        <v>42591.533333333333</v>
      </c>
      <c r="AY289" s="2" t="s">
        <v>83</v>
      </c>
      <c r="AZ289" s="4">
        <v>42409</v>
      </c>
      <c r="BA289" s="5">
        <v>0.53333333333333333</v>
      </c>
      <c r="BB289" s="2">
        <v>2016</v>
      </c>
      <c r="BC289" s="2" t="s">
        <v>423</v>
      </c>
      <c r="BD289" s="2">
        <v>9</v>
      </c>
      <c r="BE289" s="4">
        <v>42591</v>
      </c>
      <c r="BF289" s="5">
        <v>0.53333333333333333</v>
      </c>
      <c r="BG289" s="2" t="str" cm="1">
        <f t="array" ref="BG289">_xlfn.IFS(BF289&lt;TIMEVALUE("06:00"),"Night", BF289&gt;=TIMEVALUE("21:00"),"Night",BF289&gt;=TIMEVALUE("17:00"),"Evening",BF289&gt;=TIMEVALUE("12:00"),"Afternoon", BF289&gt;=TIMEVALUE("06:00"),"Morning")</f>
        <v>Afternoon</v>
      </c>
      <c r="BH289" s="2">
        <v>2016</v>
      </c>
      <c r="BI289" s="2" t="s">
        <v>482</v>
      </c>
      <c r="BJ289" s="2">
        <v>9</v>
      </c>
    </row>
    <row r="290" spans="1:62" x14ac:dyDescent="0.3">
      <c r="A290" s="2" t="s">
        <v>62</v>
      </c>
      <c r="B290" s="2">
        <v>5</v>
      </c>
      <c r="C290" s="2">
        <v>4</v>
      </c>
      <c r="D290" s="2">
        <v>35.61</v>
      </c>
      <c r="E290" s="2">
        <v>118.7</v>
      </c>
      <c r="F290" s="2" t="s">
        <v>87</v>
      </c>
      <c r="G290" s="2" t="s">
        <v>88</v>
      </c>
      <c r="H290" s="2">
        <v>40</v>
      </c>
      <c r="I290" s="2" t="s">
        <v>1151</v>
      </c>
      <c r="J290" s="2" t="s">
        <v>1312</v>
      </c>
      <c r="K290" s="2" t="s">
        <v>102</v>
      </c>
      <c r="L290" s="2" t="s">
        <v>1650</v>
      </c>
      <c r="M290" s="2">
        <v>8544</v>
      </c>
      <c r="N290" s="2" t="s">
        <v>425</v>
      </c>
      <c r="O290" s="2" t="s">
        <v>70</v>
      </c>
      <c r="P290" s="2" t="s">
        <v>133</v>
      </c>
      <c r="Q290" s="2" t="s">
        <v>998</v>
      </c>
      <c r="R290" s="2">
        <v>10458</v>
      </c>
      <c r="S290" s="2">
        <v>6</v>
      </c>
      <c r="T290" s="2" t="s">
        <v>515</v>
      </c>
      <c r="U290" s="2">
        <v>40.870304099999998</v>
      </c>
      <c r="V290" s="2">
        <v>-73.870620700000003</v>
      </c>
      <c r="W290" s="2" t="s">
        <v>500</v>
      </c>
      <c r="X290" s="2" t="s">
        <v>516</v>
      </c>
      <c r="Y290" s="2" t="s">
        <v>517</v>
      </c>
      <c r="Z290" s="2">
        <v>8544</v>
      </c>
      <c r="AA290" s="3">
        <v>42684.640277777777</v>
      </c>
      <c r="AB290" s="2">
        <v>44504</v>
      </c>
      <c r="AC290" s="2">
        <v>885</v>
      </c>
      <c r="AD290" s="2">
        <v>6.25</v>
      </c>
      <c r="AE290" s="2">
        <v>0.05</v>
      </c>
      <c r="AF290" s="2" t="str" cm="1">
        <f t="array" ref="AF290">_xlfn.IFS(AE290=0, "No Discount ", AE290&lt;=0.08,"Low Discount", AE290&lt;=0.16,"Medium Discount", AE290&gt;0.16, "High Discount")</f>
        <v>Low Discount</v>
      </c>
      <c r="AG290" s="2">
        <v>111111</v>
      </c>
      <c r="AH290" s="2">
        <v>24.99</v>
      </c>
      <c r="AI290" s="2">
        <v>0.3</v>
      </c>
      <c r="AJ290" s="2" t="str" cm="1">
        <f t="array" ref="AJ290">_xlfn.IFS(AI290&lt;=0, "No Profit", AI290&lt;=0.16,"Low Profit",AI290&lt;=0.32,"Medium Profit",AI290&gt;0.32,"High Profit")</f>
        <v>Medium Profit</v>
      </c>
      <c r="AK290" s="2">
        <v>5</v>
      </c>
      <c r="AL290" s="2">
        <v>124.95</v>
      </c>
      <c r="AM290" s="2">
        <v>118.7</v>
      </c>
      <c r="AN290" s="2">
        <v>35.61</v>
      </c>
      <c r="AO290" s="2" t="s">
        <v>503</v>
      </c>
      <c r="AP290" s="2" t="s">
        <v>516</v>
      </c>
      <c r="AQ290" s="2" t="s">
        <v>80</v>
      </c>
      <c r="AR290" s="2" t="s">
        <v>81</v>
      </c>
      <c r="AS290" s="2">
        <v>885</v>
      </c>
      <c r="AT290" s="2">
        <v>40</v>
      </c>
      <c r="AU290" s="2" t="s">
        <v>1273</v>
      </c>
      <c r="AV290" s="2">
        <v>24.99</v>
      </c>
      <c r="AW290" s="2">
        <v>0</v>
      </c>
      <c r="AX290" s="2" t="s">
        <v>1651</v>
      </c>
      <c r="AY290" s="2" t="s">
        <v>83</v>
      </c>
      <c r="AZ290" s="4">
        <v>42684</v>
      </c>
      <c r="BA290" s="5">
        <v>0.64027777777777772</v>
      </c>
      <c r="BB290" s="2">
        <v>2016</v>
      </c>
      <c r="BC290" s="2" t="s">
        <v>455</v>
      </c>
      <c r="BD290" s="2">
        <v>10</v>
      </c>
      <c r="BE290" s="4">
        <v>42659</v>
      </c>
      <c r="BF290" s="5">
        <v>0.64027777777777772</v>
      </c>
      <c r="BG290" s="2" t="str" cm="1">
        <f t="array" ref="BG290">_xlfn.IFS(BF290&lt;TIMEVALUE("06:00"),"Night", BF290&gt;=TIMEVALUE("21:00"),"Night",BF290&gt;=TIMEVALUE("17:00"),"Evening",BF290&gt;=TIMEVALUE("12:00"),"Afternoon", BF290&gt;=TIMEVALUE("06:00"),"Morning")</f>
        <v>Afternoon</v>
      </c>
      <c r="BH290" s="2">
        <v>2016</v>
      </c>
      <c r="BI290" s="2" t="s">
        <v>434</v>
      </c>
      <c r="BJ290" s="2">
        <v>16</v>
      </c>
    </row>
    <row r="291" spans="1:62" x14ac:dyDescent="0.3">
      <c r="A291" s="2" t="s">
        <v>62</v>
      </c>
      <c r="B291" s="2">
        <v>2</v>
      </c>
      <c r="C291" s="2">
        <v>4</v>
      </c>
      <c r="D291" s="2">
        <v>39.909999999999997</v>
      </c>
      <c r="E291" s="2">
        <v>118.08</v>
      </c>
      <c r="F291" s="2" t="s">
        <v>63</v>
      </c>
      <c r="G291" s="2" t="s">
        <v>64</v>
      </c>
      <c r="H291" s="2">
        <v>40</v>
      </c>
      <c r="I291" s="2" t="s">
        <v>1151</v>
      </c>
      <c r="J291" s="2" t="s">
        <v>1453</v>
      </c>
      <c r="K291" s="2" t="s">
        <v>102</v>
      </c>
      <c r="L291" s="2" t="s">
        <v>1652</v>
      </c>
      <c r="M291" s="2">
        <v>4296</v>
      </c>
      <c r="N291" s="2" t="s">
        <v>612</v>
      </c>
      <c r="O291" s="2" t="s">
        <v>70</v>
      </c>
      <c r="P291" s="2" t="s">
        <v>133</v>
      </c>
      <c r="Q291" s="2" t="s">
        <v>1653</v>
      </c>
      <c r="R291" s="2">
        <v>14580</v>
      </c>
      <c r="S291" s="2">
        <v>6</v>
      </c>
      <c r="T291" s="2" t="s">
        <v>515</v>
      </c>
      <c r="U291" s="2">
        <v>42.420120199999999</v>
      </c>
      <c r="V291" s="2">
        <v>-79.313209499999999</v>
      </c>
      <c r="W291" s="2" t="s">
        <v>500</v>
      </c>
      <c r="X291" s="2" t="s">
        <v>1654</v>
      </c>
      <c r="Y291" s="2" t="s">
        <v>1171</v>
      </c>
      <c r="Z291" s="2">
        <v>4296</v>
      </c>
      <c r="AA291" s="3">
        <v>42684.523611111108</v>
      </c>
      <c r="AB291" s="2">
        <v>44496</v>
      </c>
      <c r="AC291" s="2">
        <v>886</v>
      </c>
      <c r="AD291" s="2">
        <v>6.87</v>
      </c>
      <c r="AE291" s="2">
        <v>0.06</v>
      </c>
      <c r="AF291" s="2" t="str" cm="1">
        <f t="array" ref="AF291">_xlfn.IFS(AE291=0, "No Discount ", AE291&lt;=0.08,"Low Discount", AE291&lt;=0.16,"Medium Discount", AE291&gt;0.16, "High Discount")</f>
        <v>Low Discount</v>
      </c>
      <c r="AG291" s="2">
        <v>111088</v>
      </c>
      <c r="AH291" s="2">
        <v>24.99</v>
      </c>
      <c r="AI291" s="2">
        <v>0.34</v>
      </c>
      <c r="AJ291" s="2" t="str" cm="1">
        <f t="array" ref="AJ291">_xlfn.IFS(AI291&lt;=0, "No Profit", AI291&lt;=0.16,"Low Profit",AI291&lt;=0.32,"Medium Profit",AI291&gt;0.32,"High Profit")</f>
        <v>High Profit</v>
      </c>
      <c r="AK291" s="2">
        <v>5</v>
      </c>
      <c r="AL291" s="2">
        <v>124.95</v>
      </c>
      <c r="AM291" s="2">
        <v>118.08</v>
      </c>
      <c r="AN291" s="2">
        <v>39.909999999999997</v>
      </c>
      <c r="AO291" s="2" t="s">
        <v>876</v>
      </c>
      <c r="AP291" s="2" t="s">
        <v>1655</v>
      </c>
      <c r="AQ291" s="2" t="s">
        <v>80</v>
      </c>
      <c r="AR291" s="2" t="s">
        <v>81</v>
      </c>
      <c r="AS291" s="2">
        <v>886</v>
      </c>
      <c r="AT291" s="2">
        <v>40</v>
      </c>
      <c r="AU291" s="2" t="s">
        <v>1656</v>
      </c>
      <c r="AV291" s="2">
        <v>24.99</v>
      </c>
      <c r="AW291" s="2">
        <v>0</v>
      </c>
      <c r="AX291" s="2" t="s">
        <v>1657</v>
      </c>
      <c r="AY291" s="2" t="s">
        <v>83</v>
      </c>
      <c r="AZ291" s="4">
        <v>42684</v>
      </c>
      <c r="BA291" s="5">
        <v>0.52361111111111114</v>
      </c>
      <c r="BB291" s="2">
        <v>2016</v>
      </c>
      <c r="BC291" s="2" t="s">
        <v>455</v>
      </c>
      <c r="BD291" s="2">
        <v>10</v>
      </c>
      <c r="BE291" s="4">
        <v>42656</v>
      </c>
      <c r="BF291" s="5">
        <v>0.52361111111111114</v>
      </c>
      <c r="BG291" s="2" t="str" cm="1">
        <f t="array" ref="BG291">_xlfn.IFS(BF291&lt;TIMEVALUE("06:00"),"Night", BF291&gt;=TIMEVALUE("21:00"),"Night",BF291&gt;=TIMEVALUE("17:00"),"Evening",BF291&gt;=TIMEVALUE("12:00"),"Afternoon", BF291&gt;=TIMEVALUE("06:00"),"Morning")</f>
        <v>Afternoon</v>
      </c>
      <c r="BH291" s="2">
        <v>2016</v>
      </c>
      <c r="BI291" s="2" t="s">
        <v>434</v>
      </c>
      <c r="BJ291" s="2">
        <v>13</v>
      </c>
    </row>
    <row r="292" spans="1:62" x14ac:dyDescent="0.3">
      <c r="A292" s="2" t="s">
        <v>62</v>
      </c>
      <c r="B292" s="2">
        <v>5</v>
      </c>
      <c r="C292" s="2">
        <v>4</v>
      </c>
      <c r="D292" s="2">
        <v>23.27</v>
      </c>
      <c r="E292" s="2">
        <v>74.349999999999994</v>
      </c>
      <c r="F292" s="2" t="s">
        <v>87</v>
      </c>
      <c r="G292" s="2" t="s">
        <v>88</v>
      </c>
      <c r="H292" s="2">
        <v>41</v>
      </c>
      <c r="I292" s="2" t="s">
        <v>512</v>
      </c>
      <c r="J292" s="2" t="s">
        <v>1658</v>
      </c>
      <c r="K292" s="2" t="s">
        <v>102</v>
      </c>
      <c r="L292" s="2" t="s">
        <v>1659</v>
      </c>
      <c r="M292" s="2">
        <v>4391</v>
      </c>
      <c r="N292" s="2" t="s">
        <v>425</v>
      </c>
      <c r="O292" s="2" t="s">
        <v>70</v>
      </c>
      <c r="P292" s="2" t="s">
        <v>105</v>
      </c>
      <c r="Q292" s="2" t="s">
        <v>1660</v>
      </c>
      <c r="R292" s="2">
        <v>95207</v>
      </c>
      <c r="S292" s="2">
        <v>6</v>
      </c>
      <c r="T292" s="2" t="s">
        <v>515</v>
      </c>
      <c r="U292" s="2">
        <v>37.926849400000002</v>
      </c>
      <c r="V292" s="2">
        <v>-121.3893051</v>
      </c>
      <c r="W292" s="2" t="s">
        <v>500</v>
      </c>
      <c r="X292" s="2" t="s">
        <v>1641</v>
      </c>
      <c r="Y292" s="2" t="s">
        <v>1642</v>
      </c>
      <c r="Z292" s="2">
        <v>4391</v>
      </c>
      <c r="AA292" s="2" t="s">
        <v>1661</v>
      </c>
      <c r="AB292" s="2">
        <v>45559</v>
      </c>
      <c r="AC292" s="2">
        <v>926</v>
      </c>
      <c r="AD292" s="2">
        <v>5.6</v>
      </c>
      <c r="AE292" s="2">
        <v>7.0000000000000007E-2</v>
      </c>
      <c r="AF292" s="2" t="str" cm="1">
        <f t="array" ref="AF292">_xlfn.IFS(AE292=0, "No Discount ", AE292&lt;=0.08,"Low Discount", AE292&lt;=0.16,"Medium Discount", AE292&gt;0.16, "High Discount")</f>
        <v>Low Discount</v>
      </c>
      <c r="AG292" s="2">
        <v>113854</v>
      </c>
      <c r="AH292" s="2">
        <v>15.99</v>
      </c>
      <c r="AI292" s="2">
        <v>0.31</v>
      </c>
      <c r="AJ292" s="2" t="str" cm="1">
        <f t="array" ref="AJ292">_xlfn.IFS(AI292&lt;=0, "No Profit", AI292&lt;=0.16,"Low Profit",AI292&lt;=0.32,"Medium Profit",AI292&gt;0.32,"High Profit")</f>
        <v>Medium Profit</v>
      </c>
      <c r="AK292" s="2">
        <v>5</v>
      </c>
      <c r="AL292" s="2">
        <v>79.95</v>
      </c>
      <c r="AM292" s="2">
        <v>74.349999999999994</v>
      </c>
      <c r="AN292" s="2">
        <v>23.27</v>
      </c>
      <c r="AO292" s="2" t="s">
        <v>503</v>
      </c>
      <c r="AP292" s="2" t="s">
        <v>1644</v>
      </c>
      <c r="AQ292" s="2" t="s">
        <v>80</v>
      </c>
      <c r="AR292" s="2" t="s">
        <v>81</v>
      </c>
      <c r="AS292" s="2">
        <v>926</v>
      </c>
      <c r="AT292" s="2">
        <v>41</v>
      </c>
      <c r="AU292" s="2" t="s">
        <v>1662</v>
      </c>
      <c r="AV292" s="2">
        <v>15.99</v>
      </c>
      <c r="AW292" s="2">
        <v>0</v>
      </c>
      <c r="AX292" s="3">
        <v>42380.040972222225</v>
      </c>
      <c r="AY292" s="2" t="s">
        <v>83</v>
      </c>
      <c r="AZ292" s="4">
        <v>42670</v>
      </c>
      <c r="BA292" s="5">
        <v>4.0972222222222222E-2</v>
      </c>
      <c r="BB292" s="2">
        <v>2016</v>
      </c>
      <c r="BC292" s="2" t="s">
        <v>434</v>
      </c>
      <c r="BD292" s="2">
        <v>27</v>
      </c>
      <c r="BE292" s="4">
        <v>42380</v>
      </c>
      <c r="BF292" s="5">
        <v>4.0972222222222222E-2</v>
      </c>
      <c r="BG292" s="2" t="str" cm="1">
        <f t="array" ref="BG292">_xlfn.IFS(BF292&lt;TIMEVALUE("06:00"),"Night", BF292&gt;=TIMEVALUE("21:00"),"Night",BF292&gt;=TIMEVALUE("17:00"),"Evening",BF292&gt;=TIMEVALUE("12:00"),"Afternoon", BF292&gt;=TIMEVALUE("06:00"),"Morning")</f>
        <v>Night</v>
      </c>
      <c r="BH292" s="2">
        <v>2016</v>
      </c>
      <c r="BI292" s="2" t="s">
        <v>84</v>
      </c>
      <c r="BJ292" s="2">
        <v>11</v>
      </c>
    </row>
    <row r="293" spans="1:62" x14ac:dyDescent="0.3">
      <c r="A293" s="2" t="s">
        <v>62</v>
      </c>
      <c r="B293" s="2">
        <v>5</v>
      </c>
      <c r="C293" s="2">
        <v>4</v>
      </c>
      <c r="D293" s="2">
        <v>30.89</v>
      </c>
      <c r="E293" s="2">
        <v>67.16</v>
      </c>
      <c r="F293" s="2" t="s">
        <v>87</v>
      </c>
      <c r="G293" s="2" t="s">
        <v>88</v>
      </c>
      <c r="H293" s="2">
        <v>41</v>
      </c>
      <c r="I293" s="2" t="s">
        <v>512</v>
      </c>
      <c r="J293" s="2" t="s">
        <v>1352</v>
      </c>
      <c r="K293" s="2" t="s">
        <v>102</v>
      </c>
      <c r="L293" s="2" t="s">
        <v>414</v>
      </c>
      <c r="M293" s="2">
        <v>2882</v>
      </c>
      <c r="N293" s="2" t="s">
        <v>1663</v>
      </c>
      <c r="O293" s="2" t="s">
        <v>70</v>
      </c>
      <c r="P293" s="2" t="s">
        <v>333</v>
      </c>
      <c r="Q293" s="2" t="s">
        <v>1664</v>
      </c>
      <c r="R293" s="2">
        <v>79109</v>
      </c>
      <c r="S293" s="2">
        <v>6</v>
      </c>
      <c r="T293" s="2" t="s">
        <v>515</v>
      </c>
      <c r="U293" s="2">
        <v>35.187542000000001</v>
      </c>
      <c r="V293" s="2">
        <v>-101.8676224</v>
      </c>
      <c r="W293" s="2" t="s">
        <v>500</v>
      </c>
      <c r="X293" s="2" t="s">
        <v>1665</v>
      </c>
      <c r="Y293" s="2" t="s">
        <v>502</v>
      </c>
      <c r="Z293" s="2">
        <v>2882</v>
      </c>
      <c r="AA293" s="3">
        <v>42500.363888888889</v>
      </c>
      <c r="AB293" s="2">
        <v>44074</v>
      </c>
      <c r="AC293" s="2">
        <v>924</v>
      </c>
      <c r="AD293" s="2">
        <v>12.79</v>
      </c>
      <c r="AE293" s="2">
        <v>0.16</v>
      </c>
      <c r="AF293" s="2" t="str" cm="1">
        <f t="array" ref="AF293">_xlfn.IFS(AE293=0, "No Discount ", AE293&lt;=0.08,"Low Discount", AE293&lt;=0.16,"Medium Discount", AE293&gt;0.16, "High Discount")</f>
        <v>Medium Discount</v>
      </c>
      <c r="AG293" s="2">
        <v>110090</v>
      </c>
      <c r="AH293" s="2">
        <v>15.99</v>
      </c>
      <c r="AI293" s="2">
        <v>0.46</v>
      </c>
      <c r="AJ293" s="2" t="str" cm="1">
        <f t="array" ref="AJ293">_xlfn.IFS(AI293&lt;=0, "No Profit", AI293&lt;=0.16,"Low Profit",AI293&lt;=0.32,"Medium Profit",AI293&gt;0.32,"High Profit")</f>
        <v>High Profit</v>
      </c>
      <c r="AK293" s="2">
        <v>5</v>
      </c>
      <c r="AL293" s="2">
        <v>79.95</v>
      </c>
      <c r="AM293" s="2">
        <v>67.16</v>
      </c>
      <c r="AN293" s="2">
        <v>30.89</v>
      </c>
      <c r="AO293" s="2" t="s">
        <v>503</v>
      </c>
      <c r="AP293" s="2" t="s">
        <v>1665</v>
      </c>
      <c r="AQ293" s="2" t="s">
        <v>80</v>
      </c>
      <c r="AR293" s="2" t="s">
        <v>81</v>
      </c>
      <c r="AS293" s="2">
        <v>924</v>
      </c>
      <c r="AT293" s="2">
        <v>41</v>
      </c>
      <c r="AU293" s="2" t="s">
        <v>1166</v>
      </c>
      <c r="AV293" s="2">
        <v>15.99</v>
      </c>
      <c r="AW293" s="2">
        <v>0</v>
      </c>
      <c r="AX293" s="3">
        <v>42653.363888888889</v>
      </c>
      <c r="AY293" s="2" t="s">
        <v>83</v>
      </c>
      <c r="AZ293" s="4">
        <v>42500</v>
      </c>
      <c r="BA293" s="5">
        <v>0.36388888888888887</v>
      </c>
      <c r="BB293" s="2">
        <v>2016</v>
      </c>
      <c r="BC293" s="2" t="s">
        <v>443</v>
      </c>
      <c r="BD293" s="2">
        <v>10</v>
      </c>
      <c r="BE293" s="4">
        <v>42653</v>
      </c>
      <c r="BF293" s="5">
        <v>0.36388888888888887</v>
      </c>
      <c r="BG293" s="2" t="str" cm="1">
        <f t="array" ref="BG293">_xlfn.IFS(BF293&lt;TIMEVALUE("06:00"),"Night", BF293&gt;=TIMEVALUE("21:00"),"Night",BF293&gt;=TIMEVALUE("17:00"),"Evening",BF293&gt;=TIMEVALUE("12:00"),"Afternoon", BF293&gt;=TIMEVALUE("06:00"),"Morning")</f>
        <v>Morning</v>
      </c>
      <c r="BH293" s="2">
        <v>2016</v>
      </c>
      <c r="BI293" s="2" t="s">
        <v>434</v>
      </c>
      <c r="BJ293" s="2">
        <v>10</v>
      </c>
    </row>
    <row r="294" spans="1:62" x14ac:dyDescent="0.3">
      <c r="A294" s="2" t="s">
        <v>62</v>
      </c>
      <c r="B294" s="2">
        <v>3</v>
      </c>
      <c r="C294" s="2">
        <v>4</v>
      </c>
      <c r="D294" s="2">
        <v>11.41</v>
      </c>
      <c r="E294" s="2">
        <v>131.16</v>
      </c>
      <c r="F294" s="2" t="s">
        <v>63</v>
      </c>
      <c r="G294" s="2" t="s">
        <v>64</v>
      </c>
      <c r="H294" s="2">
        <v>37</v>
      </c>
      <c r="I294" s="2" t="s">
        <v>464</v>
      </c>
      <c r="J294" s="2" t="s">
        <v>1666</v>
      </c>
      <c r="K294" s="2" t="s">
        <v>102</v>
      </c>
      <c r="L294" s="2" t="s">
        <v>1667</v>
      </c>
      <c r="M294" s="2">
        <v>3283</v>
      </c>
      <c r="N294" s="2" t="s">
        <v>1556</v>
      </c>
      <c r="O294" s="2" t="s">
        <v>70</v>
      </c>
      <c r="P294" s="2" t="s">
        <v>1668</v>
      </c>
      <c r="Q294" s="2" t="s">
        <v>1669</v>
      </c>
      <c r="R294" s="2">
        <v>25401</v>
      </c>
      <c r="S294" s="2">
        <v>6</v>
      </c>
      <c r="T294" s="2" t="s">
        <v>515</v>
      </c>
      <c r="U294" s="2">
        <v>39.455711399999998</v>
      </c>
      <c r="V294" s="2">
        <v>-77.969177299999998</v>
      </c>
      <c r="W294" s="2" t="s">
        <v>500</v>
      </c>
      <c r="X294" s="2" t="s">
        <v>1670</v>
      </c>
      <c r="Y294" s="2" t="s">
        <v>1176</v>
      </c>
      <c r="Z294" s="2">
        <v>3283</v>
      </c>
      <c r="AA294" s="2" t="s">
        <v>1671</v>
      </c>
      <c r="AB294" s="2">
        <v>49857</v>
      </c>
      <c r="AC294" s="2">
        <v>825</v>
      </c>
      <c r="AD294" s="2">
        <v>28.79</v>
      </c>
      <c r="AE294" s="2">
        <v>0.18</v>
      </c>
      <c r="AF294" s="2" t="str" cm="1">
        <f t="array" ref="AF294">_xlfn.IFS(AE294=0, "No Discount ", AE294&lt;=0.08,"Low Discount", AE294&lt;=0.16,"Medium Discount", AE294&gt;0.16, "High Discount")</f>
        <v>High Discount</v>
      </c>
      <c r="AG294" s="2">
        <v>124661</v>
      </c>
      <c r="AH294" s="2">
        <v>31.99</v>
      </c>
      <c r="AI294" s="2">
        <v>0.09</v>
      </c>
      <c r="AJ294" s="2" t="str" cm="1">
        <f t="array" ref="AJ294">_xlfn.IFS(AI294&lt;=0, "No Profit", AI294&lt;=0.16,"Low Profit",AI294&lt;=0.32,"Medium Profit",AI294&gt;0.32,"High Profit")</f>
        <v>Low Profit</v>
      </c>
      <c r="AK294" s="2">
        <v>5</v>
      </c>
      <c r="AL294" s="2">
        <v>159.94999999999999</v>
      </c>
      <c r="AM294" s="2">
        <v>131.16</v>
      </c>
      <c r="AN294" s="2">
        <v>11.41</v>
      </c>
      <c r="AO294" s="2" t="s">
        <v>523</v>
      </c>
      <c r="AP294" s="2" t="s">
        <v>1670</v>
      </c>
      <c r="AQ294" s="2" t="s">
        <v>80</v>
      </c>
      <c r="AR294" s="2" t="s">
        <v>81</v>
      </c>
      <c r="AS294" s="2">
        <v>825</v>
      </c>
      <c r="AT294" s="2">
        <v>37</v>
      </c>
      <c r="AU294" s="2" t="s">
        <v>766</v>
      </c>
      <c r="AV294" s="2">
        <v>31.99</v>
      </c>
      <c r="AW294" s="2">
        <v>0</v>
      </c>
      <c r="AX294" s="2" t="s">
        <v>1672</v>
      </c>
      <c r="AY294" s="2" t="s">
        <v>83</v>
      </c>
      <c r="AZ294" s="4">
        <v>42732</v>
      </c>
      <c r="BA294" s="5">
        <v>0.78194444444444444</v>
      </c>
      <c r="BB294" s="2">
        <v>2016</v>
      </c>
      <c r="BC294" s="2" t="s">
        <v>357</v>
      </c>
      <c r="BD294" s="2">
        <v>28</v>
      </c>
      <c r="BE294" s="4">
        <v>42735</v>
      </c>
      <c r="BF294" s="5">
        <v>0.78194444444444444</v>
      </c>
      <c r="BG294" s="2" t="str" cm="1">
        <f t="array" ref="BG294">_xlfn.IFS(BF294&lt;TIMEVALUE("06:00"),"Night", BF294&gt;=TIMEVALUE("21:00"),"Night",BF294&gt;=TIMEVALUE("17:00"),"Evening",BF294&gt;=TIMEVALUE("12:00"),"Afternoon", BF294&gt;=TIMEVALUE("06:00"),"Morning")</f>
        <v>Evening</v>
      </c>
      <c r="BH294" s="2">
        <v>2016</v>
      </c>
      <c r="BI294" s="2" t="s">
        <v>357</v>
      </c>
      <c r="BJ294" s="2">
        <v>31</v>
      </c>
    </row>
    <row r="295" spans="1:62" x14ac:dyDescent="0.3">
      <c r="A295" s="2" t="s">
        <v>62</v>
      </c>
      <c r="B295" s="2">
        <v>2</v>
      </c>
      <c r="C295" s="2">
        <v>4</v>
      </c>
      <c r="D295" s="2">
        <v>53.98</v>
      </c>
      <c r="E295" s="2">
        <v>119.96</v>
      </c>
      <c r="F295" s="2" t="s">
        <v>63</v>
      </c>
      <c r="G295" s="2" t="s">
        <v>64</v>
      </c>
      <c r="H295" s="2">
        <v>44</v>
      </c>
      <c r="I295" s="2" t="s">
        <v>770</v>
      </c>
      <c r="J295" s="2" t="s">
        <v>1673</v>
      </c>
      <c r="K295" s="2" t="s">
        <v>102</v>
      </c>
      <c r="L295" s="2" t="s">
        <v>414</v>
      </c>
      <c r="M295" s="2">
        <v>397</v>
      </c>
      <c r="N295" s="2" t="s">
        <v>944</v>
      </c>
      <c r="O295" s="2" t="s">
        <v>70</v>
      </c>
      <c r="P295" s="2" t="s">
        <v>1102</v>
      </c>
      <c r="Q295" s="2" t="s">
        <v>1674</v>
      </c>
      <c r="R295" s="2">
        <v>21502</v>
      </c>
      <c r="S295" s="2">
        <v>7</v>
      </c>
      <c r="T295" s="2" t="s">
        <v>772</v>
      </c>
      <c r="U295" s="2">
        <v>39.630035399999997</v>
      </c>
      <c r="V295" s="2">
        <v>-78.743194599999995</v>
      </c>
      <c r="W295" s="2" t="s">
        <v>500</v>
      </c>
      <c r="X295" s="2" t="s">
        <v>521</v>
      </c>
      <c r="Y295" s="2" t="s">
        <v>522</v>
      </c>
      <c r="Z295" s="2">
        <v>397</v>
      </c>
      <c r="AA295" s="3">
        <v>42378.963888888888</v>
      </c>
      <c r="AB295" s="2">
        <v>41786</v>
      </c>
      <c r="AC295" s="2">
        <v>977</v>
      </c>
      <c r="AD295" s="2">
        <v>29.99</v>
      </c>
      <c r="AE295" s="2">
        <v>0.2</v>
      </c>
      <c r="AF295" s="2" t="str" cm="1">
        <f t="array" ref="AF295">_xlfn.IFS(AE295=0, "No Discount ", AE295&lt;=0.08,"Low Discount", AE295&lt;=0.16,"Medium Discount", AE295&gt;0.16, "High Discount")</f>
        <v>High Discount</v>
      </c>
      <c r="AG295" s="2">
        <v>104311</v>
      </c>
      <c r="AH295" s="2">
        <v>29.99</v>
      </c>
      <c r="AI295" s="2">
        <v>0.45</v>
      </c>
      <c r="AJ295" s="2" t="str" cm="1">
        <f t="array" ref="AJ295">_xlfn.IFS(AI295&lt;=0, "No Profit", AI295&lt;=0.16,"Low Profit",AI295&lt;=0.32,"Medium Profit",AI295&gt;0.32,"High Profit")</f>
        <v>High Profit</v>
      </c>
      <c r="AK295" s="2">
        <v>5</v>
      </c>
      <c r="AL295" s="2">
        <v>149.94999999999999</v>
      </c>
      <c r="AM295" s="2">
        <v>119.96</v>
      </c>
      <c r="AN295" s="2">
        <v>53.98</v>
      </c>
      <c r="AO295" s="2" t="s">
        <v>523</v>
      </c>
      <c r="AP295" s="2" t="s">
        <v>524</v>
      </c>
      <c r="AQ295" s="2" t="s">
        <v>80</v>
      </c>
      <c r="AR295" s="2" t="s">
        <v>81</v>
      </c>
      <c r="AS295" s="2">
        <v>977</v>
      </c>
      <c r="AT295" s="2">
        <v>44</v>
      </c>
      <c r="AU295" s="2" t="s">
        <v>775</v>
      </c>
      <c r="AV295" s="2">
        <v>29.99</v>
      </c>
      <c r="AW295" s="2">
        <v>0</v>
      </c>
      <c r="AX295" s="3">
        <v>42438.963888888888</v>
      </c>
      <c r="AY295" s="2" t="s">
        <v>83</v>
      </c>
      <c r="AZ295" s="4">
        <v>42378</v>
      </c>
      <c r="BA295" s="5">
        <v>0.96388888888888891</v>
      </c>
      <c r="BB295" s="2">
        <v>2016</v>
      </c>
      <c r="BC295" s="2" t="s">
        <v>84</v>
      </c>
      <c r="BD295" s="2">
        <v>9</v>
      </c>
      <c r="BE295" s="4">
        <v>42438</v>
      </c>
      <c r="BF295" s="5">
        <v>0.96388888888888891</v>
      </c>
      <c r="BG295" s="2" t="str" cm="1">
        <f t="array" ref="BG295">_xlfn.IFS(BF295&lt;TIMEVALUE("06:00"),"Night", BF295&gt;=TIMEVALUE("21:00"),"Night",BF295&gt;=TIMEVALUE("17:00"),"Evening",BF295&gt;=TIMEVALUE("12:00"),"Afternoon", BF295&gt;=TIMEVALUE("06:00"),"Morning")</f>
        <v>Night</v>
      </c>
      <c r="BH295" s="2">
        <v>2016</v>
      </c>
      <c r="BI295" s="2" t="s">
        <v>85</v>
      </c>
      <c r="BJ295" s="2">
        <v>9</v>
      </c>
    </row>
    <row r="296" spans="1:62" x14ac:dyDescent="0.3">
      <c r="A296" s="2" t="s">
        <v>62</v>
      </c>
      <c r="B296" s="2">
        <v>3</v>
      </c>
      <c r="C296" s="2">
        <v>4</v>
      </c>
      <c r="D296" s="2">
        <v>82.15</v>
      </c>
      <c r="E296" s="2">
        <v>186.71</v>
      </c>
      <c r="F296" s="2" t="s">
        <v>63</v>
      </c>
      <c r="G296" s="2" t="s">
        <v>64</v>
      </c>
      <c r="H296" s="2">
        <v>6</v>
      </c>
      <c r="I296" s="2" t="s">
        <v>1675</v>
      </c>
      <c r="J296" s="2" t="s">
        <v>1676</v>
      </c>
      <c r="K296" s="2" t="s">
        <v>102</v>
      </c>
      <c r="L296" s="2" t="s">
        <v>1677</v>
      </c>
      <c r="M296" s="2">
        <v>4104</v>
      </c>
      <c r="N296" s="2" t="s">
        <v>1678</v>
      </c>
      <c r="O296" s="2" t="s">
        <v>70</v>
      </c>
      <c r="P296" s="2" t="s">
        <v>234</v>
      </c>
      <c r="Q296" s="2" t="s">
        <v>1679</v>
      </c>
      <c r="R296" s="2">
        <v>61554</v>
      </c>
      <c r="S296" s="2">
        <v>2</v>
      </c>
      <c r="T296" s="2" t="s">
        <v>73</v>
      </c>
      <c r="U296" s="2">
        <v>40.569599199999999</v>
      </c>
      <c r="V296" s="2">
        <v>-89.6450806</v>
      </c>
      <c r="W296" s="2" t="s">
        <v>500</v>
      </c>
      <c r="X296" s="2" t="s">
        <v>1680</v>
      </c>
      <c r="Y296" s="2" t="s">
        <v>1573</v>
      </c>
      <c r="Z296" s="2">
        <v>4104</v>
      </c>
      <c r="AA296" s="3">
        <v>42412.287499999999</v>
      </c>
      <c r="AB296" s="2">
        <v>48042</v>
      </c>
      <c r="AC296" s="2">
        <v>116</v>
      </c>
      <c r="AD296" s="2">
        <v>38.24</v>
      </c>
      <c r="AE296" s="2">
        <v>0.17</v>
      </c>
      <c r="AF296" s="2" t="str" cm="1">
        <f t="array" ref="AF296">_xlfn.IFS(AE296=0, "No Discount ", AE296&lt;=0.08,"Low Discount", AE296&lt;=0.16,"Medium Discount", AE296&gt;0.16, "High Discount")</f>
        <v>High Discount</v>
      </c>
      <c r="AG296" s="2">
        <v>120131</v>
      </c>
      <c r="AH296" s="2">
        <v>44.99</v>
      </c>
      <c r="AI296" s="2">
        <v>0.44</v>
      </c>
      <c r="AJ296" s="2" t="str" cm="1">
        <f t="array" ref="AJ296">_xlfn.IFS(AI296&lt;=0, "No Profit", AI296&lt;=0.16,"Low Profit",AI296&lt;=0.32,"Medium Profit",AI296&gt;0.32,"High Profit")</f>
        <v>High Profit</v>
      </c>
      <c r="AK296" s="2">
        <v>5</v>
      </c>
      <c r="AL296" s="2">
        <v>224.95</v>
      </c>
      <c r="AM296" s="2">
        <v>186.71</v>
      </c>
      <c r="AN296" s="2">
        <v>82.15</v>
      </c>
      <c r="AO296" s="2" t="s">
        <v>503</v>
      </c>
      <c r="AP296" s="2" t="s">
        <v>1633</v>
      </c>
      <c r="AQ296" s="2" t="s">
        <v>308</v>
      </c>
      <c r="AR296" s="2" t="s">
        <v>81</v>
      </c>
      <c r="AS296" s="2">
        <v>116</v>
      </c>
      <c r="AT296" s="2">
        <v>6</v>
      </c>
      <c r="AU296" s="2" t="s">
        <v>1681</v>
      </c>
      <c r="AV296" s="2">
        <v>44.99</v>
      </c>
      <c r="AW296" s="2">
        <v>0</v>
      </c>
      <c r="AX296" s="3">
        <v>42502.287499999999</v>
      </c>
      <c r="AY296" s="2" t="s">
        <v>83</v>
      </c>
      <c r="AZ296" s="4">
        <v>42412</v>
      </c>
      <c r="BA296" s="5">
        <v>0.28749999999999998</v>
      </c>
      <c r="BB296" s="2">
        <v>2016</v>
      </c>
      <c r="BC296" s="2" t="s">
        <v>423</v>
      </c>
      <c r="BD296" s="2">
        <v>12</v>
      </c>
      <c r="BE296" s="4">
        <v>42502</v>
      </c>
      <c r="BF296" s="5">
        <v>0.28749999999999998</v>
      </c>
      <c r="BG296" s="2" t="str" cm="1">
        <f t="array" ref="BG296">_xlfn.IFS(BF296&lt;TIMEVALUE("06:00"),"Night", BF296&gt;=TIMEVALUE("21:00"),"Night",BF296&gt;=TIMEVALUE("17:00"),"Evening",BF296&gt;=TIMEVALUE("12:00"),"Afternoon", BF296&gt;=TIMEVALUE("06:00"),"Morning")</f>
        <v>Morning</v>
      </c>
      <c r="BH296" s="2">
        <v>2016</v>
      </c>
      <c r="BI296" s="2" t="s">
        <v>443</v>
      </c>
      <c r="BJ296" s="2">
        <v>12</v>
      </c>
    </row>
    <row r="297" spans="1:62" x14ac:dyDescent="0.3">
      <c r="A297" s="2" t="s">
        <v>62</v>
      </c>
      <c r="B297" s="2">
        <v>2</v>
      </c>
      <c r="C297" s="2">
        <v>4</v>
      </c>
      <c r="D297" s="2">
        <v>66.489999999999995</v>
      </c>
      <c r="E297" s="2">
        <v>474.95</v>
      </c>
      <c r="F297" s="2" t="s">
        <v>63</v>
      </c>
      <c r="G297" s="2" t="s">
        <v>64</v>
      </c>
      <c r="H297" s="2">
        <v>9</v>
      </c>
      <c r="I297" s="2" t="s">
        <v>496</v>
      </c>
      <c r="J297" s="2" t="s">
        <v>1682</v>
      </c>
      <c r="K297" s="2" t="s">
        <v>102</v>
      </c>
      <c r="L297" s="2" t="s">
        <v>917</v>
      </c>
      <c r="M297" s="2">
        <v>12214</v>
      </c>
      <c r="N297" s="2" t="s">
        <v>1275</v>
      </c>
      <c r="O297" s="2" t="s">
        <v>70</v>
      </c>
      <c r="P297" s="2" t="s">
        <v>152</v>
      </c>
      <c r="Q297" s="2" t="s">
        <v>1683</v>
      </c>
      <c r="R297" s="2">
        <v>32308</v>
      </c>
      <c r="S297" s="2">
        <v>3</v>
      </c>
      <c r="T297" s="2" t="s">
        <v>466</v>
      </c>
      <c r="U297" s="2">
        <v>30.497678799999999</v>
      </c>
      <c r="V297" s="2">
        <v>-84.231834399999997</v>
      </c>
      <c r="W297" s="2" t="s">
        <v>500</v>
      </c>
      <c r="X297" s="2" t="s">
        <v>866</v>
      </c>
      <c r="Y297" s="2" t="s">
        <v>867</v>
      </c>
      <c r="Z297" s="2">
        <v>12214</v>
      </c>
      <c r="AA297" s="3">
        <v>42592.677083333336</v>
      </c>
      <c r="AB297" s="2">
        <v>44301</v>
      </c>
      <c r="AC297" s="2">
        <v>191</v>
      </c>
      <c r="AD297" s="2">
        <v>25</v>
      </c>
      <c r="AE297" s="2">
        <v>0.05</v>
      </c>
      <c r="AF297" s="2" t="str" cm="1">
        <f t="array" ref="AF297">_xlfn.IFS(AE297=0, "No Discount ", AE297&lt;=0.08,"Low Discount", AE297&lt;=0.16,"Medium Discount", AE297&gt;0.16, "High Discount")</f>
        <v>Low Discount</v>
      </c>
      <c r="AG297" s="2">
        <v>110620</v>
      </c>
      <c r="AH297" s="2">
        <v>99.99</v>
      </c>
      <c r="AI297" s="2">
        <v>0.14000000000000001</v>
      </c>
      <c r="AJ297" s="2" t="str" cm="1">
        <f t="array" ref="AJ297">_xlfn.IFS(AI297&lt;=0, "No Profit", AI297&lt;=0.16,"Low Profit",AI297&lt;=0.32,"Medium Profit",AI297&gt;0.32,"High Profit")</f>
        <v>Low Profit</v>
      </c>
      <c r="AK297" s="2">
        <v>5</v>
      </c>
      <c r="AL297" s="2">
        <v>499.95</v>
      </c>
      <c r="AM297" s="2">
        <v>474.95</v>
      </c>
      <c r="AN297" s="2">
        <v>66.489999999999995</v>
      </c>
      <c r="AO297" s="2" t="s">
        <v>523</v>
      </c>
      <c r="AP297" s="2" t="s">
        <v>866</v>
      </c>
      <c r="AQ297" s="2" t="s">
        <v>308</v>
      </c>
      <c r="AR297" s="2" t="s">
        <v>81</v>
      </c>
      <c r="AS297" s="2">
        <v>191</v>
      </c>
      <c r="AT297" s="2">
        <v>9</v>
      </c>
      <c r="AU297" s="2" t="s">
        <v>505</v>
      </c>
      <c r="AV297" s="2">
        <v>99.99</v>
      </c>
      <c r="AW297" s="2">
        <v>0</v>
      </c>
      <c r="AX297" s="3">
        <v>42653.677083333336</v>
      </c>
      <c r="AY297" s="2" t="s">
        <v>83</v>
      </c>
      <c r="AZ297" s="4">
        <v>42592</v>
      </c>
      <c r="BA297" s="5">
        <v>0.67708333333333337</v>
      </c>
      <c r="BB297" s="2">
        <v>2016</v>
      </c>
      <c r="BC297" s="2" t="s">
        <v>482</v>
      </c>
      <c r="BD297" s="2">
        <v>10</v>
      </c>
      <c r="BE297" s="4">
        <v>42653</v>
      </c>
      <c r="BF297" s="5">
        <v>0.67708333333333337</v>
      </c>
      <c r="BG297" s="2" t="str" cm="1">
        <f t="array" ref="BG297">_xlfn.IFS(BF297&lt;TIMEVALUE("06:00"),"Night", BF297&gt;=TIMEVALUE("21:00"),"Night",BF297&gt;=TIMEVALUE("17:00"),"Evening",BF297&gt;=TIMEVALUE("12:00"),"Afternoon", BF297&gt;=TIMEVALUE("06:00"),"Morning")</f>
        <v>Afternoon</v>
      </c>
      <c r="BH297" s="2">
        <v>2016</v>
      </c>
      <c r="BI297" s="2" t="s">
        <v>434</v>
      </c>
      <c r="BJ297" s="2">
        <v>10</v>
      </c>
    </row>
    <row r="298" spans="1:62" x14ac:dyDescent="0.3">
      <c r="A298" s="2" t="s">
        <v>62</v>
      </c>
      <c r="B298" s="2">
        <v>2</v>
      </c>
      <c r="C298" s="2">
        <v>4</v>
      </c>
      <c r="D298" s="2">
        <v>80.989999999999995</v>
      </c>
      <c r="E298" s="2">
        <v>299.95</v>
      </c>
      <c r="F298" s="2" t="s">
        <v>63</v>
      </c>
      <c r="G298" s="2" t="s">
        <v>64</v>
      </c>
      <c r="H298" s="2">
        <v>17</v>
      </c>
      <c r="I298" s="2" t="s">
        <v>412</v>
      </c>
      <c r="J298" s="2" t="s">
        <v>1684</v>
      </c>
      <c r="K298" s="2" t="s">
        <v>102</v>
      </c>
      <c r="L298" s="2" t="s">
        <v>414</v>
      </c>
      <c r="M298" s="2">
        <v>10699</v>
      </c>
      <c r="N298" s="2" t="s">
        <v>1298</v>
      </c>
      <c r="O298" s="2" t="s">
        <v>70</v>
      </c>
      <c r="P298" s="2" t="s">
        <v>152</v>
      </c>
      <c r="Q298" s="2" t="s">
        <v>1685</v>
      </c>
      <c r="R298" s="2">
        <v>32225</v>
      </c>
      <c r="S298" s="2">
        <v>4</v>
      </c>
      <c r="T298" s="2" t="s">
        <v>417</v>
      </c>
      <c r="U298" s="2">
        <v>30.353422200000001</v>
      </c>
      <c r="V298" s="2">
        <v>-81.513092</v>
      </c>
      <c r="W298" s="2" t="s">
        <v>500</v>
      </c>
      <c r="X298" s="2" t="s">
        <v>1686</v>
      </c>
      <c r="Y298" s="2" t="s">
        <v>1293</v>
      </c>
      <c r="Z298" s="2">
        <v>10699</v>
      </c>
      <c r="AA298" s="2" t="s">
        <v>1687</v>
      </c>
      <c r="AB298" s="2">
        <v>41591</v>
      </c>
      <c r="AC298" s="2">
        <v>365</v>
      </c>
      <c r="AD298" s="2">
        <v>0</v>
      </c>
      <c r="AE298" s="2">
        <v>0</v>
      </c>
      <c r="AF298" s="2" t="str" cm="1">
        <f t="array" ref="AF298">_xlfn.IFS(AE298=0, "No Discount ", AE298&lt;=0.08,"Low Discount", AE298&lt;=0.16,"Medium Discount", AE298&gt;0.16, "High Discount")</f>
        <v xml:space="preserve">No Discount </v>
      </c>
      <c r="AG298" s="2">
        <v>103815</v>
      </c>
      <c r="AH298" s="2">
        <v>59.99</v>
      </c>
      <c r="AI298" s="2">
        <v>0.27</v>
      </c>
      <c r="AJ298" s="2" t="str" cm="1">
        <f t="array" ref="AJ298">_xlfn.IFS(AI298&lt;=0, "No Profit", AI298&lt;=0.16,"Low Profit",AI298&lt;=0.32,"Medium Profit",AI298&gt;0.32,"High Profit")</f>
        <v>Medium Profit</v>
      </c>
      <c r="AK298" s="2">
        <v>5</v>
      </c>
      <c r="AL298" s="2">
        <v>299.95</v>
      </c>
      <c r="AM298" s="2">
        <v>299.95</v>
      </c>
      <c r="AN298" s="2">
        <v>80.989999999999995</v>
      </c>
      <c r="AO298" s="2" t="s">
        <v>876</v>
      </c>
      <c r="AP298" s="2" t="s">
        <v>1686</v>
      </c>
      <c r="AQ298" s="2" t="s">
        <v>308</v>
      </c>
      <c r="AR298" s="2" t="s">
        <v>81</v>
      </c>
      <c r="AS298" s="2">
        <v>365</v>
      </c>
      <c r="AT298" s="2">
        <v>17</v>
      </c>
      <c r="AU298" s="2" t="s">
        <v>421</v>
      </c>
      <c r="AV298" s="2">
        <v>59.99</v>
      </c>
      <c r="AW298" s="2">
        <v>0</v>
      </c>
      <c r="AX298" s="3">
        <v>42378.117361111108</v>
      </c>
      <c r="AY298" s="2" t="s">
        <v>83</v>
      </c>
      <c r="AZ298" s="4">
        <v>42612</v>
      </c>
      <c r="BA298" s="5">
        <v>0.11736111111111111</v>
      </c>
      <c r="BB298" s="2">
        <v>2016</v>
      </c>
      <c r="BC298" s="2" t="s">
        <v>482</v>
      </c>
      <c r="BD298" s="2">
        <v>30</v>
      </c>
      <c r="BE298" s="4">
        <v>42378</v>
      </c>
      <c r="BF298" s="5">
        <v>0.11736111111111111</v>
      </c>
      <c r="BG298" s="2" t="str" cm="1">
        <f t="array" ref="BG298">_xlfn.IFS(BF298&lt;TIMEVALUE("06:00"),"Night", BF298&gt;=TIMEVALUE("21:00"),"Night",BF298&gt;=TIMEVALUE("17:00"),"Evening",BF298&gt;=TIMEVALUE("12:00"),"Afternoon", BF298&gt;=TIMEVALUE("06:00"),"Morning")</f>
        <v>Night</v>
      </c>
      <c r="BH298" s="2">
        <v>2016</v>
      </c>
      <c r="BI298" s="2" t="s">
        <v>84</v>
      </c>
      <c r="BJ298" s="2">
        <v>9</v>
      </c>
    </row>
    <row r="299" spans="1:62" x14ac:dyDescent="0.3">
      <c r="A299" s="2" t="s">
        <v>62</v>
      </c>
      <c r="B299" s="2">
        <v>2</v>
      </c>
      <c r="C299" s="2">
        <v>4</v>
      </c>
      <c r="D299" s="2">
        <v>54.77</v>
      </c>
      <c r="E299" s="2">
        <v>165.96</v>
      </c>
      <c r="F299" s="2" t="s">
        <v>63</v>
      </c>
      <c r="G299" s="2" t="s">
        <v>64</v>
      </c>
      <c r="H299" s="2">
        <v>29</v>
      </c>
      <c r="I299" s="2" t="s">
        <v>424</v>
      </c>
      <c r="J299" s="2" t="s">
        <v>1688</v>
      </c>
      <c r="K299" s="2" t="s">
        <v>102</v>
      </c>
      <c r="L299" s="2" t="s">
        <v>1689</v>
      </c>
      <c r="M299" s="2">
        <v>2091</v>
      </c>
      <c r="N299" s="2" t="s">
        <v>425</v>
      </c>
      <c r="O299" s="2" t="s">
        <v>70</v>
      </c>
      <c r="P299" s="2" t="s">
        <v>1690</v>
      </c>
      <c r="Q299" s="2" t="s">
        <v>1691</v>
      </c>
      <c r="R299" s="2">
        <v>2895</v>
      </c>
      <c r="S299" s="2">
        <v>5</v>
      </c>
      <c r="T299" s="2" t="s">
        <v>427</v>
      </c>
      <c r="U299" s="2">
        <v>42.002201100000001</v>
      </c>
      <c r="V299" s="2">
        <v>-71.514106799999993</v>
      </c>
      <c r="W299" s="2" t="s">
        <v>500</v>
      </c>
      <c r="X299" s="2" t="s">
        <v>1210</v>
      </c>
      <c r="Y299" s="2" t="s">
        <v>895</v>
      </c>
      <c r="Z299" s="2">
        <v>2091</v>
      </c>
      <c r="AA299" s="2" t="s">
        <v>1692</v>
      </c>
      <c r="AB299" s="2">
        <v>44981</v>
      </c>
      <c r="AC299" s="2">
        <v>627</v>
      </c>
      <c r="AD299" s="2">
        <v>33.99</v>
      </c>
      <c r="AE299" s="2">
        <v>0.17</v>
      </c>
      <c r="AF299" s="2" t="str" cm="1">
        <f t="array" ref="AF299">_xlfn.IFS(AE299=0, "No Discount ", AE299&lt;=0.08,"Low Discount", AE299&lt;=0.16,"Medium Discount", AE299&gt;0.16, "High Discount")</f>
        <v>High Discount</v>
      </c>
      <c r="AG299" s="2">
        <v>112334</v>
      </c>
      <c r="AH299" s="2">
        <v>39.99</v>
      </c>
      <c r="AI299" s="2">
        <v>0.33</v>
      </c>
      <c r="AJ299" s="2" t="str" cm="1">
        <f t="array" ref="AJ299">_xlfn.IFS(AI299&lt;=0, "No Profit", AI299&lt;=0.16,"Low Profit",AI299&lt;=0.32,"Medium Profit",AI299&gt;0.32,"High Profit")</f>
        <v>High Profit</v>
      </c>
      <c r="AK299" s="2">
        <v>5</v>
      </c>
      <c r="AL299" s="2">
        <v>199.95</v>
      </c>
      <c r="AM299" s="2">
        <v>165.96</v>
      </c>
      <c r="AN299" s="2">
        <v>54.77</v>
      </c>
      <c r="AO299" s="2" t="s">
        <v>523</v>
      </c>
      <c r="AP299" s="2" t="s">
        <v>1211</v>
      </c>
      <c r="AQ299" s="2" t="s">
        <v>308</v>
      </c>
      <c r="AR299" s="2" t="s">
        <v>81</v>
      </c>
      <c r="AS299" s="2">
        <v>627</v>
      </c>
      <c r="AT299" s="2">
        <v>29</v>
      </c>
      <c r="AU299" s="2" t="s">
        <v>432</v>
      </c>
      <c r="AV299" s="2">
        <v>39.99</v>
      </c>
      <c r="AW299" s="2">
        <v>0</v>
      </c>
      <c r="AX299" s="2" t="s">
        <v>1693</v>
      </c>
      <c r="AY299" s="2" t="s">
        <v>83</v>
      </c>
      <c r="AZ299" s="4">
        <v>42661</v>
      </c>
      <c r="BA299" s="5">
        <v>0.60347222222222219</v>
      </c>
      <c r="BB299" s="2">
        <v>2016</v>
      </c>
      <c r="BC299" s="2" t="s">
        <v>434</v>
      </c>
      <c r="BD299" s="2">
        <v>18</v>
      </c>
      <c r="BE299" s="4">
        <v>42663</v>
      </c>
      <c r="BF299" s="5">
        <v>0.60347222222222219</v>
      </c>
      <c r="BG299" s="2" t="str" cm="1">
        <f t="array" ref="BG299">_xlfn.IFS(BF299&lt;TIMEVALUE("06:00"),"Night", BF299&gt;=TIMEVALUE("21:00"),"Night",BF299&gt;=TIMEVALUE("17:00"),"Evening",BF299&gt;=TIMEVALUE("12:00"),"Afternoon", BF299&gt;=TIMEVALUE("06:00"),"Morning")</f>
        <v>Afternoon</v>
      </c>
      <c r="BH299" s="2">
        <v>2016</v>
      </c>
      <c r="BI299" s="2" t="s">
        <v>434</v>
      </c>
      <c r="BJ299" s="2">
        <v>20</v>
      </c>
    </row>
    <row r="300" spans="1:62" x14ac:dyDescent="0.3">
      <c r="A300" s="2" t="s">
        <v>62</v>
      </c>
      <c r="B300" s="2">
        <v>6</v>
      </c>
      <c r="C300" s="2">
        <v>4</v>
      </c>
      <c r="D300" s="2">
        <v>-265</v>
      </c>
      <c r="E300" s="2">
        <v>200</v>
      </c>
      <c r="F300" s="2" t="s">
        <v>87</v>
      </c>
      <c r="G300" s="2" t="s">
        <v>88</v>
      </c>
      <c r="H300" s="2">
        <v>24</v>
      </c>
      <c r="I300" s="2" t="s">
        <v>435</v>
      </c>
      <c r="J300" s="2" t="s">
        <v>1658</v>
      </c>
      <c r="K300" s="2" t="s">
        <v>102</v>
      </c>
      <c r="L300" s="2" t="s">
        <v>1694</v>
      </c>
      <c r="M300" s="2">
        <v>10474</v>
      </c>
      <c r="N300" s="2" t="s">
        <v>1695</v>
      </c>
      <c r="O300" s="2" t="s">
        <v>70</v>
      </c>
      <c r="P300" s="2" t="s">
        <v>105</v>
      </c>
      <c r="Q300" s="2" t="s">
        <v>1696</v>
      </c>
      <c r="R300" s="2">
        <v>95206</v>
      </c>
      <c r="S300" s="2">
        <v>5</v>
      </c>
      <c r="T300" s="2" t="s">
        <v>427</v>
      </c>
      <c r="U300" s="2">
        <v>38.135562899999996</v>
      </c>
      <c r="V300" s="2">
        <v>-121.2693405</v>
      </c>
      <c r="W300" s="2" t="s">
        <v>500</v>
      </c>
      <c r="X300" s="2" t="s">
        <v>1697</v>
      </c>
      <c r="Y300" s="2" t="s">
        <v>1248</v>
      </c>
      <c r="Z300" s="2">
        <v>10474</v>
      </c>
      <c r="AA300" s="2" t="s">
        <v>1698</v>
      </c>
      <c r="AB300" s="2">
        <v>41545</v>
      </c>
      <c r="AC300" s="2">
        <v>502</v>
      </c>
      <c r="AD300" s="2">
        <v>50</v>
      </c>
      <c r="AE300" s="2">
        <v>0.2</v>
      </c>
      <c r="AF300" s="2" t="str" cm="1">
        <f t="array" ref="AF300">_xlfn.IFS(AE300=0, "No Discount ", AE300&lt;=0.08,"Low Discount", AE300&lt;=0.16,"Medium Discount", AE300&gt;0.16, "High Discount")</f>
        <v>High Discount</v>
      </c>
      <c r="AG300" s="2">
        <v>103704</v>
      </c>
      <c r="AH300" s="2">
        <v>50</v>
      </c>
      <c r="AI300" s="2">
        <v>-1.33</v>
      </c>
      <c r="AJ300" s="2" t="str" cm="1">
        <f t="array" ref="AJ300">_xlfn.IFS(AI300&lt;=0, "No Profit", AI300&lt;=0.16,"Low Profit",AI300&lt;=0.32,"Medium Profit",AI300&gt;0.32,"High Profit")</f>
        <v>No Profit</v>
      </c>
      <c r="AK300" s="2">
        <v>5</v>
      </c>
      <c r="AL300" s="2">
        <v>250</v>
      </c>
      <c r="AM300" s="2">
        <v>200</v>
      </c>
      <c r="AN300" s="2">
        <v>-265</v>
      </c>
      <c r="AO300" s="2" t="s">
        <v>1249</v>
      </c>
      <c r="AP300" s="2" t="s">
        <v>1699</v>
      </c>
      <c r="AQ300" s="2" t="s">
        <v>308</v>
      </c>
      <c r="AR300" s="2" t="s">
        <v>81</v>
      </c>
      <c r="AS300" s="2">
        <v>502</v>
      </c>
      <c r="AT300" s="2">
        <v>24</v>
      </c>
      <c r="AU300" s="2" t="s">
        <v>442</v>
      </c>
      <c r="AV300" s="2">
        <v>50</v>
      </c>
      <c r="AW300" s="2">
        <v>0</v>
      </c>
      <c r="AX300" s="3">
        <v>42469.445833333331</v>
      </c>
      <c r="AY300" s="2" t="s">
        <v>83</v>
      </c>
      <c r="AZ300" s="4">
        <v>42611</v>
      </c>
      <c r="BA300" s="5">
        <v>0.44583333333333336</v>
      </c>
      <c r="BB300" s="2">
        <v>2016</v>
      </c>
      <c r="BC300" s="2" t="s">
        <v>482</v>
      </c>
      <c r="BD300" s="2">
        <v>29</v>
      </c>
      <c r="BE300" s="4">
        <v>42469</v>
      </c>
      <c r="BF300" s="5">
        <v>0.44583333333333336</v>
      </c>
      <c r="BG300" s="2" t="str" cm="1">
        <f t="array" ref="BG300">_xlfn.IFS(BF300&lt;TIMEVALUE("06:00"),"Night", BF300&gt;=TIMEVALUE("21:00"),"Night",BF300&gt;=TIMEVALUE("17:00"),"Evening",BF300&gt;=TIMEVALUE("12:00"),"Afternoon", BF300&gt;=TIMEVALUE("06:00"),"Morning")</f>
        <v>Morning</v>
      </c>
      <c r="BH300" s="2">
        <v>2016</v>
      </c>
      <c r="BI300" s="2" t="s">
        <v>487</v>
      </c>
      <c r="BJ300" s="2">
        <v>9</v>
      </c>
    </row>
    <row r="301" spans="1:62" x14ac:dyDescent="0.3">
      <c r="A301" s="2" t="s">
        <v>62</v>
      </c>
      <c r="B301" s="2">
        <v>6</v>
      </c>
      <c r="C301" s="2">
        <v>4</v>
      </c>
      <c r="D301" s="2">
        <v>51.16</v>
      </c>
      <c r="E301" s="2">
        <v>196.76</v>
      </c>
      <c r="F301" s="2" t="s">
        <v>87</v>
      </c>
      <c r="G301" s="2" t="s">
        <v>88</v>
      </c>
      <c r="H301" s="2">
        <v>37</v>
      </c>
      <c r="I301" s="2" t="s">
        <v>464</v>
      </c>
      <c r="J301" s="2" t="s">
        <v>1700</v>
      </c>
      <c r="K301" s="2" t="s">
        <v>102</v>
      </c>
      <c r="L301" s="2" t="s">
        <v>1701</v>
      </c>
      <c r="M301" s="2">
        <v>7504</v>
      </c>
      <c r="N301" s="2" t="s">
        <v>425</v>
      </c>
      <c r="O301" s="2" t="s">
        <v>70</v>
      </c>
      <c r="P301" s="2" t="s">
        <v>380</v>
      </c>
      <c r="Q301" s="2" t="s">
        <v>1702</v>
      </c>
      <c r="R301" s="2">
        <v>30058</v>
      </c>
      <c r="S301" s="2">
        <v>6</v>
      </c>
      <c r="T301" s="2" t="s">
        <v>515</v>
      </c>
      <c r="U301" s="2">
        <v>33.710079200000003</v>
      </c>
      <c r="V301" s="2">
        <v>-84.112472499999996</v>
      </c>
      <c r="W301" s="2" t="s">
        <v>500</v>
      </c>
      <c r="X301" s="2" t="s">
        <v>1697</v>
      </c>
      <c r="Y301" s="2" t="s">
        <v>1248</v>
      </c>
      <c r="Z301" s="2">
        <v>7504</v>
      </c>
      <c r="AA301" s="2" t="s">
        <v>1703</v>
      </c>
      <c r="AB301" s="2">
        <v>49910</v>
      </c>
      <c r="AC301" s="2">
        <v>818</v>
      </c>
      <c r="AD301" s="2">
        <v>43.19</v>
      </c>
      <c r="AE301" s="2">
        <v>0.18</v>
      </c>
      <c r="AF301" s="2" t="str" cm="1">
        <f t="array" ref="AF301">_xlfn.IFS(AE301=0, "No Discount ", AE301&lt;=0.08,"Low Discount", AE301&lt;=0.16,"Medium Discount", AE301&gt;0.16, "High Discount")</f>
        <v>High Discount</v>
      </c>
      <c r="AG301" s="2">
        <v>124779</v>
      </c>
      <c r="AH301" s="2">
        <v>47.99</v>
      </c>
      <c r="AI301" s="2">
        <v>0.26</v>
      </c>
      <c r="AJ301" s="2" t="str" cm="1">
        <f t="array" ref="AJ301">_xlfn.IFS(AI301&lt;=0, "No Profit", AI301&lt;=0.16,"Low Profit",AI301&lt;=0.32,"Medium Profit",AI301&gt;0.32,"High Profit")</f>
        <v>Medium Profit</v>
      </c>
      <c r="AK301" s="2">
        <v>5</v>
      </c>
      <c r="AL301" s="2">
        <v>239.95</v>
      </c>
      <c r="AM301" s="2">
        <v>196.76</v>
      </c>
      <c r="AN301" s="2">
        <v>51.16</v>
      </c>
      <c r="AO301" s="2" t="s">
        <v>1249</v>
      </c>
      <c r="AP301" s="2" t="s">
        <v>1699</v>
      </c>
      <c r="AQ301" s="2" t="s">
        <v>308</v>
      </c>
      <c r="AR301" s="2" t="s">
        <v>81</v>
      </c>
      <c r="AS301" s="2">
        <v>818</v>
      </c>
      <c r="AT301" s="2">
        <v>37</v>
      </c>
      <c r="AU301" s="2" t="s">
        <v>765</v>
      </c>
      <c r="AV301" s="2">
        <v>47.99</v>
      </c>
      <c r="AW301" s="2">
        <v>0</v>
      </c>
      <c r="AX301" s="3">
        <v>42826.555555555555</v>
      </c>
      <c r="AY301" s="2" t="s">
        <v>83</v>
      </c>
      <c r="AZ301" s="4">
        <v>42733</v>
      </c>
      <c r="BA301" s="5">
        <v>0.55555555555555558</v>
      </c>
      <c r="BB301" s="2">
        <v>2016</v>
      </c>
      <c r="BC301" s="2" t="s">
        <v>357</v>
      </c>
      <c r="BD301" s="2">
        <v>29</v>
      </c>
      <c r="BE301" s="4">
        <v>42826</v>
      </c>
      <c r="BF301" s="5">
        <v>0.55555555555555558</v>
      </c>
      <c r="BG301" s="2" t="str" cm="1">
        <f t="array" ref="BG301">_xlfn.IFS(BF301&lt;TIMEVALUE("06:00"),"Night", BF301&gt;=TIMEVALUE("21:00"),"Night",BF301&gt;=TIMEVALUE("17:00"),"Evening",BF301&gt;=TIMEVALUE("12:00"),"Afternoon", BF301&gt;=TIMEVALUE("06:00"),"Morning")</f>
        <v>Afternoon</v>
      </c>
      <c r="BH301" s="2">
        <v>2017</v>
      </c>
      <c r="BI301" s="2" t="s">
        <v>487</v>
      </c>
      <c r="BJ301" s="2">
        <v>1</v>
      </c>
    </row>
    <row r="302" spans="1:62" x14ac:dyDescent="0.3">
      <c r="A302" s="2" t="s">
        <v>62</v>
      </c>
      <c r="B302" s="2">
        <v>6</v>
      </c>
      <c r="C302" s="2">
        <v>4</v>
      </c>
      <c r="D302" s="2">
        <v>85.49</v>
      </c>
      <c r="E302" s="2">
        <v>284.95</v>
      </c>
      <c r="F302" s="2" t="s">
        <v>87</v>
      </c>
      <c r="G302" s="2" t="s">
        <v>88</v>
      </c>
      <c r="H302" s="2">
        <v>3</v>
      </c>
      <c r="I302" s="2" t="s">
        <v>776</v>
      </c>
      <c r="J302" s="2" t="s">
        <v>1704</v>
      </c>
      <c r="K302" s="2" t="s">
        <v>102</v>
      </c>
      <c r="L302" s="2" t="s">
        <v>414</v>
      </c>
      <c r="M302" s="2">
        <v>7518</v>
      </c>
      <c r="N302" s="2" t="s">
        <v>1091</v>
      </c>
      <c r="O302" s="2" t="s">
        <v>70</v>
      </c>
      <c r="P302" s="2" t="s">
        <v>234</v>
      </c>
      <c r="Q302" s="2" t="s">
        <v>1705</v>
      </c>
      <c r="R302" s="2">
        <v>60453</v>
      </c>
      <c r="S302" s="2">
        <v>2</v>
      </c>
      <c r="T302" s="2" t="s">
        <v>73</v>
      </c>
      <c r="U302" s="2">
        <v>41.715816500000003</v>
      </c>
      <c r="V302" s="2">
        <v>-87.740577700000003</v>
      </c>
      <c r="W302" s="2" t="s">
        <v>528</v>
      </c>
      <c r="X302" s="2" t="s">
        <v>1706</v>
      </c>
      <c r="Y302" s="2" t="s">
        <v>536</v>
      </c>
      <c r="Z302" s="2">
        <v>7518</v>
      </c>
      <c r="AA302" s="2" t="s">
        <v>1707</v>
      </c>
      <c r="AB302" s="2">
        <v>19590</v>
      </c>
      <c r="AC302" s="2">
        <v>44</v>
      </c>
      <c r="AD302" s="2">
        <v>15</v>
      </c>
      <c r="AE302" s="2">
        <v>0.05</v>
      </c>
      <c r="AF302" s="2" t="str" cm="1">
        <f t="array" ref="AF302">_xlfn.IFS(AE302=0, "No Discount ", AE302&lt;=0.08,"Low Discount", AE302&lt;=0.16,"Medium Discount", AE302&gt;0.16, "High Discount")</f>
        <v>Low Discount</v>
      </c>
      <c r="AG302" s="2">
        <v>48976</v>
      </c>
      <c r="AH302" s="2">
        <v>59.99</v>
      </c>
      <c r="AI302" s="2">
        <v>0.3</v>
      </c>
      <c r="AJ302" s="2" t="str" cm="1">
        <f t="array" ref="AJ302">_xlfn.IFS(AI302&lt;=0, "No Profit", AI302&lt;=0.16,"Low Profit",AI302&lt;=0.32,"Medium Profit",AI302&gt;0.32,"High Profit")</f>
        <v>Medium Profit</v>
      </c>
      <c r="AK302" s="2">
        <v>5</v>
      </c>
      <c r="AL302" s="2">
        <v>299.95</v>
      </c>
      <c r="AM302" s="2">
        <v>284.95</v>
      </c>
      <c r="AN302" s="2">
        <v>85.49</v>
      </c>
      <c r="AO302" s="2" t="s">
        <v>531</v>
      </c>
      <c r="AP302" s="2" t="s">
        <v>1708</v>
      </c>
      <c r="AQ302" s="2" t="s">
        <v>80</v>
      </c>
      <c r="AR302" s="2" t="s">
        <v>81</v>
      </c>
      <c r="AS302" s="2">
        <v>44</v>
      </c>
      <c r="AT302" s="2">
        <v>3</v>
      </c>
      <c r="AU302" s="2" t="s">
        <v>781</v>
      </c>
      <c r="AV302" s="2">
        <v>59.99</v>
      </c>
      <c r="AW302" s="2">
        <v>0</v>
      </c>
      <c r="AX302" s="2" t="s">
        <v>1709</v>
      </c>
      <c r="AY302" s="2" t="s">
        <v>83</v>
      </c>
      <c r="AZ302" s="4">
        <v>42290</v>
      </c>
      <c r="BA302" s="5">
        <v>0.95347222222222228</v>
      </c>
      <c r="BB302" s="2">
        <v>2015</v>
      </c>
      <c r="BC302" s="2" t="s">
        <v>434</v>
      </c>
      <c r="BD302" s="2">
        <v>13</v>
      </c>
      <c r="BE302" s="4">
        <v>42296</v>
      </c>
      <c r="BF302" s="5">
        <v>0.95347222222222228</v>
      </c>
      <c r="BG302" s="2" t="str" cm="1">
        <f t="array" ref="BG302">_xlfn.IFS(BF302&lt;TIMEVALUE("06:00"),"Night", BF302&gt;=TIMEVALUE("21:00"),"Night",BF302&gt;=TIMEVALUE("17:00"),"Evening",BF302&gt;=TIMEVALUE("12:00"),"Afternoon", BF302&gt;=TIMEVALUE("06:00"),"Morning")</f>
        <v>Night</v>
      </c>
      <c r="BH302" s="2">
        <v>2015</v>
      </c>
      <c r="BI302" s="2" t="s">
        <v>434</v>
      </c>
      <c r="BJ302" s="2">
        <v>19</v>
      </c>
    </row>
    <row r="303" spans="1:62" x14ac:dyDescent="0.3">
      <c r="A303" s="2" t="s">
        <v>62</v>
      </c>
      <c r="B303" s="2">
        <v>6</v>
      </c>
      <c r="C303" s="2">
        <v>4</v>
      </c>
      <c r="D303" s="2">
        <v>59.13</v>
      </c>
      <c r="E303" s="2">
        <v>174.95</v>
      </c>
      <c r="F303" s="2" t="s">
        <v>87</v>
      </c>
      <c r="G303" s="2" t="s">
        <v>88</v>
      </c>
      <c r="H303" s="2">
        <v>11</v>
      </c>
      <c r="I303" s="2" t="s">
        <v>1710</v>
      </c>
      <c r="J303" s="2" t="s">
        <v>322</v>
      </c>
      <c r="K303" s="2" t="s">
        <v>102</v>
      </c>
      <c r="L303" s="2" t="s">
        <v>1711</v>
      </c>
      <c r="M303" s="2">
        <v>1738</v>
      </c>
      <c r="N303" s="2" t="s">
        <v>1712</v>
      </c>
      <c r="O303" s="2" t="s">
        <v>70</v>
      </c>
      <c r="P303" s="2" t="s">
        <v>294</v>
      </c>
      <c r="Q303" s="2" t="s">
        <v>1713</v>
      </c>
      <c r="R303" s="2">
        <v>48213</v>
      </c>
      <c r="S303" s="2">
        <v>3</v>
      </c>
      <c r="T303" s="2" t="s">
        <v>466</v>
      </c>
      <c r="U303" s="2">
        <v>42.393913300000001</v>
      </c>
      <c r="V303" s="2">
        <v>-83.008369500000001</v>
      </c>
      <c r="W303" s="2" t="s">
        <v>528</v>
      </c>
      <c r="X303" s="2" t="s">
        <v>1714</v>
      </c>
      <c r="Y303" s="2" t="s">
        <v>1715</v>
      </c>
      <c r="Z303" s="2">
        <v>1738</v>
      </c>
      <c r="AA303" s="2" t="s">
        <v>1716</v>
      </c>
      <c r="AB303" s="2">
        <v>43650</v>
      </c>
      <c r="AC303" s="2">
        <v>235</v>
      </c>
      <c r="AD303" s="2">
        <v>0</v>
      </c>
      <c r="AE303" s="2">
        <v>0</v>
      </c>
      <c r="AF303" s="2" t="str" cm="1">
        <f t="array" ref="AF303">_xlfn.IFS(AE303=0, "No Discount ", AE303&lt;=0.08,"Low Discount", AE303&lt;=0.16,"Medium Discount", AE303&gt;0.16, "High Discount")</f>
        <v xml:space="preserve">No Discount </v>
      </c>
      <c r="AG303" s="2">
        <v>109018</v>
      </c>
      <c r="AH303" s="2">
        <v>34.99</v>
      </c>
      <c r="AI303" s="2">
        <v>0.34</v>
      </c>
      <c r="AJ303" s="2" t="str" cm="1">
        <f t="array" ref="AJ303">_xlfn.IFS(AI303&lt;=0, "No Profit", AI303&lt;=0.16,"Low Profit",AI303&lt;=0.32,"Medium Profit",AI303&gt;0.32,"High Profit")</f>
        <v>High Profit</v>
      </c>
      <c r="AK303" s="2">
        <v>5</v>
      </c>
      <c r="AL303" s="2">
        <v>174.95</v>
      </c>
      <c r="AM303" s="2">
        <v>174.95</v>
      </c>
      <c r="AN303" s="2">
        <v>59.13</v>
      </c>
      <c r="AO303" s="2" t="s">
        <v>1717</v>
      </c>
      <c r="AP303" s="2" t="s">
        <v>1714</v>
      </c>
      <c r="AQ303" s="2" t="s">
        <v>80</v>
      </c>
      <c r="AR303" s="2" t="s">
        <v>81</v>
      </c>
      <c r="AS303" s="2">
        <v>235</v>
      </c>
      <c r="AT303" s="2">
        <v>11</v>
      </c>
      <c r="AU303" s="2" t="s">
        <v>1718</v>
      </c>
      <c r="AV303" s="2">
        <v>34.99</v>
      </c>
      <c r="AW303" s="2">
        <v>0</v>
      </c>
      <c r="AX303" s="3">
        <v>42500.174305555556</v>
      </c>
      <c r="AY303" s="2" t="s">
        <v>83</v>
      </c>
      <c r="AZ303" s="4">
        <v>42642</v>
      </c>
      <c r="BA303" s="5">
        <v>0.17430555555555555</v>
      </c>
      <c r="BB303" s="2">
        <v>2016</v>
      </c>
      <c r="BC303" s="2" t="s">
        <v>552</v>
      </c>
      <c r="BD303" s="2">
        <v>29</v>
      </c>
      <c r="BE303" s="4">
        <v>42500</v>
      </c>
      <c r="BF303" s="5">
        <v>0.17430555555555555</v>
      </c>
      <c r="BG303" s="2" t="str" cm="1">
        <f t="array" ref="BG303">_xlfn.IFS(BF303&lt;TIMEVALUE("06:00"),"Night", BF303&gt;=TIMEVALUE("21:00"),"Night",BF303&gt;=TIMEVALUE("17:00"),"Evening",BF303&gt;=TIMEVALUE("12:00"),"Afternoon", BF303&gt;=TIMEVALUE("06:00"),"Morning")</f>
        <v>Night</v>
      </c>
      <c r="BH303" s="2">
        <v>2016</v>
      </c>
      <c r="BI303" s="2" t="s">
        <v>443</v>
      </c>
      <c r="BJ303" s="2">
        <v>10</v>
      </c>
    </row>
    <row r="304" spans="1:62" x14ac:dyDescent="0.3">
      <c r="A304" s="2" t="s">
        <v>62</v>
      </c>
      <c r="B304" s="2">
        <v>3</v>
      </c>
      <c r="C304" s="2">
        <v>4</v>
      </c>
      <c r="D304" s="2">
        <v>84.14</v>
      </c>
      <c r="E304" s="2">
        <v>494.95</v>
      </c>
      <c r="F304" s="2" t="s">
        <v>63</v>
      </c>
      <c r="G304" s="2" t="s">
        <v>64</v>
      </c>
      <c r="H304" s="2">
        <v>9</v>
      </c>
      <c r="I304" s="2" t="s">
        <v>496</v>
      </c>
      <c r="J304" s="2" t="s">
        <v>1719</v>
      </c>
      <c r="K304" s="2" t="s">
        <v>102</v>
      </c>
      <c r="L304" s="2" t="s">
        <v>414</v>
      </c>
      <c r="M304" s="2">
        <v>1622</v>
      </c>
      <c r="N304" s="2" t="s">
        <v>425</v>
      </c>
      <c r="O304" s="2" t="s">
        <v>70</v>
      </c>
      <c r="P304" s="2" t="s">
        <v>105</v>
      </c>
      <c r="Q304" s="2" t="s">
        <v>1720</v>
      </c>
      <c r="R304" s="2">
        <v>91801</v>
      </c>
      <c r="S304" s="2">
        <v>3</v>
      </c>
      <c r="T304" s="2" t="s">
        <v>466</v>
      </c>
      <c r="U304" s="2">
        <v>34.105911300000002</v>
      </c>
      <c r="V304" s="2">
        <v>-118.1196442</v>
      </c>
      <c r="W304" s="2" t="s">
        <v>528</v>
      </c>
      <c r="X304" s="2" t="s">
        <v>1721</v>
      </c>
      <c r="Y304" s="2" t="s">
        <v>536</v>
      </c>
      <c r="Z304" s="2">
        <v>1622</v>
      </c>
      <c r="AA304" s="3">
        <v>42285.899305555555</v>
      </c>
      <c r="AB304" s="2">
        <v>15202</v>
      </c>
      <c r="AC304" s="2">
        <v>191</v>
      </c>
      <c r="AD304" s="2">
        <v>5</v>
      </c>
      <c r="AE304" s="2">
        <v>0.01</v>
      </c>
      <c r="AF304" s="2" t="str" cm="1">
        <f t="array" ref="AF304">_xlfn.IFS(AE304=0, "No Discount ", AE304&lt;=0.08,"Low Discount", AE304&lt;=0.16,"Medium Discount", AE304&gt;0.16, "High Discount")</f>
        <v>Low Discount</v>
      </c>
      <c r="AG304" s="2">
        <v>38024</v>
      </c>
      <c r="AH304" s="2">
        <v>99.99</v>
      </c>
      <c r="AI304" s="2">
        <v>0.17</v>
      </c>
      <c r="AJ304" s="2" t="str" cm="1">
        <f t="array" ref="AJ304">_xlfn.IFS(AI304&lt;=0, "No Profit", AI304&lt;=0.16,"Low Profit",AI304&lt;=0.32,"Medium Profit",AI304&gt;0.32,"High Profit")</f>
        <v>Medium Profit</v>
      </c>
      <c r="AK304" s="2">
        <v>5</v>
      </c>
      <c r="AL304" s="2">
        <v>499.95</v>
      </c>
      <c r="AM304" s="2">
        <v>494.95</v>
      </c>
      <c r="AN304" s="2">
        <v>84.14</v>
      </c>
      <c r="AO304" s="2" t="s">
        <v>531</v>
      </c>
      <c r="AP304" s="2" t="s">
        <v>1722</v>
      </c>
      <c r="AQ304" s="2" t="s">
        <v>80</v>
      </c>
      <c r="AR304" s="2" t="s">
        <v>81</v>
      </c>
      <c r="AS304" s="2">
        <v>191</v>
      </c>
      <c r="AT304" s="2">
        <v>9</v>
      </c>
      <c r="AU304" s="2" t="s">
        <v>505</v>
      </c>
      <c r="AV304" s="2">
        <v>99.99</v>
      </c>
      <c r="AW304" s="2">
        <v>0</v>
      </c>
      <c r="AX304" s="2" t="s">
        <v>1723</v>
      </c>
      <c r="AY304" s="2" t="s">
        <v>83</v>
      </c>
      <c r="AZ304" s="4">
        <v>42285</v>
      </c>
      <c r="BA304" s="5">
        <v>0.89930555555555558</v>
      </c>
      <c r="BB304" s="2">
        <v>2015</v>
      </c>
      <c r="BC304" s="2" t="s">
        <v>434</v>
      </c>
      <c r="BD304" s="2">
        <v>8</v>
      </c>
      <c r="BE304" s="4">
        <v>42229</v>
      </c>
      <c r="BF304" s="5">
        <v>0.89930555555555558</v>
      </c>
      <c r="BG304" s="2" t="str" cm="1">
        <f t="array" ref="BG304">_xlfn.IFS(BF304&lt;TIMEVALUE("06:00"),"Night", BF304&gt;=TIMEVALUE("21:00"),"Night",BF304&gt;=TIMEVALUE("17:00"),"Evening",BF304&gt;=TIMEVALUE("12:00"),"Afternoon", BF304&gt;=TIMEVALUE("06:00"),"Morning")</f>
        <v>Night</v>
      </c>
      <c r="BH304" s="2">
        <v>2015</v>
      </c>
      <c r="BI304" s="2" t="s">
        <v>482</v>
      </c>
      <c r="BJ304" s="2">
        <v>13</v>
      </c>
    </row>
    <row r="305" spans="1:62" x14ac:dyDescent="0.3">
      <c r="A305" s="2" t="s">
        <v>62</v>
      </c>
      <c r="B305" s="2">
        <v>3</v>
      </c>
      <c r="C305" s="2">
        <v>4</v>
      </c>
      <c r="D305" s="2">
        <v>65.83</v>
      </c>
      <c r="E305" s="2">
        <v>137.15</v>
      </c>
      <c r="F305" s="2" t="s">
        <v>63</v>
      </c>
      <c r="G305" s="2" t="s">
        <v>64</v>
      </c>
      <c r="H305" s="2">
        <v>13</v>
      </c>
      <c r="I305" s="2" t="s">
        <v>464</v>
      </c>
      <c r="J305" s="2" t="s">
        <v>1724</v>
      </c>
      <c r="K305" s="2" t="s">
        <v>102</v>
      </c>
      <c r="L305" s="2" t="s">
        <v>570</v>
      </c>
      <c r="M305" s="2">
        <v>1325</v>
      </c>
      <c r="N305" s="2" t="s">
        <v>540</v>
      </c>
      <c r="O305" s="2" t="s">
        <v>70</v>
      </c>
      <c r="P305" s="2" t="s">
        <v>1725</v>
      </c>
      <c r="Q305" s="2" t="s">
        <v>1726</v>
      </c>
      <c r="R305" s="2">
        <v>6511</v>
      </c>
      <c r="S305" s="2">
        <v>3</v>
      </c>
      <c r="T305" s="2" t="s">
        <v>466</v>
      </c>
      <c r="U305" s="2">
        <v>42.345687900000001</v>
      </c>
      <c r="V305" s="2">
        <v>-83.520591699999997</v>
      </c>
      <c r="W305" s="2" t="s">
        <v>528</v>
      </c>
      <c r="X305" s="2" t="s">
        <v>1727</v>
      </c>
      <c r="Y305" s="2" t="s">
        <v>983</v>
      </c>
      <c r="Z305" s="2">
        <v>1325</v>
      </c>
      <c r="AA305" s="2" t="s">
        <v>1728</v>
      </c>
      <c r="AB305" s="2">
        <v>15462</v>
      </c>
      <c r="AC305" s="2">
        <v>273</v>
      </c>
      <c r="AD305" s="2">
        <v>2.8</v>
      </c>
      <c r="AE305" s="2">
        <v>0.02</v>
      </c>
      <c r="AF305" s="2" t="str" cm="1">
        <f t="array" ref="AF305">_xlfn.IFS(AE305=0, "No Discount ", AE305&lt;=0.08,"Low Discount", AE305&lt;=0.16,"Medium Discount", AE305&gt;0.16, "High Discount")</f>
        <v>Low Discount</v>
      </c>
      <c r="AG305" s="2">
        <v>38639</v>
      </c>
      <c r="AH305" s="2">
        <v>27.99</v>
      </c>
      <c r="AI305" s="2">
        <v>0.48</v>
      </c>
      <c r="AJ305" s="2" t="str" cm="1">
        <f t="array" ref="AJ305">_xlfn.IFS(AI305&lt;=0, "No Profit", AI305&lt;=0.16,"Low Profit",AI305&lt;=0.32,"Medium Profit",AI305&gt;0.32,"High Profit")</f>
        <v>High Profit</v>
      </c>
      <c r="AK305" s="2">
        <v>5</v>
      </c>
      <c r="AL305" s="2">
        <v>139.94999999999999</v>
      </c>
      <c r="AM305" s="2">
        <v>137.15</v>
      </c>
      <c r="AN305" s="2">
        <v>65.83</v>
      </c>
      <c r="AO305" s="2" t="s">
        <v>905</v>
      </c>
      <c r="AP305" s="2" t="s">
        <v>982</v>
      </c>
      <c r="AQ305" s="2" t="s">
        <v>80</v>
      </c>
      <c r="AR305" s="2" t="s">
        <v>81</v>
      </c>
      <c r="AS305" s="2">
        <v>273</v>
      </c>
      <c r="AT305" s="2">
        <v>13</v>
      </c>
      <c r="AU305" s="2" t="s">
        <v>1729</v>
      </c>
      <c r="AV305" s="2">
        <v>27.99</v>
      </c>
      <c r="AW305" s="2">
        <v>0</v>
      </c>
      <c r="AX305" s="2" t="s">
        <v>1730</v>
      </c>
      <c r="AY305" s="2" t="s">
        <v>83</v>
      </c>
      <c r="AZ305" s="4">
        <v>42230</v>
      </c>
      <c r="BA305" s="5">
        <v>0.69444444444444442</v>
      </c>
      <c r="BB305" s="2">
        <v>2015</v>
      </c>
      <c r="BC305" s="2" t="s">
        <v>482</v>
      </c>
      <c r="BD305" s="2">
        <v>14</v>
      </c>
      <c r="BE305" s="4">
        <v>42233</v>
      </c>
      <c r="BF305" s="5">
        <v>0.69444444444444442</v>
      </c>
      <c r="BG305" s="2" t="str" cm="1">
        <f t="array" ref="BG305">_xlfn.IFS(BF305&lt;TIMEVALUE("06:00"),"Night", BF305&gt;=TIMEVALUE("21:00"),"Night",BF305&gt;=TIMEVALUE("17:00"),"Evening",BF305&gt;=TIMEVALUE("12:00"),"Afternoon", BF305&gt;=TIMEVALUE("06:00"),"Morning")</f>
        <v>Afternoon</v>
      </c>
      <c r="BH305" s="2">
        <v>2015</v>
      </c>
      <c r="BI305" s="2" t="s">
        <v>482</v>
      </c>
      <c r="BJ305" s="2">
        <v>17</v>
      </c>
    </row>
    <row r="306" spans="1:62" x14ac:dyDescent="0.3">
      <c r="A306" s="2" t="s">
        <v>62</v>
      </c>
      <c r="B306" s="2">
        <v>6</v>
      </c>
      <c r="C306" s="2">
        <v>4</v>
      </c>
      <c r="D306" s="2">
        <v>43.12</v>
      </c>
      <c r="E306" s="2">
        <v>489.95</v>
      </c>
      <c r="F306" s="2" t="s">
        <v>87</v>
      </c>
      <c r="G306" s="2" t="s">
        <v>88</v>
      </c>
      <c r="H306" s="2">
        <v>9</v>
      </c>
      <c r="I306" s="2" t="s">
        <v>496</v>
      </c>
      <c r="J306" s="2" t="s">
        <v>1222</v>
      </c>
      <c r="K306" s="2" t="s">
        <v>102</v>
      </c>
      <c r="L306" s="2" t="s">
        <v>1731</v>
      </c>
      <c r="M306" s="2">
        <v>5505</v>
      </c>
      <c r="N306" s="2" t="s">
        <v>1732</v>
      </c>
      <c r="O306" s="2" t="s">
        <v>70</v>
      </c>
      <c r="P306" s="2" t="s">
        <v>133</v>
      </c>
      <c r="Q306" s="2" t="s">
        <v>1733</v>
      </c>
      <c r="R306" s="2">
        <v>14120</v>
      </c>
      <c r="S306" s="2">
        <v>3</v>
      </c>
      <c r="T306" s="2" t="s">
        <v>466</v>
      </c>
      <c r="U306" s="2">
        <v>43.029102299999998</v>
      </c>
      <c r="V306" s="2">
        <v>-78.873420699999997</v>
      </c>
      <c r="W306" s="2" t="s">
        <v>528</v>
      </c>
      <c r="X306" s="2" t="s">
        <v>1734</v>
      </c>
      <c r="Y306" s="2" t="s">
        <v>536</v>
      </c>
      <c r="Z306" s="2">
        <v>5505</v>
      </c>
      <c r="AA306" s="3">
        <v>42285.213194444441</v>
      </c>
      <c r="AB306" s="2">
        <v>15155</v>
      </c>
      <c r="AC306" s="2">
        <v>191</v>
      </c>
      <c r="AD306" s="2">
        <v>10</v>
      </c>
      <c r="AE306" s="2">
        <v>0.02</v>
      </c>
      <c r="AF306" s="2" t="str" cm="1">
        <f t="array" ref="AF306">_xlfn.IFS(AE306=0, "No Discount ", AE306&lt;=0.08,"Low Discount", AE306&lt;=0.16,"Medium Discount", AE306&gt;0.16, "High Discount")</f>
        <v>Low Discount</v>
      </c>
      <c r="AG306" s="2">
        <v>37908</v>
      </c>
      <c r="AH306" s="2">
        <v>99.99</v>
      </c>
      <c r="AI306" s="2">
        <v>0.09</v>
      </c>
      <c r="AJ306" s="2" t="str" cm="1">
        <f t="array" ref="AJ306">_xlfn.IFS(AI306&lt;=0, "No Profit", AI306&lt;=0.16,"Low Profit",AI306&lt;=0.32,"Medium Profit",AI306&gt;0.32,"High Profit")</f>
        <v>Low Profit</v>
      </c>
      <c r="AK306" s="2">
        <v>5</v>
      </c>
      <c r="AL306" s="2">
        <v>499.95</v>
      </c>
      <c r="AM306" s="2">
        <v>489.95</v>
      </c>
      <c r="AN306" s="2">
        <v>43.12</v>
      </c>
      <c r="AO306" s="2" t="s">
        <v>531</v>
      </c>
      <c r="AP306" s="2" t="s">
        <v>538</v>
      </c>
      <c r="AQ306" s="2" t="s">
        <v>80</v>
      </c>
      <c r="AR306" s="2" t="s">
        <v>81</v>
      </c>
      <c r="AS306" s="2">
        <v>191</v>
      </c>
      <c r="AT306" s="2">
        <v>9</v>
      </c>
      <c r="AU306" s="2" t="s">
        <v>505</v>
      </c>
      <c r="AV306" s="2">
        <v>99.99</v>
      </c>
      <c r="AW306" s="2">
        <v>0</v>
      </c>
      <c r="AX306" s="2" t="s">
        <v>1735</v>
      </c>
      <c r="AY306" s="2" t="s">
        <v>83</v>
      </c>
      <c r="AZ306" s="4">
        <v>42285</v>
      </c>
      <c r="BA306" s="5">
        <v>0.21319444444444444</v>
      </c>
      <c r="BB306" s="2">
        <v>2015</v>
      </c>
      <c r="BC306" s="2" t="s">
        <v>434</v>
      </c>
      <c r="BD306" s="2">
        <v>8</v>
      </c>
      <c r="BE306" s="4">
        <v>42232</v>
      </c>
      <c r="BF306" s="5">
        <v>0.21319444444444444</v>
      </c>
      <c r="BG306" s="2" t="str" cm="1">
        <f t="array" ref="BG306">_xlfn.IFS(BF306&lt;TIMEVALUE("06:00"),"Night", BF306&gt;=TIMEVALUE("21:00"),"Night",BF306&gt;=TIMEVALUE("17:00"),"Evening",BF306&gt;=TIMEVALUE("12:00"),"Afternoon", BF306&gt;=TIMEVALUE("06:00"),"Morning")</f>
        <v>Night</v>
      </c>
      <c r="BH306" s="2">
        <v>2015</v>
      </c>
      <c r="BI306" s="2" t="s">
        <v>482</v>
      </c>
      <c r="BJ306" s="2">
        <v>16</v>
      </c>
    </row>
    <row r="307" spans="1:62" x14ac:dyDescent="0.3">
      <c r="A307" s="2" t="s">
        <v>62</v>
      </c>
      <c r="B307" s="2">
        <v>2</v>
      </c>
      <c r="C307" s="2">
        <v>4</v>
      </c>
      <c r="D307" s="2">
        <v>242.48</v>
      </c>
      <c r="E307" s="2">
        <v>484.95</v>
      </c>
      <c r="F307" s="2" t="s">
        <v>63</v>
      </c>
      <c r="G307" s="2" t="s">
        <v>64</v>
      </c>
      <c r="H307" s="2">
        <v>9</v>
      </c>
      <c r="I307" s="2" t="s">
        <v>496</v>
      </c>
      <c r="J307" s="2" t="s">
        <v>1736</v>
      </c>
      <c r="K307" s="2" t="s">
        <v>102</v>
      </c>
      <c r="L307" s="2" t="s">
        <v>845</v>
      </c>
      <c r="M307" s="2">
        <v>4210</v>
      </c>
      <c r="N307" s="2" t="s">
        <v>1737</v>
      </c>
      <c r="O307" s="2" t="s">
        <v>70</v>
      </c>
      <c r="P307" s="2" t="s">
        <v>1254</v>
      </c>
      <c r="Q307" s="2" t="s">
        <v>1738</v>
      </c>
      <c r="R307" s="2">
        <v>85029</v>
      </c>
      <c r="S307" s="2">
        <v>3</v>
      </c>
      <c r="T307" s="2" t="s">
        <v>466</v>
      </c>
      <c r="U307" s="2">
        <v>33.589874299999998</v>
      </c>
      <c r="V307" s="2">
        <v>-112.1163712</v>
      </c>
      <c r="W307" s="2" t="s">
        <v>528</v>
      </c>
      <c r="X307" s="2" t="s">
        <v>1706</v>
      </c>
      <c r="Y307" s="2" t="s">
        <v>536</v>
      </c>
      <c r="Z307" s="2">
        <v>4210</v>
      </c>
      <c r="AA307" s="2" t="s">
        <v>1739</v>
      </c>
      <c r="AB307" s="2">
        <v>64451</v>
      </c>
      <c r="AC307" s="2">
        <v>191</v>
      </c>
      <c r="AD307" s="2">
        <v>15</v>
      </c>
      <c r="AE307" s="2">
        <v>0.03</v>
      </c>
      <c r="AF307" s="2" t="str" cm="1">
        <f t="array" ref="AF307">_xlfn.IFS(AE307=0, "No Discount ", AE307&lt;=0.08,"Low Discount", AE307&lt;=0.16,"Medium Discount", AE307&gt;0.16, "High Discount")</f>
        <v>Low Discount</v>
      </c>
      <c r="AG307" s="2">
        <v>161109</v>
      </c>
      <c r="AH307" s="2">
        <v>99.99</v>
      </c>
      <c r="AI307" s="2">
        <v>0.5</v>
      </c>
      <c r="AJ307" s="2" t="str" cm="1">
        <f t="array" ref="AJ307">_xlfn.IFS(AI307&lt;=0, "No Profit", AI307&lt;=0.16,"Low Profit",AI307&lt;=0.32,"Medium Profit",AI307&gt;0.32,"High Profit")</f>
        <v>High Profit</v>
      </c>
      <c r="AK307" s="2">
        <v>5</v>
      </c>
      <c r="AL307" s="2">
        <v>499.95</v>
      </c>
      <c r="AM307" s="2">
        <v>484.95</v>
      </c>
      <c r="AN307" s="2">
        <v>242.48</v>
      </c>
      <c r="AO307" s="2" t="s">
        <v>531</v>
      </c>
      <c r="AP307" s="2" t="s">
        <v>1708</v>
      </c>
      <c r="AQ307" s="2" t="s">
        <v>80</v>
      </c>
      <c r="AR307" s="2" t="s">
        <v>81</v>
      </c>
      <c r="AS307" s="2">
        <v>191</v>
      </c>
      <c r="AT307" s="2">
        <v>9</v>
      </c>
      <c r="AU307" s="2" t="s">
        <v>505</v>
      </c>
      <c r="AV307" s="2">
        <v>99.99</v>
      </c>
      <c r="AW307" s="2">
        <v>0</v>
      </c>
      <c r="AX307" s="2" t="s">
        <v>1740</v>
      </c>
      <c r="AY307" s="2" t="s">
        <v>83</v>
      </c>
      <c r="AZ307" s="4">
        <v>42945</v>
      </c>
      <c r="BA307" s="5">
        <v>0.8208333333333333</v>
      </c>
      <c r="BB307" s="2">
        <v>2017</v>
      </c>
      <c r="BC307" s="2" t="s">
        <v>533</v>
      </c>
      <c r="BD307" s="2">
        <v>29</v>
      </c>
      <c r="BE307" s="4">
        <v>42947</v>
      </c>
      <c r="BF307" s="5">
        <v>0.8208333333333333</v>
      </c>
      <c r="BG307" s="2" t="str" cm="1">
        <f t="array" ref="BG307">_xlfn.IFS(BF307&lt;TIMEVALUE("06:00"),"Night", BF307&gt;=TIMEVALUE("21:00"),"Night",BF307&gt;=TIMEVALUE("17:00"),"Evening",BF307&gt;=TIMEVALUE("12:00"),"Afternoon", BF307&gt;=TIMEVALUE("06:00"),"Morning")</f>
        <v>Evening</v>
      </c>
      <c r="BH307" s="2">
        <v>2017</v>
      </c>
      <c r="BI307" s="2" t="s">
        <v>533</v>
      </c>
      <c r="BJ307" s="2">
        <v>31</v>
      </c>
    </row>
    <row r="308" spans="1:62" x14ac:dyDescent="0.3">
      <c r="A308" s="2" t="s">
        <v>62</v>
      </c>
      <c r="B308" s="2">
        <v>4</v>
      </c>
      <c r="C308" s="2">
        <v>4</v>
      </c>
      <c r="D308" s="2">
        <v>-115.42</v>
      </c>
      <c r="E308" s="2">
        <v>484.95</v>
      </c>
      <c r="F308" s="2" t="s">
        <v>100</v>
      </c>
      <c r="G308" s="2" t="s">
        <v>64</v>
      </c>
      <c r="H308" s="2">
        <v>9</v>
      </c>
      <c r="I308" s="2" t="s">
        <v>496</v>
      </c>
      <c r="J308" s="2" t="s">
        <v>1741</v>
      </c>
      <c r="K308" s="2" t="s">
        <v>102</v>
      </c>
      <c r="L308" s="2" t="s">
        <v>1742</v>
      </c>
      <c r="M308" s="2">
        <v>11229</v>
      </c>
      <c r="N308" s="2" t="s">
        <v>425</v>
      </c>
      <c r="O308" s="2" t="s">
        <v>70</v>
      </c>
      <c r="P308" s="2" t="s">
        <v>1743</v>
      </c>
      <c r="Q308" s="2" t="s">
        <v>1744</v>
      </c>
      <c r="R308" s="2">
        <v>70065</v>
      </c>
      <c r="S308" s="2">
        <v>3</v>
      </c>
      <c r="T308" s="2" t="s">
        <v>466</v>
      </c>
      <c r="U308" s="2">
        <v>30.0380249</v>
      </c>
      <c r="V308" s="2">
        <v>-90.2569199</v>
      </c>
      <c r="W308" s="2" t="s">
        <v>528</v>
      </c>
      <c r="X308" s="2" t="s">
        <v>1745</v>
      </c>
      <c r="Y308" s="2" t="s">
        <v>536</v>
      </c>
      <c r="Z308" s="2">
        <v>11229</v>
      </c>
      <c r="AA308" s="3">
        <v>42864.438888888886</v>
      </c>
      <c r="AB308" s="2">
        <v>67028</v>
      </c>
      <c r="AC308" s="2">
        <v>191</v>
      </c>
      <c r="AD308" s="2">
        <v>15</v>
      </c>
      <c r="AE308" s="2">
        <v>0.03</v>
      </c>
      <c r="AF308" s="2" t="str" cm="1">
        <f t="array" ref="AF308">_xlfn.IFS(AE308=0, "No Discount ", AE308&lt;=0.08,"Low Discount", AE308&lt;=0.16,"Medium Discount", AE308&gt;0.16, "High Discount")</f>
        <v>Low Discount</v>
      </c>
      <c r="AG308" s="2">
        <v>167556</v>
      </c>
      <c r="AH308" s="2">
        <v>99.99</v>
      </c>
      <c r="AI308" s="2">
        <v>-0.24</v>
      </c>
      <c r="AJ308" s="2" t="str" cm="1">
        <f t="array" ref="AJ308">_xlfn.IFS(AI308&lt;=0, "No Profit", AI308&lt;=0.16,"Low Profit",AI308&lt;=0.32,"Medium Profit",AI308&gt;0.32,"High Profit")</f>
        <v>No Profit</v>
      </c>
      <c r="AK308" s="2">
        <v>5</v>
      </c>
      <c r="AL308" s="2">
        <v>499.95</v>
      </c>
      <c r="AM308" s="2">
        <v>484.95</v>
      </c>
      <c r="AN308" s="2">
        <v>-115.42</v>
      </c>
      <c r="AO308" s="2" t="s">
        <v>531</v>
      </c>
      <c r="AP308" s="2" t="s">
        <v>1746</v>
      </c>
      <c r="AQ308" s="2" t="s">
        <v>80</v>
      </c>
      <c r="AR308" s="2" t="s">
        <v>81</v>
      </c>
      <c r="AS308" s="2">
        <v>191</v>
      </c>
      <c r="AT308" s="2">
        <v>9</v>
      </c>
      <c r="AU308" s="2" t="s">
        <v>505</v>
      </c>
      <c r="AV308" s="2">
        <v>99.99</v>
      </c>
      <c r="AW308" s="2">
        <v>0</v>
      </c>
      <c r="AX308" s="3">
        <v>42987.438888888886</v>
      </c>
      <c r="AY308" s="2" t="s">
        <v>83</v>
      </c>
      <c r="AZ308" s="4">
        <v>42864</v>
      </c>
      <c r="BA308" s="5">
        <v>0.43888888888888888</v>
      </c>
      <c r="BB308" s="2">
        <v>2017</v>
      </c>
      <c r="BC308" s="2" t="s">
        <v>443</v>
      </c>
      <c r="BD308" s="2">
        <v>9</v>
      </c>
      <c r="BE308" s="4">
        <v>42987</v>
      </c>
      <c r="BF308" s="5">
        <v>0.43888888888888888</v>
      </c>
      <c r="BG308" s="2" t="str" cm="1">
        <f t="array" ref="BG308">_xlfn.IFS(BF308&lt;TIMEVALUE("06:00"),"Night", BF308&gt;=TIMEVALUE("21:00"),"Night",BF308&gt;=TIMEVALUE("17:00"),"Evening",BF308&gt;=TIMEVALUE("12:00"),"Afternoon", BF308&gt;=TIMEVALUE("06:00"),"Morning")</f>
        <v>Morning</v>
      </c>
      <c r="BH308" s="2">
        <v>2017</v>
      </c>
      <c r="BI308" s="2" t="s">
        <v>552</v>
      </c>
      <c r="BJ308" s="2">
        <v>9</v>
      </c>
    </row>
    <row r="309" spans="1:62" x14ac:dyDescent="0.3">
      <c r="A309" s="2" t="s">
        <v>62</v>
      </c>
      <c r="B309" s="2">
        <v>2</v>
      </c>
      <c r="C309" s="2">
        <v>4</v>
      </c>
      <c r="D309" s="2">
        <v>109.11</v>
      </c>
      <c r="E309" s="2">
        <v>484.95</v>
      </c>
      <c r="F309" s="2" t="s">
        <v>63</v>
      </c>
      <c r="G309" s="2" t="s">
        <v>64</v>
      </c>
      <c r="H309" s="2">
        <v>9</v>
      </c>
      <c r="I309" s="2" t="s">
        <v>496</v>
      </c>
      <c r="J309" s="2" t="s">
        <v>471</v>
      </c>
      <c r="K309" s="2" t="s">
        <v>102</v>
      </c>
      <c r="L309" s="2" t="s">
        <v>1747</v>
      </c>
      <c r="M309" s="2">
        <v>9385</v>
      </c>
      <c r="N309" s="2" t="s">
        <v>1748</v>
      </c>
      <c r="O309" s="2" t="s">
        <v>70</v>
      </c>
      <c r="P309" s="2" t="s">
        <v>280</v>
      </c>
      <c r="Q309" s="2" t="s">
        <v>1749</v>
      </c>
      <c r="R309" s="2">
        <v>15301</v>
      </c>
      <c r="S309" s="2">
        <v>3</v>
      </c>
      <c r="T309" s="2" t="s">
        <v>466</v>
      </c>
      <c r="U309" s="2">
        <v>40.338520099999997</v>
      </c>
      <c r="V309" s="2">
        <v>-80.128944399999995</v>
      </c>
      <c r="W309" s="2" t="s">
        <v>528</v>
      </c>
      <c r="X309" s="2" t="s">
        <v>1750</v>
      </c>
      <c r="Y309" s="2" t="s">
        <v>536</v>
      </c>
      <c r="Z309" s="2">
        <v>9385</v>
      </c>
      <c r="AA309" s="2" t="s">
        <v>1751</v>
      </c>
      <c r="AB309" s="2">
        <v>62336</v>
      </c>
      <c r="AC309" s="2">
        <v>191</v>
      </c>
      <c r="AD309" s="2">
        <v>15</v>
      </c>
      <c r="AE309" s="2">
        <v>0.03</v>
      </c>
      <c r="AF309" s="2" t="str" cm="1">
        <f t="array" ref="AF309">_xlfn.IFS(AE309=0, "No Discount ", AE309&lt;=0.08,"Low Discount", AE309&lt;=0.16,"Medium Discount", AE309&gt;0.16, "High Discount")</f>
        <v>Low Discount</v>
      </c>
      <c r="AG309" s="2">
        <v>155832</v>
      </c>
      <c r="AH309" s="2">
        <v>99.99</v>
      </c>
      <c r="AI309" s="2">
        <v>0.23</v>
      </c>
      <c r="AJ309" s="2" t="str" cm="1">
        <f t="array" ref="AJ309">_xlfn.IFS(AI309&lt;=0, "No Profit", AI309&lt;=0.16,"Low Profit",AI309&lt;=0.32,"Medium Profit",AI309&gt;0.32,"High Profit")</f>
        <v>Medium Profit</v>
      </c>
      <c r="AK309" s="2">
        <v>5</v>
      </c>
      <c r="AL309" s="2">
        <v>499.95</v>
      </c>
      <c r="AM309" s="2">
        <v>484.95</v>
      </c>
      <c r="AN309" s="2">
        <v>109.11</v>
      </c>
      <c r="AO309" s="2" t="s">
        <v>531</v>
      </c>
      <c r="AP309" s="2" t="s">
        <v>538</v>
      </c>
      <c r="AQ309" s="2" t="s">
        <v>80</v>
      </c>
      <c r="AR309" s="2" t="s">
        <v>81</v>
      </c>
      <c r="AS309" s="2">
        <v>191</v>
      </c>
      <c r="AT309" s="2">
        <v>9</v>
      </c>
      <c r="AU309" s="2" t="s">
        <v>505</v>
      </c>
      <c r="AV309" s="2">
        <v>99.99</v>
      </c>
      <c r="AW309" s="2">
        <v>0</v>
      </c>
      <c r="AX309" s="2" t="s">
        <v>1752</v>
      </c>
      <c r="AY309" s="2" t="s">
        <v>83</v>
      </c>
      <c r="AZ309" s="4">
        <v>42914</v>
      </c>
      <c r="BA309" s="5">
        <v>0.94652777777777775</v>
      </c>
      <c r="BB309" s="2">
        <v>2017</v>
      </c>
      <c r="BC309" s="2" t="s">
        <v>474</v>
      </c>
      <c r="BD309" s="2">
        <v>28</v>
      </c>
      <c r="BE309" s="4">
        <v>42916</v>
      </c>
      <c r="BF309" s="5">
        <v>0.94652777777777775</v>
      </c>
      <c r="BG309" s="2" t="str" cm="1">
        <f t="array" ref="BG309">_xlfn.IFS(BF309&lt;TIMEVALUE("06:00"),"Night", BF309&gt;=TIMEVALUE("21:00"),"Night",BF309&gt;=TIMEVALUE("17:00"),"Evening",BF309&gt;=TIMEVALUE("12:00"),"Afternoon", BF309&gt;=TIMEVALUE("06:00"),"Morning")</f>
        <v>Night</v>
      </c>
      <c r="BH309" s="2">
        <v>2017</v>
      </c>
      <c r="BI309" s="2" t="s">
        <v>474</v>
      </c>
      <c r="BJ309" s="2">
        <v>30</v>
      </c>
    </row>
    <row r="310" spans="1:62" x14ac:dyDescent="0.3">
      <c r="A310" s="2" t="s">
        <v>62</v>
      </c>
      <c r="B310" s="2">
        <v>5</v>
      </c>
      <c r="C310" s="2">
        <v>4</v>
      </c>
      <c r="D310" s="2">
        <v>52.44</v>
      </c>
      <c r="E310" s="2">
        <v>155.15</v>
      </c>
      <c r="F310" s="2" t="s">
        <v>87</v>
      </c>
      <c r="G310" s="2" t="s">
        <v>88</v>
      </c>
      <c r="H310" s="2">
        <v>13</v>
      </c>
      <c r="I310" s="2" t="s">
        <v>464</v>
      </c>
      <c r="J310" s="2" t="s">
        <v>1753</v>
      </c>
      <c r="K310" s="2" t="s">
        <v>102</v>
      </c>
      <c r="L310" s="2" t="s">
        <v>1304</v>
      </c>
      <c r="M310" s="2">
        <v>900</v>
      </c>
      <c r="N310" s="2" t="s">
        <v>425</v>
      </c>
      <c r="O310" s="2" t="s">
        <v>70</v>
      </c>
      <c r="P310" s="2" t="s">
        <v>294</v>
      </c>
      <c r="Q310" s="2" t="s">
        <v>1754</v>
      </c>
      <c r="R310" s="2">
        <v>49423</v>
      </c>
      <c r="S310" s="2">
        <v>3</v>
      </c>
      <c r="T310" s="2" t="s">
        <v>466</v>
      </c>
      <c r="U310" s="2">
        <v>29.502809500000001</v>
      </c>
      <c r="V310" s="2">
        <v>-98.594528199999999</v>
      </c>
      <c r="W310" s="2" t="s">
        <v>528</v>
      </c>
      <c r="X310" s="2" t="s">
        <v>1755</v>
      </c>
      <c r="Y310" s="2" t="s">
        <v>530</v>
      </c>
      <c r="Z310" s="2">
        <v>900</v>
      </c>
      <c r="AA310" s="2" t="s">
        <v>1756</v>
      </c>
      <c r="AB310" s="2">
        <v>11334</v>
      </c>
      <c r="AC310" s="2">
        <v>282</v>
      </c>
      <c r="AD310" s="2">
        <v>4.8</v>
      </c>
      <c r="AE310" s="2">
        <v>0.03</v>
      </c>
      <c r="AF310" s="2" t="str" cm="1">
        <f t="array" ref="AF310">_xlfn.IFS(AE310=0, "No Discount ", AE310&lt;=0.08,"Low Discount", AE310&lt;=0.16,"Medium Discount", AE310&gt;0.16, "High Discount")</f>
        <v>Low Discount</v>
      </c>
      <c r="AG310" s="2">
        <v>28340</v>
      </c>
      <c r="AH310" s="2">
        <v>31.99</v>
      </c>
      <c r="AI310" s="2">
        <v>0.34</v>
      </c>
      <c r="AJ310" s="2" t="str" cm="1">
        <f t="array" ref="AJ310">_xlfn.IFS(AI310&lt;=0, "No Profit", AI310&lt;=0.16,"Low Profit",AI310&lt;=0.32,"Medium Profit",AI310&gt;0.32,"High Profit")</f>
        <v>High Profit</v>
      </c>
      <c r="AK310" s="2">
        <v>5</v>
      </c>
      <c r="AL310" s="2">
        <v>159.94999999999999</v>
      </c>
      <c r="AM310" s="2">
        <v>155.15</v>
      </c>
      <c r="AN310" s="2">
        <v>52.44</v>
      </c>
      <c r="AO310" s="2" t="s">
        <v>531</v>
      </c>
      <c r="AP310" s="2" t="s">
        <v>532</v>
      </c>
      <c r="AQ310" s="2" t="s">
        <v>80</v>
      </c>
      <c r="AR310" s="2" t="s">
        <v>81</v>
      </c>
      <c r="AS310" s="2">
        <v>282</v>
      </c>
      <c r="AT310" s="2">
        <v>13</v>
      </c>
      <c r="AU310" s="2" t="s">
        <v>1757</v>
      </c>
      <c r="AV310" s="2">
        <v>31.99</v>
      </c>
      <c r="AW310" s="2">
        <v>0</v>
      </c>
      <c r="AX310" s="2" t="s">
        <v>1758</v>
      </c>
      <c r="AY310" s="2" t="s">
        <v>83</v>
      </c>
      <c r="AZ310" s="4">
        <v>42170</v>
      </c>
      <c r="BA310" s="5">
        <v>0.43541666666666667</v>
      </c>
      <c r="BB310" s="2">
        <v>2015</v>
      </c>
      <c r="BC310" s="2" t="s">
        <v>474</v>
      </c>
      <c r="BD310" s="2">
        <v>15</v>
      </c>
      <c r="BE310" s="4">
        <v>42175</v>
      </c>
      <c r="BF310" s="5">
        <v>0.43541666666666667</v>
      </c>
      <c r="BG310" s="2" t="str" cm="1">
        <f t="array" ref="BG310">_xlfn.IFS(BF310&lt;TIMEVALUE("06:00"),"Night", BF310&gt;=TIMEVALUE("21:00"),"Night",BF310&gt;=TIMEVALUE("17:00"),"Evening",BF310&gt;=TIMEVALUE("12:00"),"Afternoon", BF310&gt;=TIMEVALUE("06:00"),"Morning")</f>
        <v>Morning</v>
      </c>
      <c r="BH310" s="2">
        <v>2015</v>
      </c>
      <c r="BI310" s="2" t="s">
        <v>474</v>
      </c>
      <c r="BJ310" s="2">
        <v>20</v>
      </c>
    </row>
    <row r="311" spans="1:62" x14ac:dyDescent="0.3">
      <c r="A311" s="2" t="s">
        <v>62</v>
      </c>
      <c r="B311" s="2">
        <v>6</v>
      </c>
      <c r="C311" s="2">
        <v>4</v>
      </c>
      <c r="D311" s="2">
        <v>9.6</v>
      </c>
      <c r="E311" s="2">
        <v>479.95</v>
      </c>
      <c r="F311" s="2" t="s">
        <v>87</v>
      </c>
      <c r="G311" s="2" t="s">
        <v>88</v>
      </c>
      <c r="H311" s="2">
        <v>9</v>
      </c>
      <c r="I311" s="2" t="s">
        <v>496</v>
      </c>
      <c r="J311" s="2" t="s">
        <v>1759</v>
      </c>
      <c r="K311" s="2" t="s">
        <v>102</v>
      </c>
      <c r="L311" s="2" t="s">
        <v>1760</v>
      </c>
      <c r="M311" s="2">
        <v>6217</v>
      </c>
      <c r="N311" s="2" t="s">
        <v>885</v>
      </c>
      <c r="O311" s="2" t="s">
        <v>70</v>
      </c>
      <c r="P311" s="2" t="s">
        <v>280</v>
      </c>
      <c r="Q311" s="2" t="s">
        <v>1761</v>
      </c>
      <c r="R311" s="2">
        <v>19067</v>
      </c>
      <c r="S311" s="2">
        <v>3</v>
      </c>
      <c r="T311" s="2" t="s">
        <v>466</v>
      </c>
      <c r="U311" s="2">
        <v>40.207389800000001</v>
      </c>
      <c r="V311" s="2">
        <v>-74.793479899999994</v>
      </c>
      <c r="W311" s="2" t="s">
        <v>528</v>
      </c>
      <c r="X311" s="2" t="s">
        <v>1762</v>
      </c>
      <c r="Y311" s="2" t="s">
        <v>904</v>
      </c>
      <c r="Z311" s="2">
        <v>6217</v>
      </c>
      <c r="AA311" s="3">
        <v>42893.960416666669</v>
      </c>
      <c r="AB311" s="2">
        <v>62885</v>
      </c>
      <c r="AC311" s="2">
        <v>191</v>
      </c>
      <c r="AD311" s="2">
        <v>20</v>
      </c>
      <c r="AE311" s="2">
        <v>0.04</v>
      </c>
      <c r="AF311" s="2" t="str" cm="1">
        <f t="array" ref="AF311">_xlfn.IFS(AE311=0, "No Discount ", AE311&lt;=0.08,"Low Discount", AE311&lt;=0.16,"Medium Discount", AE311&gt;0.16, "High Discount")</f>
        <v>Low Discount</v>
      </c>
      <c r="AG311" s="2">
        <v>157243</v>
      </c>
      <c r="AH311" s="2">
        <v>99.99</v>
      </c>
      <c r="AI311" s="2">
        <v>0.02</v>
      </c>
      <c r="AJ311" s="2" t="str" cm="1">
        <f t="array" ref="AJ311">_xlfn.IFS(AI311&lt;=0, "No Profit", AI311&lt;=0.16,"Low Profit",AI311&lt;=0.32,"Medium Profit",AI311&gt;0.32,"High Profit")</f>
        <v>Low Profit</v>
      </c>
      <c r="AK311" s="2">
        <v>5</v>
      </c>
      <c r="AL311" s="2">
        <v>499.95</v>
      </c>
      <c r="AM311" s="2">
        <v>479.95</v>
      </c>
      <c r="AN311" s="2">
        <v>9.6</v>
      </c>
      <c r="AO311" s="2" t="s">
        <v>905</v>
      </c>
      <c r="AP311" s="2" t="s">
        <v>1763</v>
      </c>
      <c r="AQ311" s="2" t="s">
        <v>80</v>
      </c>
      <c r="AR311" s="2" t="s">
        <v>81</v>
      </c>
      <c r="AS311" s="2">
        <v>191</v>
      </c>
      <c r="AT311" s="2">
        <v>9</v>
      </c>
      <c r="AU311" s="2" t="s">
        <v>505</v>
      </c>
      <c r="AV311" s="2">
        <v>99.99</v>
      </c>
      <c r="AW311" s="2">
        <v>0</v>
      </c>
      <c r="AX311" s="3">
        <v>43076.960416666669</v>
      </c>
      <c r="AY311" s="2" t="s">
        <v>83</v>
      </c>
      <c r="AZ311" s="4">
        <v>42893</v>
      </c>
      <c r="BA311" s="5">
        <v>0.9604166666666667</v>
      </c>
      <c r="BB311" s="2">
        <v>2017</v>
      </c>
      <c r="BC311" s="2" t="s">
        <v>474</v>
      </c>
      <c r="BD311" s="2">
        <v>7</v>
      </c>
      <c r="BE311" s="4">
        <v>43076</v>
      </c>
      <c r="BF311" s="5">
        <v>0.9604166666666667</v>
      </c>
      <c r="BG311" s="2" t="str" cm="1">
        <f t="array" ref="BG311">_xlfn.IFS(BF311&lt;TIMEVALUE("06:00"),"Night", BF311&gt;=TIMEVALUE("21:00"),"Night",BF311&gt;=TIMEVALUE("17:00"),"Evening",BF311&gt;=TIMEVALUE("12:00"),"Afternoon", BF311&gt;=TIMEVALUE("06:00"),"Morning")</f>
        <v>Night</v>
      </c>
      <c r="BH311" s="2">
        <v>2017</v>
      </c>
      <c r="BI311" s="2" t="s">
        <v>357</v>
      </c>
      <c r="BJ311" s="2">
        <v>7</v>
      </c>
    </row>
    <row r="312" spans="1:62" x14ac:dyDescent="0.3">
      <c r="A312" s="2" t="s">
        <v>62</v>
      </c>
      <c r="B312" s="2">
        <v>4</v>
      </c>
      <c r="C312" s="2">
        <v>4</v>
      </c>
      <c r="D312" s="2">
        <v>230.38</v>
      </c>
      <c r="E312" s="2">
        <v>479.95</v>
      </c>
      <c r="F312" s="2" t="s">
        <v>100</v>
      </c>
      <c r="G312" s="2" t="s">
        <v>64</v>
      </c>
      <c r="H312" s="2">
        <v>9</v>
      </c>
      <c r="I312" s="2" t="s">
        <v>496</v>
      </c>
      <c r="J312" s="2" t="s">
        <v>1764</v>
      </c>
      <c r="K312" s="2" t="s">
        <v>102</v>
      </c>
      <c r="L312" s="2" t="s">
        <v>414</v>
      </c>
      <c r="M312" s="2">
        <v>9466</v>
      </c>
      <c r="N312" s="2" t="s">
        <v>425</v>
      </c>
      <c r="O312" s="2" t="s">
        <v>70</v>
      </c>
      <c r="P312" s="2" t="s">
        <v>1765</v>
      </c>
      <c r="Q312" s="2" t="s">
        <v>1378</v>
      </c>
      <c r="R312" s="2">
        <v>38128</v>
      </c>
      <c r="S312" s="2">
        <v>3</v>
      </c>
      <c r="T312" s="2" t="s">
        <v>466</v>
      </c>
      <c r="U312" s="2">
        <v>35.213626900000001</v>
      </c>
      <c r="V312" s="2">
        <v>-89.826080300000001</v>
      </c>
      <c r="W312" s="2" t="s">
        <v>528</v>
      </c>
      <c r="X312" s="2" t="s">
        <v>1766</v>
      </c>
      <c r="Y312" s="2" t="s">
        <v>904</v>
      </c>
      <c r="Z312" s="2">
        <v>9466</v>
      </c>
      <c r="AA312" s="3">
        <v>42864.001388888886</v>
      </c>
      <c r="AB312" s="2">
        <v>66998</v>
      </c>
      <c r="AC312" s="2">
        <v>191</v>
      </c>
      <c r="AD312" s="2">
        <v>20</v>
      </c>
      <c r="AE312" s="2">
        <v>0.04</v>
      </c>
      <c r="AF312" s="2" t="str" cm="1">
        <f t="array" ref="AF312">_xlfn.IFS(AE312=0, "No Discount ", AE312&lt;=0.08,"Low Discount", AE312&lt;=0.16,"Medium Discount", AE312&gt;0.16, "High Discount")</f>
        <v>Low Discount</v>
      </c>
      <c r="AG312" s="2">
        <v>167475</v>
      </c>
      <c r="AH312" s="2">
        <v>99.99</v>
      </c>
      <c r="AI312" s="2">
        <v>0.48</v>
      </c>
      <c r="AJ312" s="2" t="str" cm="1">
        <f t="array" ref="AJ312">_xlfn.IFS(AI312&lt;=0, "No Profit", AI312&lt;=0.16,"Low Profit",AI312&lt;=0.32,"Medium Profit",AI312&gt;0.32,"High Profit")</f>
        <v>High Profit</v>
      </c>
      <c r="AK312" s="2">
        <v>5</v>
      </c>
      <c r="AL312" s="2">
        <v>499.95</v>
      </c>
      <c r="AM312" s="2">
        <v>479.95</v>
      </c>
      <c r="AN312" s="2">
        <v>230.38</v>
      </c>
      <c r="AO312" s="2" t="s">
        <v>905</v>
      </c>
      <c r="AP312" s="2" t="s">
        <v>1767</v>
      </c>
      <c r="AQ312" s="2" t="s">
        <v>80</v>
      </c>
      <c r="AR312" s="2" t="s">
        <v>81</v>
      </c>
      <c r="AS312" s="2">
        <v>191</v>
      </c>
      <c r="AT312" s="2">
        <v>9</v>
      </c>
      <c r="AU312" s="2" t="s">
        <v>505</v>
      </c>
      <c r="AV312" s="2">
        <v>99.99</v>
      </c>
      <c r="AW312" s="2">
        <v>0</v>
      </c>
      <c r="AX312" s="3">
        <v>42987.001388888886</v>
      </c>
      <c r="AY312" s="2" t="s">
        <v>83</v>
      </c>
      <c r="AZ312" s="4">
        <v>42864</v>
      </c>
      <c r="BA312" s="5">
        <v>1.3888888888888889E-3</v>
      </c>
      <c r="BB312" s="2">
        <v>2017</v>
      </c>
      <c r="BC312" s="2" t="s">
        <v>443</v>
      </c>
      <c r="BD312" s="2">
        <v>9</v>
      </c>
      <c r="BE312" s="4">
        <v>42987</v>
      </c>
      <c r="BF312" s="5">
        <v>1.3888888888888889E-3</v>
      </c>
      <c r="BG312" s="2" t="str" cm="1">
        <f t="array" ref="BG312">_xlfn.IFS(BF312&lt;TIMEVALUE("06:00"),"Night", BF312&gt;=TIMEVALUE("21:00"),"Night",BF312&gt;=TIMEVALUE("17:00"),"Evening",BF312&gt;=TIMEVALUE("12:00"),"Afternoon", BF312&gt;=TIMEVALUE("06:00"),"Morning")</f>
        <v>Night</v>
      </c>
      <c r="BH312" s="2">
        <v>2017</v>
      </c>
      <c r="BI312" s="2" t="s">
        <v>552</v>
      </c>
      <c r="BJ312" s="2">
        <v>9</v>
      </c>
    </row>
    <row r="313" spans="1:62" x14ac:dyDescent="0.3">
      <c r="A313" s="2" t="s">
        <v>62</v>
      </c>
      <c r="B313" s="2">
        <v>3</v>
      </c>
      <c r="C313" s="2">
        <v>4</v>
      </c>
      <c r="D313" s="2">
        <v>41.8</v>
      </c>
      <c r="E313" s="2">
        <v>474.95</v>
      </c>
      <c r="F313" s="2" t="s">
        <v>63</v>
      </c>
      <c r="G313" s="2" t="s">
        <v>64</v>
      </c>
      <c r="H313" s="2">
        <v>9</v>
      </c>
      <c r="I313" s="2" t="s">
        <v>496</v>
      </c>
      <c r="J313" s="2" t="s">
        <v>1768</v>
      </c>
      <c r="K313" s="2" t="s">
        <v>102</v>
      </c>
      <c r="L313" s="2" t="s">
        <v>414</v>
      </c>
      <c r="M313" s="2">
        <v>4596</v>
      </c>
      <c r="N313" s="2" t="s">
        <v>1769</v>
      </c>
      <c r="O313" s="2" t="s">
        <v>70</v>
      </c>
      <c r="P313" s="2" t="s">
        <v>1454</v>
      </c>
      <c r="Q313" s="2" t="s">
        <v>1770</v>
      </c>
      <c r="R313" s="2">
        <v>98023</v>
      </c>
      <c r="S313" s="2">
        <v>3</v>
      </c>
      <c r="T313" s="2" t="s">
        <v>466</v>
      </c>
      <c r="U313" s="2">
        <v>47.3030434</v>
      </c>
      <c r="V313" s="2">
        <v>-122.3528137</v>
      </c>
      <c r="W313" s="2" t="s">
        <v>528</v>
      </c>
      <c r="X313" s="2" t="s">
        <v>1771</v>
      </c>
      <c r="Y313" s="2" t="s">
        <v>1772</v>
      </c>
      <c r="Z313" s="2">
        <v>4596</v>
      </c>
      <c r="AA313" s="2" t="s">
        <v>1773</v>
      </c>
      <c r="AB313" s="2">
        <v>47002</v>
      </c>
      <c r="AC313" s="2">
        <v>191</v>
      </c>
      <c r="AD313" s="2">
        <v>25</v>
      </c>
      <c r="AE313" s="2">
        <v>0.05</v>
      </c>
      <c r="AF313" s="2" t="str" cm="1">
        <f t="array" ref="AF313">_xlfn.IFS(AE313=0, "No Discount ", AE313&lt;=0.08,"Low Discount", AE313&lt;=0.16,"Medium Discount", AE313&gt;0.16, "High Discount")</f>
        <v>Low Discount</v>
      </c>
      <c r="AG313" s="2">
        <v>117458</v>
      </c>
      <c r="AH313" s="2">
        <v>99.99</v>
      </c>
      <c r="AI313" s="2">
        <v>0.09</v>
      </c>
      <c r="AJ313" s="2" t="str" cm="1">
        <f t="array" ref="AJ313">_xlfn.IFS(AI313&lt;=0, "No Profit", AI313&lt;=0.16,"Low Profit",AI313&lt;=0.32,"Medium Profit",AI313&gt;0.32,"High Profit")</f>
        <v>Low Profit</v>
      </c>
      <c r="AK313" s="2">
        <v>5</v>
      </c>
      <c r="AL313" s="2">
        <v>499.95</v>
      </c>
      <c r="AM313" s="2">
        <v>474.95</v>
      </c>
      <c r="AN313" s="2">
        <v>41.8</v>
      </c>
      <c r="AO313" s="2" t="s">
        <v>1717</v>
      </c>
      <c r="AP313" s="2" t="s">
        <v>1774</v>
      </c>
      <c r="AQ313" s="2" t="s">
        <v>80</v>
      </c>
      <c r="AR313" s="2" t="s">
        <v>81</v>
      </c>
      <c r="AS313" s="2">
        <v>191</v>
      </c>
      <c r="AT313" s="2">
        <v>9</v>
      </c>
      <c r="AU313" s="2" t="s">
        <v>505</v>
      </c>
      <c r="AV313" s="2">
        <v>99.99</v>
      </c>
      <c r="AW313" s="2">
        <v>0</v>
      </c>
      <c r="AX313" s="2" t="s">
        <v>1775</v>
      </c>
      <c r="AY313" s="2" t="s">
        <v>83</v>
      </c>
      <c r="AZ313" s="4">
        <v>42691</v>
      </c>
      <c r="BA313" s="5">
        <v>0.10555555555555556</v>
      </c>
      <c r="BB313" s="2">
        <v>2016</v>
      </c>
      <c r="BC313" s="2" t="s">
        <v>455</v>
      </c>
      <c r="BD313" s="2">
        <v>17</v>
      </c>
      <c r="BE313" s="4">
        <v>42694</v>
      </c>
      <c r="BF313" s="5">
        <v>0.10555555555555556</v>
      </c>
      <c r="BG313" s="2" t="str" cm="1">
        <f t="array" ref="BG313">_xlfn.IFS(BF313&lt;TIMEVALUE("06:00"),"Night", BF313&gt;=TIMEVALUE("21:00"),"Night",BF313&gt;=TIMEVALUE("17:00"),"Evening",BF313&gt;=TIMEVALUE("12:00"),"Afternoon", BF313&gt;=TIMEVALUE("06:00"),"Morning")</f>
        <v>Night</v>
      </c>
      <c r="BH313" s="2">
        <v>2016</v>
      </c>
      <c r="BI313" s="2" t="s">
        <v>455</v>
      </c>
      <c r="BJ313" s="2">
        <v>20</v>
      </c>
    </row>
    <row r="314" spans="1:62" x14ac:dyDescent="0.3">
      <c r="A314" s="2" t="s">
        <v>62</v>
      </c>
      <c r="B314" s="2">
        <v>6</v>
      </c>
      <c r="C314" s="2">
        <v>4</v>
      </c>
      <c r="D314" s="2">
        <v>47.5</v>
      </c>
      <c r="E314" s="2">
        <v>474.95</v>
      </c>
      <c r="F314" s="2" t="s">
        <v>87</v>
      </c>
      <c r="G314" s="2" t="s">
        <v>88</v>
      </c>
      <c r="H314" s="2">
        <v>9</v>
      </c>
      <c r="I314" s="2" t="s">
        <v>496</v>
      </c>
      <c r="J314" s="2" t="s">
        <v>1331</v>
      </c>
      <c r="K314" s="2" t="s">
        <v>102</v>
      </c>
      <c r="L314" s="2" t="s">
        <v>414</v>
      </c>
      <c r="M314" s="2">
        <v>5206</v>
      </c>
      <c r="N314" s="2" t="s">
        <v>1776</v>
      </c>
      <c r="O314" s="2" t="s">
        <v>70</v>
      </c>
      <c r="P314" s="2" t="s">
        <v>105</v>
      </c>
      <c r="Q314" s="2" t="s">
        <v>1777</v>
      </c>
      <c r="R314" s="2">
        <v>92113</v>
      </c>
      <c r="S314" s="2">
        <v>3</v>
      </c>
      <c r="T314" s="2" t="s">
        <v>466</v>
      </c>
      <c r="U314" s="2">
        <v>32.695423099999999</v>
      </c>
      <c r="V314" s="2">
        <v>-117.0990067</v>
      </c>
      <c r="W314" s="2" t="s">
        <v>528</v>
      </c>
      <c r="X314" s="2" t="s">
        <v>1778</v>
      </c>
      <c r="Y314" s="2" t="s">
        <v>983</v>
      </c>
      <c r="Z314" s="2">
        <v>5206</v>
      </c>
      <c r="AA314" s="2" t="s">
        <v>1779</v>
      </c>
      <c r="AB314" s="2">
        <v>63445</v>
      </c>
      <c r="AC314" s="2">
        <v>191</v>
      </c>
      <c r="AD314" s="2">
        <v>25</v>
      </c>
      <c r="AE314" s="2">
        <v>0.05</v>
      </c>
      <c r="AF314" s="2" t="str" cm="1">
        <f t="array" ref="AF314">_xlfn.IFS(AE314=0, "No Discount ", AE314&lt;=0.08,"Low Discount", AE314&lt;=0.16,"Medium Discount", AE314&gt;0.16, "High Discount")</f>
        <v>Low Discount</v>
      </c>
      <c r="AG314" s="2">
        <v>158605</v>
      </c>
      <c r="AH314" s="2">
        <v>99.99</v>
      </c>
      <c r="AI314" s="2">
        <v>0.1</v>
      </c>
      <c r="AJ314" s="2" t="str" cm="1">
        <f t="array" ref="AJ314">_xlfn.IFS(AI314&lt;=0, "No Profit", AI314&lt;=0.16,"Low Profit",AI314&lt;=0.32,"Medium Profit",AI314&gt;0.32,"High Profit")</f>
        <v>Low Profit</v>
      </c>
      <c r="AK314" s="2">
        <v>5</v>
      </c>
      <c r="AL314" s="2">
        <v>499.95</v>
      </c>
      <c r="AM314" s="2">
        <v>474.95</v>
      </c>
      <c r="AN314" s="2">
        <v>47.5</v>
      </c>
      <c r="AO314" s="2" t="s">
        <v>905</v>
      </c>
      <c r="AP314" s="2" t="s">
        <v>1780</v>
      </c>
      <c r="AQ314" s="2" t="s">
        <v>80</v>
      </c>
      <c r="AR314" s="2" t="s">
        <v>81</v>
      </c>
      <c r="AS314" s="2">
        <v>191</v>
      </c>
      <c r="AT314" s="2">
        <v>9</v>
      </c>
      <c r="AU314" s="2" t="s">
        <v>505</v>
      </c>
      <c r="AV314" s="2">
        <v>99.99</v>
      </c>
      <c r="AW314" s="2">
        <v>0</v>
      </c>
      <c r="AX314" s="2" t="s">
        <v>1781</v>
      </c>
      <c r="AY314" s="2" t="s">
        <v>83</v>
      </c>
      <c r="AZ314" s="4">
        <v>42931</v>
      </c>
      <c r="BA314" s="5">
        <v>0.13541666666666666</v>
      </c>
      <c r="BB314" s="2">
        <v>2017</v>
      </c>
      <c r="BC314" s="2" t="s">
        <v>533</v>
      </c>
      <c r="BD314" s="2">
        <v>15</v>
      </c>
      <c r="BE314" s="4">
        <v>42937</v>
      </c>
      <c r="BF314" s="5">
        <v>0.13541666666666666</v>
      </c>
      <c r="BG314" s="2" t="str" cm="1">
        <f t="array" ref="BG314">_xlfn.IFS(BF314&lt;TIMEVALUE("06:00"),"Night", BF314&gt;=TIMEVALUE("21:00"),"Night",BF314&gt;=TIMEVALUE("17:00"),"Evening",BF314&gt;=TIMEVALUE("12:00"),"Afternoon", BF314&gt;=TIMEVALUE("06:00"),"Morning")</f>
        <v>Night</v>
      </c>
      <c r="BH314" s="2">
        <v>2017</v>
      </c>
      <c r="BI314" s="2" t="s">
        <v>533</v>
      </c>
      <c r="BJ314" s="2">
        <v>21</v>
      </c>
    </row>
    <row r="315" spans="1:62" x14ac:dyDescent="0.3">
      <c r="A315" s="2" t="s">
        <v>62</v>
      </c>
      <c r="B315" s="2">
        <v>2</v>
      </c>
      <c r="C315" s="2">
        <v>4</v>
      </c>
      <c r="D315" s="2">
        <v>218.48</v>
      </c>
      <c r="E315" s="2">
        <v>474.95</v>
      </c>
      <c r="F315" s="2" t="s">
        <v>63</v>
      </c>
      <c r="G315" s="2" t="s">
        <v>64</v>
      </c>
      <c r="H315" s="2">
        <v>9</v>
      </c>
      <c r="I315" s="2" t="s">
        <v>496</v>
      </c>
      <c r="J315" s="2" t="s">
        <v>1460</v>
      </c>
      <c r="K315" s="2" t="s">
        <v>102</v>
      </c>
      <c r="L315" s="2" t="s">
        <v>1782</v>
      </c>
      <c r="M315" s="2">
        <v>2823</v>
      </c>
      <c r="N315" s="2" t="s">
        <v>425</v>
      </c>
      <c r="O315" s="2" t="s">
        <v>70</v>
      </c>
      <c r="P315" s="2" t="s">
        <v>234</v>
      </c>
      <c r="Q315" s="2" t="s">
        <v>1783</v>
      </c>
      <c r="R315" s="2">
        <v>60626</v>
      </c>
      <c r="S315" s="2">
        <v>3</v>
      </c>
      <c r="T315" s="2" t="s">
        <v>466</v>
      </c>
      <c r="U315" s="2">
        <v>42.006359099999997</v>
      </c>
      <c r="V315" s="2">
        <v>-87.667396600000004</v>
      </c>
      <c r="W315" s="2" t="s">
        <v>528</v>
      </c>
      <c r="X315" s="2" t="s">
        <v>1784</v>
      </c>
      <c r="Y315" s="2" t="s">
        <v>536</v>
      </c>
      <c r="Z315" s="2">
        <v>2823</v>
      </c>
      <c r="AA315" s="2" t="s">
        <v>1785</v>
      </c>
      <c r="AB315" s="2">
        <v>67566</v>
      </c>
      <c r="AC315" s="2">
        <v>191</v>
      </c>
      <c r="AD315" s="2">
        <v>25</v>
      </c>
      <c r="AE315" s="2">
        <v>0.05</v>
      </c>
      <c r="AF315" s="2" t="str" cm="1">
        <f t="array" ref="AF315">_xlfn.IFS(AE315=0, "No Discount ", AE315&lt;=0.08,"Low Discount", AE315&lt;=0.16,"Medium Discount", AE315&gt;0.16, "High Discount")</f>
        <v>Low Discount</v>
      </c>
      <c r="AG315" s="2">
        <v>168920</v>
      </c>
      <c r="AH315" s="2">
        <v>99.99</v>
      </c>
      <c r="AI315" s="2">
        <v>0.46</v>
      </c>
      <c r="AJ315" s="2" t="str" cm="1">
        <f t="array" ref="AJ315">_xlfn.IFS(AI315&lt;=0, "No Profit", AI315&lt;=0.16,"Low Profit",AI315&lt;=0.32,"Medium Profit",AI315&gt;0.32,"High Profit")</f>
        <v>High Profit</v>
      </c>
      <c r="AK315" s="2">
        <v>5</v>
      </c>
      <c r="AL315" s="2">
        <v>499.95</v>
      </c>
      <c r="AM315" s="2">
        <v>474.95</v>
      </c>
      <c r="AN315" s="2">
        <v>218.48</v>
      </c>
      <c r="AO315" s="2" t="s">
        <v>531</v>
      </c>
      <c r="AP315" s="2" t="s">
        <v>538</v>
      </c>
      <c r="AQ315" s="2" t="s">
        <v>80</v>
      </c>
      <c r="AR315" s="2" t="s">
        <v>81</v>
      </c>
      <c r="AS315" s="2">
        <v>191</v>
      </c>
      <c r="AT315" s="2">
        <v>9</v>
      </c>
      <c r="AU315" s="2" t="s">
        <v>505</v>
      </c>
      <c r="AV315" s="2">
        <v>99.99</v>
      </c>
      <c r="AW315" s="2">
        <v>0</v>
      </c>
      <c r="AX315" s="2" t="s">
        <v>1786</v>
      </c>
      <c r="AY315" s="2" t="s">
        <v>83</v>
      </c>
      <c r="AZ315" s="4">
        <v>42991</v>
      </c>
      <c r="BA315" s="5">
        <v>0.29236111111111113</v>
      </c>
      <c r="BB315" s="2">
        <v>2017</v>
      </c>
      <c r="BC315" s="2" t="s">
        <v>552</v>
      </c>
      <c r="BD315" s="2">
        <v>13</v>
      </c>
      <c r="BE315" s="4">
        <v>42993</v>
      </c>
      <c r="BF315" s="5">
        <v>0.29236111111111113</v>
      </c>
      <c r="BG315" s="2" t="str" cm="1">
        <f t="array" ref="BG315">_xlfn.IFS(BF315&lt;TIMEVALUE("06:00"),"Night", BF315&gt;=TIMEVALUE("21:00"),"Night",BF315&gt;=TIMEVALUE("17:00"),"Evening",BF315&gt;=TIMEVALUE("12:00"),"Afternoon", BF315&gt;=TIMEVALUE("06:00"),"Morning")</f>
        <v>Morning</v>
      </c>
      <c r="BH315" s="2">
        <v>2017</v>
      </c>
      <c r="BI315" s="2" t="s">
        <v>552</v>
      </c>
      <c r="BJ315" s="2">
        <v>15</v>
      </c>
    </row>
    <row r="316" spans="1:62" x14ac:dyDescent="0.3">
      <c r="A316" s="2" t="s">
        <v>62</v>
      </c>
      <c r="B316" s="2">
        <v>5</v>
      </c>
      <c r="C316" s="2">
        <v>4</v>
      </c>
      <c r="D316" s="2">
        <v>-9.81</v>
      </c>
      <c r="E316" s="2">
        <v>166.2</v>
      </c>
      <c r="F316" s="2" t="s">
        <v>87</v>
      </c>
      <c r="G316" s="2" t="s">
        <v>88</v>
      </c>
      <c r="H316" s="2">
        <v>11</v>
      </c>
      <c r="I316" s="2" t="s">
        <v>1710</v>
      </c>
      <c r="J316" s="2" t="s">
        <v>110</v>
      </c>
      <c r="K316" s="2" t="s">
        <v>102</v>
      </c>
      <c r="L316" s="2" t="s">
        <v>698</v>
      </c>
      <c r="M316" s="2">
        <v>10408</v>
      </c>
      <c r="N316" s="2" t="s">
        <v>425</v>
      </c>
      <c r="O316" s="2" t="s">
        <v>70</v>
      </c>
      <c r="P316" s="2" t="s">
        <v>105</v>
      </c>
      <c r="Q316" s="2" t="s">
        <v>1787</v>
      </c>
      <c r="R316" s="2">
        <v>90027</v>
      </c>
      <c r="S316" s="2">
        <v>3</v>
      </c>
      <c r="T316" s="2" t="s">
        <v>466</v>
      </c>
      <c r="U316" s="2">
        <v>34.1259461</v>
      </c>
      <c r="V316" s="2">
        <v>-118.29101559999999</v>
      </c>
      <c r="W316" s="2" t="s">
        <v>528</v>
      </c>
      <c r="X316" s="2" t="s">
        <v>1788</v>
      </c>
      <c r="Y316" s="2" t="s">
        <v>536</v>
      </c>
      <c r="Z316" s="2">
        <v>10408</v>
      </c>
      <c r="AA316" s="3">
        <v>42073.647916666669</v>
      </c>
      <c r="AB316" s="2">
        <v>18884</v>
      </c>
      <c r="AC316" s="2">
        <v>235</v>
      </c>
      <c r="AD316" s="2">
        <v>8.75</v>
      </c>
      <c r="AE316" s="2">
        <v>0.05</v>
      </c>
      <c r="AF316" s="2" t="str" cm="1">
        <f t="array" ref="AF316">_xlfn.IFS(AE316=0, "No Discount ", AE316&lt;=0.08,"Low Discount", AE316&lt;=0.16,"Medium Discount", AE316&gt;0.16, "High Discount")</f>
        <v>Low Discount</v>
      </c>
      <c r="AG316" s="2">
        <v>47235</v>
      </c>
      <c r="AH316" s="2">
        <v>34.99</v>
      </c>
      <c r="AI316" s="2">
        <v>-0.06</v>
      </c>
      <c r="AJ316" s="2" t="str" cm="1">
        <f t="array" ref="AJ316">_xlfn.IFS(AI316&lt;=0, "No Profit", AI316&lt;=0.16,"Low Profit",AI316&lt;=0.32,"Medium Profit",AI316&gt;0.32,"High Profit")</f>
        <v>No Profit</v>
      </c>
      <c r="AK316" s="2">
        <v>5</v>
      </c>
      <c r="AL316" s="2">
        <v>174.95</v>
      </c>
      <c r="AM316" s="2">
        <v>166.2</v>
      </c>
      <c r="AN316" s="2">
        <v>-9.81</v>
      </c>
      <c r="AO316" s="2" t="s">
        <v>531</v>
      </c>
      <c r="AP316" s="2" t="s">
        <v>579</v>
      </c>
      <c r="AQ316" s="2" t="s">
        <v>80</v>
      </c>
      <c r="AR316" s="2" t="s">
        <v>81</v>
      </c>
      <c r="AS316" s="2">
        <v>235</v>
      </c>
      <c r="AT316" s="2">
        <v>11</v>
      </c>
      <c r="AU316" s="2" t="s">
        <v>1718</v>
      </c>
      <c r="AV316" s="2">
        <v>34.99</v>
      </c>
      <c r="AW316" s="2">
        <v>0</v>
      </c>
      <c r="AX316" s="3">
        <v>42226.647916666669</v>
      </c>
      <c r="AY316" s="2" t="s">
        <v>83</v>
      </c>
      <c r="AZ316" s="4">
        <v>42073</v>
      </c>
      <c r="BA316" s="5">
        <v>0.6479166666666667</v>
      </c>
      <c r="BB316" s="2">
        <v>2015</v>
      </c>
      <c r="BC316" s="2" t="s">
        <v>85</v>
      </c>
      <c r="BD316" s="2">
        <v>10</v>
      </c>
      <c r="BE316" s="4">
        <v>42226</v>
      </c>
      <c r="BF316" s="5">
        <v>0.6479166666666667</v>
      </c>
      <c r="BG316" s="2" t="str" cm="1">
        <f t="array" ref="BG316">_xlfn.IFS(BF316&lt;TIMEVALUE("06:00"),"Night", BF316&gt;=TIMEVALUE("21:00"),"Night",BF316&gt;=TIMEVALUE("17:00"),"Evening",BF316&gt;=TIMEVALUE("12:00"),"Afternoon", BF316&gt;=TIMEVALUE("06:00"),"Morning")</f>
        <v>Afternoon</v>
      </c>
      <c r="BH316" s="2">
        <v>2015</v>
      </c>
      <c r="BI316" s="2" t="s">
        <v>482</v>
      </c>
      <c r="BJ316" s="2">
        <v>10</v>
      </c>
    </row>
    <row r="317" spans="1:62" x14ac:dyDescent="0.3">
      <c r="A317" s="2" t="s">
        <v>62</v>
      </c>
      <c r="B317" s="2">
        <v>6</v>
      </c>
      <c r="C317" s="2">
        <v>4</v>
      </c>
      <c r="D317" s="2">
        <v>82.66</v>
      </c>
      <c r="E317" s="2">
        <v>165.33</v>
      </c>
      <c r="F317" s="2" t="s">
        <v>87</v>
      </c>
      <c r="G317" s="2" t="s">
        <v>88</v>
      </c>
      <c r="H317" s="2">
        <v>11</v>
      </c>
      <c r="I317" s="2" t="s">
        <v>1710</v>
      </c>
      <c r="J317" s="2" t="s">
        <v>1312</v>
      </c>
      <c r="K317" s="2" t="s">
        <v>102</v>
      </c>
      <c r="L317" s="2" t="s">
        <v>414</v>
      </c>
      <c r="M317" s="2">
        <v>11011</v>
      </c>
      <c r="N317" s="2" t="s">
        <v>1789</v>
      </c>
      <c r="O317" s="2" t="s">
        <v>70</v>
      </c>
      <c r="P317" s="2" t="s">
        <v>133</v>
      </c>
      <c r="Q317" s="2" t="s">
        <v>1790</v>
      </c>
      <c r="R317" s="2">
        <v>10457</v>
      </c>
      <c r="S317" s="2">
        <v>3</v>
      </c>
      <c r="T317" s="2" t="s">
        <v>466</v>
      </c>
      <c r="U317" s="2">
        <v>40.871429399999997</v>
      </c>
      <c r="V317" s="2">
        <v>-73.870636000000005</v>
      </c>
      <c r="W317" s="2" t="s">
        <v>528</v>
      </c>
      <c r="X317" s="2" t="s">
        <v>1791</v>
      </c>
      <c r="Y317" s="2" t="s">
        <v>1792</v>
      </c>
      <c r="Z317" s="2">
        <v>11011</v>
      </c>
      <c r="AA317" s="3">
        <v>42073.078472222223</v>
      </c>
      <c r="AB317" s="2">
        <v>18845</v>
      </c>
      <c r="AC317" s="2">
        <v>235</v>
      </c>
      <c r="AD317" s="2">
        <v>9.6199999999999992</v>
      </c>
      <c r="AE317" s="2">
        <v>0.06</v>
      </c>
      <c r="AF317" s="2" t="str" cm="1">
        <f t="array" ref="AF317">_xlfn.IFS(AE317=0, "No Discount ", AE317&lt;=0.08,"Low Discount", AE317&lt;=0.16,"Medium Discount", AE317&gt;0.16, "High Discount")</f>
        <v>Low Discount</v>
      </c>
      <c r="AG317" s="2">
        <v>47141</v>
      </c>
      <c r="AH317" s="2">
        <v>34.99</v>
      </c>
      <c r="AI317" s="2">
        <v>0.5</v>
      </c>
      <c r="AJ317" s="2" t="str" cm="1">
        <f t="array" ref="AJ317">_xlfn.IFS(AI317&lt;=0, "No Profit", AI317&lt;=0.16,"Low Profit",AI317&lt;=0.32,"Medium Profit",AI317&gt;0.32,"High Profit")</f>
        <v>High Profit</v>
      </c>
      <c r="AK317" s="2">
        <v>5</v>
      </c>
      <c r="AL317" s="2">
        <v>174.95</v>
      </c>
      <c r="AM317" s="2">
        <v>165.33</v>
      </c>
      <c r="AN317" s="2">
        <v>82.66</v>
      </c>
      <c r="AO317" s="2" t="s">
        <v>905</v>
      </c>
      <c r="AP317" s="2" t="s">
        <v>1793</v>
      </c>
      <c r="AQ317" s="2" t="s">
        <v>80</v>
      </c>
      <c r="AR317" s="2" t="s">
        <v>81</v>
      </c>
      <c r="AS317" s="2">
        <v>235</v>
      </c>
      <c r="AT317" s="2">
        <v>11</v>
      </c>
      <c r="AU317" s="2" t="s">
        <v>1718</v>
      </c>
      <c r="AV317" s="2">
        <v>34.99</v>
      </c>
      <c r="AW317" s="2">
        <v>0</v>
      </c>
      <c r="AX317" s="3">
        <v>42257.078472222223</v>
      </c>
      <c r="AY317" s="2" t="s">
        <v>83</v>
      </c>
      <c r="AZ317" s="4">
        <v>42073</v>
      </c>
      <c r="BA317" s="5">
        <v>7.8472222222222221E-2</v>
      </c>
      <c r="BB317" s="2">
        <v>2015</v>
      </c>
      <c r="BC317" s="2" t="s">
        <v>85</v>
      </c>
      <c r="BD317" s="2">
        <v>10</v>
      </c>
      <c r="BE317" s="4">
        <v>42257</v>
      </c>
      <c r="BF317" s="5">
        <v>7.8472222222222221E-2</v>
      </c>
      <c r="BG317" s="2" t="str" cm="1">
        <f t="array" ref="BG317">_xlfn.IFS(BF317&lt;TIMEVALUE("06:00"),"Night", BF317&gt;=TIMEVALUE("21:00"),"Night",BF317&gt;=TIMEVALUE("17:00"),"Evening",BF317&gt;=TIMEVALUE("12:00"),"Afternoon", BF317&gt;=TIMEVALUE("06:00"),"Morning")</f>
        <v>Night</v>
      </c>
      <c r="BH317" s="2">
        <v>2015</v>
      </c>
      <c r="BI317" s="2" t="s">
        <v>552</v>
      </c>
      <c r="BJ317" s="2">
        <v>10</v>
      </c>
    </row>
    <row r="318" spans="1:62" x14ac:dyDescent="0.3">
      <c r="A318" s="2" t="s">
        <v>62</v>
      </c>
      <c r="B318" s="2">
        <v>5</v>
      </c>
      <c r="C318" s="2">
        <v>4</v>
      </c>
      <c r="D318" s="2">
        <v>174.36</v>
      </c>
      <c r="E318" s="2">
        <v>464.95</v>
      </c>
      <c r="F318" s="2" t="s">
        <v>87</v>
      </c>
      <c r="G318" s="2" t="s">
        <v>88</v>
      </c>
      <c r="H318" s="2">
        <v>16</v>
      </c>
      <c r="I318" s="2" t="s">
        <v>1794</v>
      </c>
      <c r="J318" s="2" t="s">
        <v>239</v>
      </c>
      <c r="K318" s="2" t="s">
        <v>102</v>
      </c>
      <c r="L318" s="2" t="s">
        <v>414</v>
      </c>
      <c r="M318" s="2">
        <v>40</v>
      </c>
      <c r="N318" s="2" t="s">
        <v>425</v>
      </c>
      <c r="O318" s="2" t="s">
        <v>70</v>
      </c>
      <c r="P318" s="2" t="s">
        <v>105</v>
      </c>
      <c r="Q318" s="2" t="s">
        <v>1795</v>
      </c>
      <c r="R318" s="2">
        <v>90805</v>
      </c>
      <c r="S318" s="2">
        <v>3</v>
      </c>
      <c r="T318" s="2" t="s">
        <v>466</v>
      </c>
      <c r="U318" s="2">
        <v>33.566879299999997</v>
      </c>
      <c r="V318" s="2">
        <v>-117.7633209</v>
      </c>
      <c r="W318" s="2" t="s">
        <v>528</v>
      </c>
      <c r="X318" s="2" t="s">
        <v>1796</v>
      </c>
      <c r="Y318" s="2" t="s">
        <v>557</v>
      </c>
      <c r="Z318" s="2">
        <v>40</v>
      </c>
      <c r="AA318" s="3">
        <v>42775.899305555555</v>
      </c>
      <c r="AB318" s="2">
        <v>66854</v>
      </c>
      <c r="AC318" s="2">
        <v>359</v>
      </c>
      <c r="AD318" s="2">
        <v>35</v>
      </c>
      <c r="AE318" s="2">
        <v>7.0000000000000007E-2</v>
      </c>
      <c r="AF318" s="2" t="str" cm="1">
        <f t="array" ref="AF318">_xlfn.IFS(AE318=0, "No Discount ", AE318&lt;=0.08,"Low Discount", AE318&lt;=0.16,"Medium Discount", AE318&gt;0.16, "High Discount")</f>
        <v>Low Discount</v>
      </c>
      <c r="AG318" s="2">
        <v>167108</v>
      </c>
      <c r="AH318" s="2">
        <v>99.99</v>
      </c>
      <c r="AI318" s="2">
        <v>0.38</v>
      </c>
      <c r="AJ318" s="2" t="str" cm="1">
        <f t="array" ref="AJ318">_xlfn.IFS(AI318&lt;=0, "No Profit", AI318&lt;=0.16,"Low Profit",AI318&lt;=0.32,"Medium Profit",AI318&gt;0.32,"High Profit")</f>
        <v>High Profit</v>
      </c>
      <c r="AK318" s="2">
        <v>5</v>
      </c>
      <c r="AL318" s="2">
        <v>499.95</v>
      </c>
      <c r="AM318" s="2">
        <v>464.95</v>
      </c>
      <c r="AN318" s="2">
        <v>174.36</v>
      </c>
      <c r="AO318" s="2" t="s">
        <v>558</v>
      </c>
      <c r="AP318" s="2" t="s">
        <v>559</v>
      </c>
      <c r="AQ318" s="2" t="s">
        <v>80</v>
      </c>
      <c r="AR318" s="2" t="s">
        <v>81</v>
      </c>
      <c r="AS318" s="2">
        <v>359</v>
      </c>
      <c r="AT318" s="2">
        <v>16</v>
      </c>
      <c r="AU318" s="2" t="s">
        <v>1797</v>
      </c>
      <c r="AV318" s="2">
        <v>99.99</v>
      </c>
      <c r="AW318" s="2">
        <v>0</v>
      </c>
      <c r="AX318" s="3">
        <v>42925.899305555555</v>
      </c>
      <c r="AY318" s="2" t="s">
        <v>83</v>
      </c>
      <c r="AZ318" s="4">
        <v>42775</v>
      </c>
      <c r="BA318" s="5">
        <v>0.89930555555555558</v>
      </c>
      <c r="BB318" s="2">
        <v>2017</v>
      </c>
      <c r="BC318" s="2" t="s">
        <v>423</v>
      </c>
      <c r="BD318" s="2">
        <v>9</v>
      </c>
      <c r="BE318" s="4">
        <v>42925</v>
      </c>
      <c r="BF318" s="5">
        <v>0.89930555555555558</v>
      </c>
      <c r="BG318" s="2" t="str" cm="1">
        <f t="array" ref="BG318">_xlfn.IFS(BF318&lt;TIMEVALUE("06:00"),"Night", BF318&gt;=TIMEVALUE("21:00"),"Night",BF318&gt;=TIMEVALUE("17:00"),"Evening",BF318&gt;=TIMEVALUE("12:00"),"Afternoon", BF318&gt;=TIMEVALUE("06:00"),"Morning")</f>
        <v>Night</v>
      </c>
      <c r="BH318" s="2">
        <v>2017</v>
      </c>
      <c r="BI318" s="2" t="s">
        <v>533</v>
      </c>
      <c r="BJ318" s="2">
        <v>9</v>
      </c>
    </row>
    <row r="319" spans="1:62" x14ac:dyDescent="0.3">
      <c r="A319" s="2" t="s">
        <v>62</v>
      </c>
      <c r="B319" s="2">
        <v>6</v>
      </c>
      <c r="C319" s="2">
        <v>4</v>
      </c>
      <c r="D319" s="2">
        <v>159.22999999999999</v>
      </c>
      <c r="E319" s="2">
        <v>454.95</v>
      </c>
      <c r="F319" s="2" t="s">
        <v>87</v>
      </c>
      <c r="G319" s="2" t="s">
        <v>88</v>
      </c>
      <c r="H319" s="2">
        <v>9</v>
      </c>
      <c r="I319" s="2" t="s">
        <v>496</v>
      </c>
      <c r="J319" s="2" t="s">
        <v>1460</v>
      </c>
      <c r="K319" s="2" t="s">
        <v>102</v>
      </c>
      <c r="L319" s="2" t="s">
        <v>1798</v>
      </c>
      <c r="M319" s="2">
        <v>11636</v>
      </c>
      <c r="N319" s="2" t="s">
        <v>1799</v>
      </c>
      <c r="O319" s="2" t="s">
        <v>70</v>
      </c>
      <c r="P319" s="2" t="s">
        <v>234</v>
      </c>
      <c r="Q319" s="2" t="s">
        <v>1800</v>
      </c>
      <c r="R319" s="2">
        <v>60637</v>
      </c>
      <c r="S319" s="2">
        <v>3</v>
      </c>
      <c r="T319" s="2" t="s">
        <v>466</v>
      </c>
      <c r="U319" s="2">
        <v>41.882385300000003</v>
      </c>
      <c r="V319" s="2">
        <v>-88.201499900000002</v>
      </c>
      <c r="W319" s="2" t="s">
        <v>528</v>
      </c>
      <c r="X319" s="2" t="s">
        <v>1801</v>
      </c>
      <c r="Y319" s="2" t="s">
        <v>1802</v>
      </c>
      <c r="Z319" s="2">
        <v>11636</v>
      </c>
      <c r="AA319" s="2" t="s">
        <v>1803</v>
      </c>
      <c r="AB319" s="2">
        <v>46955</v>
      </c>
      <c r="AC319" s="2">
        <v>191</v>
      </c>
      <c r="AD319" s="2">
        <v>45</v>
      </c>
      <c r="AE319" s="2">
        <v>0.09</v>
      </c>
      <c r="AF319" s="2" t="str" cm="1">
        <f t="array" ref="AF319">_xlfn.IFS(AE319=0, "No Discount ", AE319&lt;=0.08,"Low Discount", AE319&lt;=0.16,"Medium Discount", AE319&gt;0.16, "High Discount")</f>
        <v>Medium Discount</v>
      </c>
      <c r="AG319" s="2">
        <v>117346</v>
      </c>
      <c r="AH319" s="2">
        <v>99.99</v>
      </c>
      <c r="AI319" s="2">
        <v>0.35</v>
      </c>
      <c r="AJ319" s="2" t="str" cm="1">
        <f t="array" ref="AJ319">_xlfn.IFS(AI319&lt;=0, "No Profit", AI319&lt;=0.16,"Low Profit",AI319&lt;=0.32,"Medium Profit",AI319&gt;0.32,"High Profit")</f>
        <v>High Profit</v>
      </c>
      <c r="AK319" s="2">
        <v>5</v>
      </c>
      <c r="AL319" s="2">
        <v>499.95</v>
      </c>
      <c r="AM319" s="2">
        <v>454.95</v>
      </c>
      <c r="AN319" s="2">
        <v>159.22999999999999</v>
      </c>
      <c r="AO319" s="2" t="s">
        <v>1717</v>
      </c>
      <c r="AP319" s="2" t="s">
        <v>1801</v>
      </c>
      <c r="AQ319" s="2" t="s">
        <v>80</v>
      </c>
      <c r="AR319" s="2" t="s">
        <v>81</v>
      </c>
      <c r="AS319" s="2">
        <v>191</v>
      </c>
      <c r="AT319" s="2">
        <v>9</v>
      </c>
      <c r="AU319" s="2" t="s">
        <v>505</v>
      </c>
      <c r="AV319" s="2">
        <v>99.99</v>
      </c>
      <c r="AW319" s="2">
        <v>0</v>
      </c>
      <c r="AX319" s="2" t="s">
        <v>1804</v>
      </c>
      <c r="AY319" s="2" t="s">
        <v>83</v>
      </c>
      <c r="AZ319" s="4">
        <v>42690</v>
      </c>
      <c r="BA319" s="5">
        <v>0.41944444444444445</v>
      </c>
      <c r="BB319" s="2">
        <v>2016</v>
      </c>
      <c r="BC319" s="2" t="s">
        <v>455</v>
      </c>
      <c r="BD319" s="2">
        <v>16</v>
      </c>
      <c r="BE319" s="4">
        <v>42696</v>
      </c>
      <c r="BF319" s="5">
        <v>0.41944444444444445</v>
      </c>
      <c r="BG319" s="2" t="str" cm="1">
        <f t="array" ref="BG319">_xlfn.IFS(BF319&lt;TIMEVALUE("06:00"),"Night", BF319&gt;=TIMEVALUE("21:00"),"Night",BF319&gt;=TIMEVALUE("17:00"),"Evening",BF319&gt;=TIMEVALUE("12:00"),"Afternoon", BF319&gt;=TIMEVALUE("06:00"),"Morning")</f>
        <v>Morning</v>
      </c>
      <c r="BH319" s="2">
        <v>2016</v>
      </c>
      <c r="BI319" s="2" t="s">
        <v>455</v>
      </c>
      <c r="BJ319" s="2">
        <v>22</v>
      </c>
    </row>
    <row r="320" spans="1:62" x14ac:dyDescent="0.3">
      <c r="A320" s="2" t="s">
        <v>86</v>
      </c>
      <c r="B320" s="2">
        <v>3</v>
      </c>
      <c r="C320" s="2">
        <v>4</v>
      </c>
      <c r="D320" s="2">
        <v>49.97</v>
      </c>
      <c r="E320" s="2">
        <v>101.98</v>
      </c>
      <c r="F320" s="2" t="s">
        <v>63</v>
      </c>
      <c r="G320" s="2" t="s">
        <v>64</v>
      </c>
      <c r="H320" s="2">
        <v>17</v>
      </c>
      <c r="I320" s="2" t="s">
        <v>412</v>
      </c>
      <c r="J320" s="2" t="s">
        <v>1805</v>
      </c>
      <c r="K320" s="2" t="s">
        <v>102</v>
      </c>
      <c r="L320" s="2" t="s">
        <v>1747</v>
      </c>
      <c r="M320" s="2">
        <v>7454</v>
      </c>
      <c r="N320" s="2" t="s">
        <v>232</v>
      </c>
      <c r="O320" s="2" t="s">
        <v>124</v>
      </c>
      <c r="P320" s="2" t="s">
        <v>105</v>
      </c>
      <c r="Q320" s="2" t="s">
        <v>1806</v>
      </c>
      <c r="R320" s="2">
        <v>91790</v>
      </c>
      <c r="S320" s="2">
        <v>4</v>
      </c>
      <c r="T320" s="2" t="s">
        <v>417</v>
      </c>
      <c r="U320" s="2">
        <v>34.0678749</v>
      </c>
      <c r="V320" s="2">
        <v>-117.92737579999999</v>
      </c>
      <c r="W320" s="2" t="s">
        <v>582</v>
      </c>
      <c r="X320" s="2" t="s">
        <v>1807</v>
      </c>
      <c r="Y320" s="2" t="s">
        <v>638</v>
      </c>
      <c r="Z320" s="2">
        <v>7454</v>
      </c>
      <c r="AA320" s="2" t="s">
        <v>1808</v>
      </c>
      <c r="AB320" s="2">
        <v>55002</v>
      </c>
      <c r="AC320" s="2">
        <v>365</v>
      </c>
      <c r="AD320" s="2">
        <v>18</v>
      </c>
      <c r="AE320" s="2">
        <v>0.15</v>
      </c>
      <c r="AF320" s="2" t="str" cm="1">
        <f t="array" ref="AF320">_xlfn.IFS(AE320=0, "No Discount ", AE320&lt;=0.08,"Low Discount", AE320&lt;=0.16,"Medium Discount", AE320&gt;0.16, "High Discount")</f>
        <v>Medium Discount</v>
      </c>
      <c r="AG320" s="2">
        <v>137558</v>
      </c>
      <c r="AH320" s="2">
        <v>59.99</v>
      </c>
      <c r="AI320" s="2">
        <v>0.49</v>
      </c>
      <c r="AJ320" s="2" t="str" cm="1">
        <f t="array" ref="AJ320">_xlfn.IFS(AI320&lt;=0, "No Profit", AI320&lt;=0.16,"Low Profit",AI320&lt;=0.32,"Medium Profit",AI320&gt;0.32,"High Profit")</f>
        <v>High Profit</v>
      </c>
      <c r="AK320" s="2">
        <v>2</v>
      </c>
      <c r="AL320" s="2">
        <v>119.98</v>
      </c>
      <c r="AM320" s="2">
        <v>101.98</v>
      </c>
      <c r="AN320" s="2">
        <v>49.97</v>
      </c>
      <c r="AO320" s="2" t="s">
        <v>586</v>
      </c>
      <c r="AP320" s="2" t="s">
        <v>647</v>
      </c>
      <c r="AQ320" s="2" t="s">
        <v>155</v>
      </c>
      <c r="AR320" s="2" t="s">
        <v>81</v>
      </c>
      <c r="AS320" s="2">
        <v>365</v>
      </c>
      <c r="AT320" s="2">
        <v>17</v>
      </c>
      <c r="AU320" s="2" t="s">
        <v>421</v>
      </c>
      <c r="AV320" s="2">
        <v>59.99</v>
      </c>
      <c r="AW320" s="2">
        <v>0</v>
      </c>
      <c r="AX320" s="2" t="s">
        <v>1809</v>
      </c>
      <c r="AY320" s="2" t="s">
        <v>83</v>
      </c>
      <c r="AZ320" s="4">
        <v>42807</v>
      </c>
      <c r="BA320" s="5">
        <v>0.88749999999999996</v>
      </c>
      <c r="BB320" s="2">
        <v>2017</v>
      </c>
      <c r="BC320" s="2" t="s">
        <v>85</v>
      </c>
      <c r="BD320" s="2">
        <v>13</v>
      </c>
      <c r="BE320" s="4">
        <v>42810</v>
      </c>
      <c r="BF320" s="5">
        <v>0.88749999999999996</v>
      </c>
      <c r="BG320" s="2" t="str" cm="1">
        <f t="array" ref="BG320">_xlfn.IFS(BF320&lt;TIMEVALUE("06:00"),"Night", BF320&gt;=TIMEVALUE("21:00"),"Night",BF320&gt;=TIMEVALUE("17:00"),"Evening",BF320&gt;=TIMEVALUE("12:00"),"Afternoon", BF320&gt;=TIMEVALUE("06:00"),"Morning")</f>
        <v>Night</v>
      </c>
      <c r="BH320" s="2">
        <v>2017</v>
      </c>
      <c r="BI320" s="2" t="s">
        <v>85</v>
      </c>
      <c r="BJ320" s="2">
        <v>16</v>
      </c>
    </row>
    <row r="321" spans="1:62" x14ac:dyDescent="0.3">
      <c r="A321" s="2" t="s">
        <v>86</v>
      </c>
      <c r="B321" s="2">
        <v>6</v>
      </c>
      <c r="C321" s="2">
        <v>4</v>
      </c>
      <c r="D321" s="2">
        <v>46.91</v>
      </c>
      <c r="E321" s="2">
        <v>101.98</v>
      </c>
      <c r="F321" s="2" t="s">
        <v>87</v>
      </c>
      <c r="G321" s="2" t="s">
        <v>88</v>
      </c>
      <c r="H321" s="2">
        <v>17</v>
      </c>
      <c r="I321" s="2" t="s">
        <v>412</v>
      </c>
      <c r="J321" s="2" t="s">
        <v>1810</v>
      </c>
      <c r="K321" s="2" t="s">
        <v>102</v>
      </c>
      <c r="L321" s="2" t="s">
        <v>1414</v>
      </c>
      <c r="M321" s="2">
        <v>5138</v>
      </c>
      <c r="N321" s="2" t="s">
        <v>1811</v>
      </c>
      <c r="O321" s="2" t="s">
        <v>124</v>
      </c>
      <c r="P321" s="2" t="s">
        <v>105</v>
      </c>
      <c r="Q321" s="2" t="s">
        <v>1812</v>
      </c>
      <c r="R321" s="2">
        <v>93003</v>
      </c>
      <c r="S321" s="2">
        <v>4</v>
      </c>
      <c r="T321" s="2" t="s">
        <v>417</v>
      </c>
      <c r="U321" s="2">
        <v>34.241249099999997</v>
      </c>
      <c r="V321" s="2">
        <v>-119.1945419</v>
      </c>
      <c r="W321" s="2" t="s">
        <v>582</v>
      </c>
      <c r="X321" s="2" t="s">
        <v>1813</v>
      </c>
      <c r="Y321" s="2" t="s">
        <v>615</v>
      </c>
      <c r="Z321" s="2">
        <v>5138</v>
      </c>
      <c r="AA321" s="3">
        <v>42741.342361111114</v>
      </c>
      <c r="AB321" s="2">
        <v>60445</v>
      </c>
      <c r="AC321" s="2">
        <v>365</v>
      </c>
      <c r="AD321" s="2">
        <v>18</v>
      </c>
      <c r="AE321" s="2">
        <v>0.15</v>
      </c>
      <c r="AF321" s="2" t="str" cm="1">
        <f t="array" ref="AF321">_xlfn.IFS(AE321=0, "No Discount ", AE321&lt;=0.08,"Low Discount", AE321&lt;=0.16,"Medium Discount", AE321&gt;0.16, "High Discount")</f>
        <v>Medium Discount</v>
      </c>
      <c r="AG321" s="2">
        <v>151253</v>
      </c>
      <c r="AH321" s="2">
        <v>59.99</v>
      </c>
      <c r="AI321" s="2">
        <v>0.46</v>
      </c>
      <c r="AJ321" s="2" t="str" cm="1">
        <f t="array" ref="AJ321">_xlfn.IFS(AI321&lt;=0, "No Profit", AI321&lt;=0.16,"Low Profit",AI321&lt;=0.32,"Medium Profit",AI321&gt;0.32,"High Profit")</f>
        <v>High Profit</v>
      </c>
      <c r="AK321" s="2">
        <v>2</v>
      </c>
      <c r="AL321" s="2">
        <v>119.98</v>
      </c>
      <c r="AM321" s="2">
        <v>101.98</v>
      </c>
      <c r="AN321" s="2">
        <v>46.91</v>
      </c>
      <c r="AO321" s="2" t="s">
        <v>607</v>
      </c>
      <c r="AP321" s="2" t="s">
        <v>1814</v>
      </c>
      <c r="AQ321" s="2" t="s">
        <v>155</v>
      </c>
      <c r="AR321" s="2" t="s">
        <v>81</v>
      </c>
      <c r="AS321" s="2">
        <v>365</v>
      </c>
      <c r="AT321" s="2">
        <v>17</v>
      </c>
      <c r="AU321" s="2" t="s">
        <v>421</v>
      </c>
      <c r="AV321" s="2">
        <v>59.99</v>
      </c>
      <c r="AW321" s="2">
        <v>0</v>
      </c>
      <c r="AX321" s="3">
        <v>42922.342361111114</v>
      </c>
      <c r="AY321" s="2" t="s">
        <v>83</v>
      </c>
      <c r="AZ321" s="4">
        <v>42741</v>
      </c>
      <c r="BA321" s="5">
        <v>0.34236111111111112</v>
      </c>
      <c r="BB321" s="2">
        <v>2017</v>
      </c>
      <c r="BC321" s="2" t="s">
        <v>84</v>
      </c>
      <c r="BD321" s="2">
        <v>6</v>
      </c>
      <c r="BE321" s="4">
        <v>42922</v>
      </c>
      <c r="BF321" s="5">
        <v>0.34236111111111112</v>
      </c>
      <c r="BG321" s="2" t="str" cm="1">
        <f t="array" ref="BG321">_xlfn.IFS(BF321&lt;TIMEVALUE("06:00"),"Night", BF321&gt;=TIMEVALUE("21:00"),"Night",BF321&gt;=TIMEVALUE("17:00"),"Evening",BF321&gt;=TIMEVALUE("12:00"),"Afternoon", BF321&gt;=TIMEVALUE("06:00"),"Morning")</f>
        <v>Morning</v>
      </c>
      <c r="BH321" s="2">
        <v>2017</v>
      </c>
      <c r="BI321" s="2" t="s">
        <v>533</v>
      </c>
      <c r="BJ321" s="2">
        <v>6</v>
      </c>
    </row>
    <row r="322" spans="1:62" x14ac:dyDescent="0.3">
      <c r="A322" s="2" t="s">
        <v>86</v>
      </c>
      <c r="B322" s="2">
        <v>2</v>
      </c>
      <c r="C322" s="2">
        <v>4</v>
      </c>
      <c r="D322" s="2">
        <v>32.36</v>
      </c>
      <c r="E322" s="2">
        <v>99.58</v>
      </c>
      <c r="F322" s="2" t="s">
        <v>63</v>
      </c>
      <c r="G322" s="2" t="s">
        <v>64</v>
      </c>
      <c r="H322" s="2">
        <v>17</v>
      </c>
      <c r="I322" s="2" t="s">
        <v>412</v>
      </c>
      <c r="J322" s="2" t="s">
        <v>471</v>
      </c>
      <c r="K322" s="2" t="s">
        <v>102</v>
      </c>
      <c r="L322" s="2" t="s">
        <v>414</v>
      </c>
      <c r="M322" s="2">
        <v>8696</v>
      </c>
      <c r="N322" s="2" t="s">
        <v>1815</v>
      </c>
      <c r="O322" s="2" t="s">
        <v>124</v>
      </c>
      <c r="P322" s="2" t="s">
        <v>1816</v>
      </c>
      <c r="Q322" s="2" t="s">
        <v>1817</v>
      </c>
      <c r="R322" s="2">
        <v>20009</v>
      </c>
      <c r="S322" s="2">
        <v>4</v>
      </c>
      <c r="T322" s="2" t="s">
        <v>417</v>
      </c>
      <c r="U322" s="2">
        <v>38.918262499999997</v>
      </c>
      <c r="V322" s="2">
        <v>-77.039466899999994</v>
      </c>
      <c r="W322" s="2" t="s">
        <v>582</v>
      </c>
      <c r="X322" s="2" t="s">
        <v>1818</v>
      </c>
      <c r="Y322" s="2" t="s">
        <v>638</v>
      </c>
      <c r="Z322" s="2">
        <v>8696</v>
      </c>
      <c r="AA322" s="2" t="s">
        <v>1819</v>
      </c>
      <c r="AB322" s="2">
        <v>53586</v>
      </c>
      <c r="AC322" s="2">
        <v>365</v>
      </c>
      <c r="AD322" s="2">
        <v>20.399999999999999</v>
      </c>
      <c r="AE322" s="2">
        <v>0.17</v>
      </c>
      <c r="AF322" s="2" t="str" cm="1">
        <f t="array" ref="AF322">_xlfn.IFS(AE322=0, "No Discount ", AE322&lt;=0.08,"Low Discount", AE322&lt;=0.16,"Medium Discount", AE322&gt;0.16, "High Discount")</f>
        <v>High Discount</v>
      </c>
      <c r="AG322" s="2">
        <v>133933</v>
      </c>
      <c r="AH322" s="2">
        <v>59.99</v>
      </c>
      <c r="AI322" s="2">
        <v>0.33</v>
      </c>
      <c r="AJ322" s="2" t="str" cm="1">
        <f t="array" ref="AJ322">_xlfn.IFS(AI322&lt;=0, "No Profit", AI322&lt;=0.16,"Low Profit",AI322&lt;=0.32,"Medium Profit",AI322&gt;0.32,"High Profit")</f>
        <v>High Profit</v>
      </c>
      <c r="AK322" s="2">
        <v>2</v>
      </c>
      <c r="AL322" s="2">
        <v>119.98</v>
      </c>
      <c r="AM322" s="2">
        <v>99.58</v>
      </c>
      <c r="AN322" s="2">
        <v>32.36</v>
      </c>
      <c r="AO322" s="2" t="s">
        <v>586</v>
      </c>
      <c r="AP322" s="2" t="s">
        <v>1818</v>
      </c>
      <c r="AQ322" s="2" t="s">
        <v>155</v>
      </c>
      <c r="AR322" s="2" t="s">
        <v>81</v>
      </c>
      <c r="AS322" s="2">
        <v>365</v>
      </c>
      <c r="AT322" s="2">
        <v>17</v>
      </c>
      <c r="AU322" s="2" t="s">
        <v>421</v>
      </c>
      <c r="AV322" s="2">
        <v>59.99</v>
      </c>
      <c r="AW322" s="2">
        <v>0</v>
      </c>
      <c r="AX322" s="2" t="s">
        <v>1820</v>
      </c>
      <c r="AY322" s="2" t="s">
        <v>83</v>
      </c>
      <c r="AZ322" s="4">
        <v>42787</v>
      </c>
      <c r="BA322" s="5">
        <v>0.21666666666666667</v>
      </c>
      <c r="BB322" s="2">
        <v>2017</v>
      </c>
      <c r="BC322" s="2" t="s">
        <v>423</v>
      </c>
      <c r="BD322" s="2">
        <v>21</v>
      </c>
      <c r="BE322" s="4">
        <v>42789</v>
      </c>
      <c r="BF322" s="5">
        <v>0.21666666666666667</v>
      </c>
      <c r="BG322" s="2" t="str" cm="1">
        <f t="array" ref="BG322">_xlfn.IFS(BF322&lt;TIMEVALUE("06:00"),"Night", BF322&gt;=TIMEVALUE("21:00"),"Night",BF322&gt;=TIMEVALUE("17:00"),"Evening",BF322&gt;=TIMEVALUE("12:00"),"Afternoon", BF322&gt;=TIMEVALUE("06:00"),"Morning")</f>
        <v>Night</v>
      </c>
      <c r="BH322" s="2">
        <v>2017</v>
      </c>
      <c r="BI322" s="2" t="s">
        <v>423</v>
      </c>
      <c r="BJ322" s="2">
        <v>23</v>
      </c>
    </row>
    <row r="323" spans="1:62" x14ac:dyDescent="0.3">
      <c r="A323" s="2" t="s">
        <v>86</v>
      </c>
      <c r="B323" s="2">
        <v>4</v>
      </c>
      <c r="C323" s="2">
        <v>4</v>
      </c>
      <c r="D323" s="2">
        <v>36.85</v>
      </c>
      <c r="E323" s="2">
        <v>99.58</v>
      </c>
      <c r="F323" s="2" t="s">
        <v>100</v>
      </c>
      <c r="G323" s="2" t="s">
        <v>64</v>
      </c>
      <c r="H323" s="2">
        <v>17</v>
      </c>
      <c r="I323" s="2" t="s">
        <v>412</v>
      </c>
      <c r="J323" s="2" t="s">
        <v>1821</v>
      </c>
      <c r="K323" s="2" t="s">
        <v>102</v>
      </c>
      <c r="L323" s="2" t="s">
        <v>414</v>
      </c>
      <c r="M323" s="2">
        <v>2329</v>
      </c>
      <c r="N323" s="2" t="s">
        <v>425</v>
      </c>
      <c r="O323" s="2" t="s">
        <v>124</v>
      </c>
      <c r="P323" s="2" t="s">
        <v>152</v>
      </c>
      <c r="Q323" s="2" t="s">
        <v>1822</v>
      </c>
      <c r="R323" s="2">
        <v>33594</v>
      </c>
      <c r="S323" s="2">
        <v>4</v>
      </c>
      <c r="T323" s="2" t="s">
        <v>417</v>
      </c>
      <c r="U323" s="2">
        <v>27.965654399999998</v>
      </c>
      <c r="V323" s="2">
        <v>-82.252807599999997</v>
      </c>
      <c r="W323" s="2" t="s">
        <v>582</v>
      </c>
      <c r="X323" s="2" t="s">
        <v>1823</v>
      </c>
      <c r="Y323" s="2" t="s">
        <v>638</v>
      </c>
      <c r="Z323" s="2">
        <v>2329</v>
      </c>
      <c r="AA323" s="3">
        <v>42890.477083333331</v>
      </c>
      <c r="AB323" s="2">
        <v>56618</v>
      </c>
      <c r="AC323" s="2">
        <v>365</v>
      </c>
      <c r="AD323" s="2">
        <v>20.399999999999999</v>
      </c>
      <c r="AE323" s="2">
        <v>0.17</v>
      </c>
      <c r="AF323" s="2" t="str" cm="1">
        <f t="array" ref="AF323">_xlfn.IFS(AE323=0, "No Discount ", AE323&lt;=0.08,"Low Discount", AE323&lt;=0.16,"Medium Discount", AE323&gt;0.16, "High Discount")</f>
        <v>High Discount</v>
      </c>
      <c r="AG323" s="2">
        <v>141623</v>
      </c>
      <c r="AH323" s="2">
        <v>59.99</v>
      </c>
      <c r="AI323" s="2">
        <v>0.37</v>
      </c>
      <c r="AJ323" s="2" t="str" cm="1">
        <f t="array" ref="AJ323">_xlfn.IFS(AI323&lt;=0, "No Profit", AI323&lt;=0.16,"Low Profit",AI323&lt;=0.32,"Medium Profit",AI323&gt;0.32,"High Profit")</f>
        <v>High Profit</v>
      </c>
      <c r="AK323" s="2">
        <v>2</v>
      </c>
      <c r="AL323" s="2">
        <v>119.98</v>
      </c>
      <c r="AM323" s="2">
        <v>99.58</v>
      </c>
      <c r="AN323" s="2">
        <v>36.85</v>
      </c>
      <c r="AO323" s="2" t="s">
        <v>586</v>
      </c>
      <c r="AP323" s="2" t="s">
        <v>1823</v>
      </c>
      <c r="AQ323" s="2" t="s">
        <v>155</v>
      </c>
      <c r="AR323" s="2" t="s">
        <v>81</v>
      </c>
      <c r="AS323" s="2">
        <v>365</v>
      </c>
      <c r="AT323" s="2">
        <v>17</v>
      </c>
      <c r="AU323" s="2" t="s">
        <v>421</v>
      </c>
      <c r="AV323" s="2">
        <v>59.99</v>
      </c>
      <c r="AW323" s="2">
        <v>0</v>
      </c>
      <c r="AX323" s="3">
        <v>43012.477083333331</v>
      </c>
      <c r="AY323" s="2" t="s">
        <v>83</v>
      </c>
      <c r="AZ323" s="4">
        <v>42890</v>
      </c>
      <c r="BA323" s="5">
        <v>0.47708333333333336</v>
      </c>
      <c r="BB323" s="2">
        <v>2017</v>
      </c>
      <c r="BC323" s="2" t="s">
        <v>474</v>
      </c>
      <c r="BD323" s="2">
        <v>4</v>
      </c>
      <c r="BE323" s="4">
        <v>43012</v>
      </c>
      <c r="BF323" s="5">
        <v>0.47708333333333336</v>
      </c>
      <c r="BG323" s="2" t="str" cm="1">
        <f t="array" ref="BG323">_xlfn.IFS(BF323&lt;TIMEVALUE("06:00"),"Night", BF323&gt;=TIMEVALUE("21:00"),"Night",BF323&gt;=TIMEVALUE("17:00"),"Evening",BF323&gt;=TIMEVALUE("12:00"),"Afternoon", BF323&gt;=TIMEVALUE("06:00"),"Morning")</f>
        <v>Morning</v>
      </c>
      <c r="BH323" s="2">
        <v>2017</v>
      </c>
      <c r="BI323" s="2" t="s">
        <v>434</v>
      </c>
      <c r="BJ323" s="2">
        <v>4</v>
      </c>
    </row>
    <row r="324" spans="1:62" x14ac:dyDescent="0.3">
      <c r="A324" s="2" t="s">
        <v>86</v>
      </c>
      <c r="B324" s="2">
        <v>6</v>
      </c>
      <c r="C324" s="2">
        <v>4</v>
      </c>
      <c r="D324" s="2">
        <v>49.79</v>
      </c>
      <c r="E324" s="2">
        <v>99.58</v>
      </c>
      <c r="F324" s="2" t="s">
        <v>87</v>
      </c>
      <c r="G324" s="2" t="s">
        <v>88</v>
      </c>
      <c r="H324" s="2">
        <v>17</v>
      </c>
      <c r="I324" s="2" t="s">
        <v>412</v>
      </c>
      <c r="J324" s="2" t="s">
        <v>1824</v>
      </c>
      <c r="K324" s="2" t="s">
        <v>102</v>
      </c>
      <c r="L324" s="2" t="s">
        <v>414</v>
      </c>
      <c r="M324" s="2">
        <v>12431</v>
      </c>
      <c r="N324" s="2" t="s">
        <v>661</v>
      </c>
      <c r="O324" s="2" t="s">
        <v>124</v>
      </c>
      <c r="P324" s="2" t="s">
        <v>1154</v>
      </c>
      <c r="Q324" s="2" t="s">
        <v>1825</v>
      </c>
      <c r="R324" s="2">
        <v>96744</v>
      </c>
      <c r="S324" s="2">
        <v>4</v>
      </c>
      <c r="T324" s="2" t="s">
        <v>417</v>
      </c>
      <c r="U324" s="2">
        <v>21.415550199999998</v>
      </c>
      <c r="V324" s="2">
        <v>-157.80389400000001</v>
      </c>
      <c r="W324" s="2" t="s">
        <v>582</v>
      </c>
      <c r="X324" s="2" t="s">
        <v>1826</v>
      </c>
      <c r="Y324" s="2" t="s">
        <v>632</v>
      </c>
      <c r="Z324" s="2">
        <v>12431</v>
      </c>
      <c r="AA324" s="2" t="s">
        <v>1827</v>
      </c>
      <c r="AB324" s="2">
        <v>51865</v>
      </c>
      <c r="AC324" s="2">
        <v>365</v>
      </c>
      <c r="AD324" s="2">
        <v>20.399999999999999</v>
      </c>
      <c r="AE324" s="2">
        <v>0.17</v>
      </c>
      <c r="AF324" s="2" t="str" cm="1">
        <f t="array" ref="AF324">_xlfn.IFS(AE324=0, "No Discount ", AE324&lt;=0.08,"Low Discount", AE324&lt;=0.16,"Medium Discount", AE324&gt;0.16, "High Discount")</f>
        <v>High Discount</v>
      </c>
      <c r="AG324" s="2">
        <v>129598</v>
      </c>
      <c r="AH324" s="2">
        <v>59.99</v>
      </c>
      <c r="AI324" s="2">
        <v>0.5</v>
      </c>
      <c r="AJ324" s="2" t="str" cm="1">
        <f t="array" ref="AJ324">_xlfn.IFS(AI324&lt;=0, "No Profit", AI324&lt;=0.16,"Low Profit",AI324&lt;=0.32,"Medium Profit",AI324&gt;0.32,"High Profit")</f>
        <v>High Profit</v>
      </c>
      <c r="AK324" s="2">
        <v>2</v>
      </c>
      <c r="AL324" s="2">
        <v>119.98</v>
      </c>
      <c r="AM324" s="2">
        <v>99.58</v>
      </c>
      <c r="AN324" s="2">
        <v>49.79</v>
      </c>
      <c r="AO324" s="2" t="s">
        <v>607</v>
      </c>
      <c r="AP324" s="2" t="s">
        <v>640</v>
      </c>
      <c r="AQ324" s="2" t="s">
        <v>155</v>
      </c>
      <c r="AR324" s="2" t="s">
        <v>81</v>
      </c>
      <c r="AS324" s="2">
        <v>365</v>
      </c>
      <c r="AT324" s="2">
        <v>17</v>
      </c>
      <c r="AU324" s="2" t="s">
        <v>421</v>
      </c>
      <c r="AV324" s="2">
        <v>59.99</v>
      </c>
      <c r="AW324" s="2">
        <v>0</v>
      </c>
      <c r="AX324" s="3">
        <v>42768.094444444447</v>
      </c>
      <c r="AY324" s="2" t="s">
        <v>83</v>
      </c>
      <c r="AZ324" s="4">
        <v>42762</v>
      </c>
      <c r="BA324" s="5">
        <v>9.4444444444444442E-2</v>
      </c>
      <c r="BB324" s="2">
        <v>2017</v>
      </c>
      <c r="BC324" s="2" t="s">
        <v>84</v>
      </c>
      <c r="BD324" s="2">
        <v>27</v>
      </c>
      <c r="BE324" s="4">
        <v>42768</v>
      </c>
      <c r="BF324" s="5">
        <v>9.4444444444444442E-2</v>
      </c>
      <c r="BG324" s="2" t="str" cm="1">
        <f t="array" ref="BG324">_xlfn.IFS(BF324&lt;TIMEVALUE("06:00"),"Night", BF324&gt;=TIMEVALUE("21:00"),"Night",BF324&gt;=TIMEVALUE("17:00"),"Evening",BF324&gt;=TIMEVALUE("12:00"),"Afternoon", BF324&gt;=TIMEVALUE("06:00"),"Morning")</f>
        <v>Night</v>
      </c>
      <c r="BH324" s="2">
        <v>2017</v>
      </c>
      <c r="BI324" s="2" t="s">
        <v>423</v>
      </c>
      <c r="BJ324" s="2">
        <v>2</v>
      </c>
    </row>
    <row r="325" spans="1:62" x14ac:dyDescent="0.3">
      <c r="A325" s="2" t="s">
        <v>86</v>
      </c>
      <c r="B325" s="2">
        <v>3</v>
      </c>
      <c r="C325" s="2">
        <v>4</v>
      </c>
      <c r="D325" s="2">
        <v>35</v>
      </c>
      <c r="E325" s="2">
        <v>100</v>
      </c>
      <c r="F325" s="2" t="s">
        <v>63</v>
      </c>
      <c r="G325" s="2" t="s">
        <v>64</v>
      </c>
      <c r="H325" s="2">
        <v>24</v>
      </c>
      <c r="I325" s="2" t="s">
        <v>435</v>
      </c>
      <c r="J325" s="2" t="s">
        <v>1810</v>
      </c>
      <c r="K325" s="2" t="s">
        <v>102</v>
      </c>
      <c r="L325" s="2" t="s">
        <v>414</v>
      </c>
      <c r="M325" s="2">
        <v>10860</v>
      </c>
      <c r="N325" s="2" t="s">
        <v>1462</v>
      </c>
      <c r="O325" s="2" t="s">
        <v>124</v>
      </c>
      <c r="P325" s="2" t="s">
        <v>105</v>
      </c>
      <c r="Q325" s="2" t="s">
        <v>1828</v>
      </c>
      <c r="R325" s="2">
        <v>93003</v>
      </c>
      <c r="S325" s="2">
        <v>5</v>
      </c>
      <c r="T325" s="2" t="s">
        <v>427</v>
      </c>
      <c r="U325" s="2">
        <v>34.2649422</v>
      </c>
      <c r="V325" s="2">
        <v>-119.218605</v>
      </c>
      <c r="W325" s="2" t="s">
        <v>582</v>
      </c>
      <c r="X325" s="2" t="s">
        <v>1829</v>
      </c>
      <c r="Y325" s="2" t="s">
        <v>632</v>
      </c>
      <c r="Z325" s="2">
        <v>10860</v>
      </c>
      <c r="AA325" s="3">
        <v>42340.85833333333</v>
      </c>
      <c r="AB325" s="2">
        <v>2937</v>
      </c>
      <c r="AC325" s="2">
        <v>502</v>
      </c>
      <c r="AD325" s="2">
        <v>0</v>
      </c>
      <c r="AE325" s="2">
        <v>0</v>
      </c>
      <c r="AF325" s="2" t="str" cm="1">
        <f t="array" ref="AF325">_xlfn.IFS(AE325=0, "No Discount ", AE325&lt;=0.08,"Low Discount", AE325&lt;=0.16,"Medium Discount", AE325&gt;0.16, "High Discount")</f>
        <v xml:space="preserve">No Discount </v>
      </c>
      <c r="AG325" s="2">
        <v>7333</v>
      </c>
      <c r="AH325" s="2">
        <v>50</v>
      </c>
      <c r="AI325" s="2">
        <v>0.35</v>
      </c>
      <c r="AJ325" s="2" t="str" cm="1">
        <f t="array" ref="AJ325">_xlfn.IFS(AI325&lt;=0, "No Profit", AI325&lt;=0.16,"Low Profit",AI325&lt;=0.32,"Medium Profit",AI325&gt;0.32,"High Profit")</f>
        <v>High Profit</v>
      </c>
      <c r="AK325" s="2">
        <v>2</v>
      </c>
      <c r="AL325" s="2">
        <v>100</v>
      </c>
      <c r="AM325" s="2">
        <v>100</v>
      </c>
      <c r="AN325" s="2">
        <v>35</v>
      </c>
      <c r="AO325" s="2" t="s">
        <v>607</v>
      </c>
      <c r="AP325" s="2" t="s">
        <v>1830</v>
      </c>
      <c r="AQ325" s="2" t="s">
        <v>155</v>
      </c>
      <c r="AR325" s="2" t="s">
        <v>81</v>
      </c>
      <c r="AS325" s="2">
        <v>502</v>
      </c>
      <c r="AT325" s="2">
        <v>24</v>
      </c>
      <c r="AU325" s="2" t="s">
        <v>442</v>
      </c>
      <c r="AV325" s="2">
        <v>50</v>
      </c>
      <c r="AW325" s="2">
        <v>0</v>
      </c>
      <c r="AX325" s="2" t="s">
        <v>1831</v>
      </c>
      <c r="AY325" s="2" t="s">
        <v>83</v>
      </c>
      <c r="AZ325" s="4">
        <v>42340</v>
      </c>
      <c r="BA325" s="5">
        <v>0.85833333333333328</v>
      </c>
      <c r="BB325" s="2">
        <v>2015</v>
      </c>
      <c r="BC325" s="2" t="s">
        <v>357</v>
      </c>
      <c r="BD325" s="2">
        <v>2</v>
      </c>
      <c r="BE325" s="4">
        <v>42050</v>
      </c>
      <c r="BF325" s="5">
        <v>0.85833333333333328</v>
      </c>
      <c r="BG325" s="2" t="str" cm="1">
        <f t="array" ref="BG325">_xlfn.IFS(BF325&lt;TIMEVALUE("06:00"),"Night", BF325&gt;=TIMEVALUE("21:00"),"Night",BF325&gt;=TIMEVALUE("17:00"),"Evening",BF325&gt;=TIMEVALUE("12:00"),"Afternoon", BF325&gt;=TIMEVALUE("06:00"),"Morning")</f>
        <v>Evening</v>
      </c>
      <c r="BH325" s="2">
        <v>2015</v>
      </c>
      <c r="BI325" s="2" t="s">
        <v>423</v>
      </c>
      <c r="BJ325" s="2">
        <v>15</v>
      </c>
    </row>
    <row r="326" spans="1:62" x14ac:dyDescent="0.3">
      <c r="A326" s="2" t="s">
        <v>86</v>
      </c>
      <c r="B326" s="2">
        <v>2</v>
      </c>
      <c r="C326" s="2">
        <v>4</v>
      </c>
      <c r="D326" s="2">
        <v>43</v>
      </c>
      <c r="E326" s="2">
        <v>100</v>
      </c>
      <c r="F326" s="2" t="s">
        <v>63</v>
      </c>
      <c r="G326" s="2" t="s">
        <v>64</v>
      </c>
      <c r="H326" s="2">
        <v>24</v>
      </c>
      <c r="I326" s="2" t="s">
        <v>435</v>
      </c>
      <c r="J326" s="2" t="s">
        <v>1832</v>
      </c>
      <c r="K326" s="2" t="s">
        <v>102</v>
      </c>
      <c r="L326" s="2" t="s">
        <v>414</v>
      </c>
      <c r="M326" s="2">
        <v>12094</v>
      </c>
      <c r="N326" s="2" t="s">
        <v>425</v>
      </c>
      <c r="O326" s="2" t="s">
        <v>124</v>
      </c>
      <c r="P326" s="2" t="s">
        <v>133</v>
      </c>
      <c r="Q326" s="2" t="s">
        <v>1833</v>
      </c>
      <c r="R326" s="2">
        <v>11218</v>
      </c>
      <c r="S326" s="2">
        <v>5</v>
      </c>
      <c r="T326" s="2" t="s">
        <v>427</v>
      </c>
      <c r="U326" s="2">
        <v>40.640594499999999</v>
      </c>
      <c r="V326" s="2">
        <v>-73.975189200000003</v>
      </c>
      <c r="W326" s="2" t="s">
        <v>582</v>
      </c>
      <c r="X326" s="2" t="s">
        <v>1834</v>
      </c>
      <c r="Y326" s="2" t="s">
        <v>632</v>
      </c>
      <c r="Z326" s="2">
        <v>12094</v>
      </c>
      <c r="AA326" s="3">
        <v>42858.770833333336</v>
      </c>
      <c r="AB326" s="2">
        <v>54446</v>
      </c>
      <c r="AC326" s="2">
        <v>502</v>
      </c>
      <c r="AD326" s="2">
        <v>0</v>
      </c>
      <c r="AE326" s="2">
        <v>0</v>
      </c>
      <c r="AF326" s="2" t="str" cm="1">
        <f t="array" ref="AF326">_xlfn.IFS(AE326=0, "No Discount ", AE326&lt;=0.08,"Low Discount", AE326&lt;=0.16,"Medium Discount", AE326&gt;0.16, "High Discount")</f>
        <v xml:space="preserve">No Discount </v>
      </c>
      <c r="AG326" s="2">
        <v>136156</v>
      </c>
      <c r="AH326" s="2">
        <v>50</v>
      </c>
      <c r="AI326" s="2">
        <v>0.43</v>
      </c>
      <c r="AJ326" s="2" t="str" cm="1">
        <f t="array" ref="AJ326">_xlfn.IFS(AI326&lt;=0, "No Profit", AI326&lt;=0.16,"Low Profit",AI326&lt;=0.32,"Medium Profit",AI326&gt;0.32,"High Profit")</f>
        <v>High Profit</v>
      </c>
      <c r="AK326" s="2">
        <v>2</v>
      </c>
      <c r="AL326" s="2">
        <v>100</v>
      </c>
      <c r="AM326" s="2">
        <v>100</v>
      </c>
      <c r="AN326" s="2">
        <v>43</v>
      </c>
      <c r="AO326" s="2" t="s">
        <v>607</v>
      </c>
      <c r="AP326" s="2" t="s">
        <v>1835</v>
      </c>
      <c r="AQ326" s="2" t="s">
        <v>155</v>
      </c>
      <c r="AR326" s="2" t="s">
        <v>81</v>
      </c>
      <c r="AS326" s="2">
        <v>502</v>
      </c>
      <c r="AT326" s="2">
        <v>24</v>
      </c>
      <c r="AU326" s="2" t="s">
        <v>442</v>
      </c>
      <c r="AV326" s="2">
        <v>50</v>
      </c>
      <c r="AW326" s="2">
        <v>0</v>
      </c>
      <c r="AX326" s="3">
        <v>42919.770833333336</v>
      </c>
      <c r="AY326" s="2" t="s">
        <v>83</v>
      </c>
      <c r="AZ326" s="4">
        <v>42858</v>
      </c>
      <c r="BA326" s="5">
        <v>0.77083333333333337</v>
      </c>
      <c r="BB326" s="2">
        <v>2017</v>
      </c>
      <c r="BC326" s="2" t="s">
        <v>443</v>
      </c>
      <c r="BD326" s="2">
        <v>3</v>
      </c>
      <c r="BE326" s="4">
        <v>42919</v>
      </c>
      <c r="BF326" s="5">
        <v>0.77083333333333337</v>
      </c>
      <c r="BG326" s="2" t="str" cm="1">
        <f t="array" ref="BG326">_xlfn.IFS(BF326&lt;TIMEVALUE("06:00"),"Night", BF326&gt;=TIMEVALUE("21:00"),"Night",BF326&gt;=TIMEVALUE("17:00"),"Evening",BF326&gt;=TIMEVALUE("12:00"),"Afternoon", BF326&gt;=TIMEVALUE("06:00"),"Morning")</f>
        <v>Evening</v>
      </c>
      <c r="BH326" s="2">
        <v>2017</v>
      </c>
      <c r="BI326" s="2" t="s">
        <v>533</v>
      </c>
      <c r="BJ326" s="2">
        <v>3</v>
      </c>
    </row>
    <row r="327" spans="1:62" x14ac:dyDescent="0.3">
      <c r="A327" s="2" t="s">
        <v>86</v>
      </c>
      <c r="B327" s="2">
        <v>4</v>
      </c>
      <c r="C327" s="2">
        <v>4</v>
      </c>
      <c r="D327" s="2">
        <v>0</v>
      </c>
      <c r="E327" s="2">
        <v>99</v>
      </c>
      <c r="F327" s="2" t="s">
        <v>100</v>
      </c>
      <c r="G327" s="2" t="s">
        <v>64</v>
      </c>
      <c r="H327" s="2">
        <v>24</v>
      </c>
      <c r="I327" s="2" t="s">
        <v>435</v>
      </c>
      <c r="J327" s="2" t="s">
        <v>1216</v>
      </c>
      <c r="K327" s="2" t="s">
        <v>102</v>
      </c>
      <c r="L327" s="2" t="s">
        <v>414</v>
      </c>
      <c r="M327" s="2">
        <v>5088</v>
      </c>
      <c r="N327" s="2" t="s">
        <v>425</v>
      </c>
      <c r="O327" s="2" t="s">
        <v>124</v>
      </c>
      <c r="P327" s="2" t="s">
        <v>105</v>
      </c>
      <c r="Q327" s="2" t="s">
        <v>1836</v>
      </c>
      <c r="R327" s="2">
        <v>92057</v>
      </c>
      <c r="S327" s="2">
        <v>5</v>
      </c>
      <c r="T327" s="2" t="s">
        <v>427</v>
      </c>
      <c r="U327" s="2">
        <v>33.225486799999999</v>
      </c>
      <c r="V327" s="2">
        <v>-117.30706790000001</v>
      </c>
      <c r="W327" s="2" t="s">
        <v>582</v>
      </c>
      <c r="X327" s="2" t="s">
        <v>1837</v>
      </c>
      <c r="Y327" s="2" t="s">
        <v>638</v>
      </c>
      <c r="Z327" s="2">
        <v>5088</v>
      </c>
      <c r="AA327" s="3">
        <v>42860.745138888888</v>
      </c>
      <c r="AB327" s="2">
        <v>58623</v>
      </c>
      <c r="AC327" s="2">
        <v>502</v>
      </c>
      <c r="AD327" s="2">
        <v>1</v>
      </c>
      <c r="AE327" s="2">
        <v>0.01</v>
      </c>
      <c r="AF327" s="2" t="str" cm="1">
        <f t="array" ref="AF327">_xlfn.IFS(AE327=0, "No Discount ", AE327&lt;=0.08,"Low Discount", AE327&lt;=0.16,"Medium Discount", AE327&gt;0.16, "High Discount")</f>
        <v>Low Discount</v>
      </c>
      <c r="AG327" s="2">
        <v>146742</v>
      </c>
      <c r="AH327" s="2">
        <v>50</v>
      </c>
      <c r="AI327" s="2">
        <v>0</v>
      </c>
      <c r="AJ327" s="2" t="str" cm="1">
        <f t="array" ref="AJ327">_xlfn.IFS(AI327&lt;=0, "No Profit", AI327&lt;=0.16,"Low Profit",AI327&lt;=0.32,"Medium Profit",AI327&gt;0.32,"High Profit")</f>
        <v>No Profit</v>
      </c>
      <c r="AK327" s="2">
        <v>2</v>
      </c>
      <c r="AL327" s="2">
        <v>100</v>
      </c>
      <c r="AM327" s="2">
        <v>99</v>
      </c>
      <c r="AN327" s="2">
        <v>0</v>
      </c>
      <c r="AO327" s="2" t="s">
        <v>586</v>
      </c>
      <c r="AP327" s="2" t="s">
        <v>1838</v>
      </c>
      <c r="AQ327" s="2" t="s">
        <v>155</v>
      </c>
      <c r="AR327" s="2" t="s">
        <v>81</v>
      </c>
      <c r="AS327" s="2">
        <v>502</v>
      </c>
      <c r="AT327" s="2">
        <v>24</v>
      </c>
      <c r="AU327" s="2" t="s">
        <v>442</v>
      </c>
      <c r="AV327" s="2">
        <v>50</v>
      </c>
      <c r="AW327" s="2">
        <v>0</v>
      </c>
      <c r="AX327" s="3">
        <v>42983.745138888888</v>
      </c>
      <c r="AY327" s="2" t="s">
        <v>83</v>
      </c>
      <c r="AZ327" s="4">
        <v>42860</v>
      </c>
      <c r="BA327" s="5">
        <v>0.74513888888888891</v>
      </c>
      <c r="BB327" s="2">
        <v>2017</v>
      </c>
      <c r="BC327" s="2" t="s">
        <v>443</v>
      </c>
      <c r="BD327" s="2">
        <v>5</v>
      </c>
      <c r="BE327" s="4">
        <v>42983</v>
      </c>
      <c r="BF327" s="5">
        <v>0.74513888888888891</v>
      </c>
      <c r="BG327" s="2" t="str" cm="1">
        <f t="array" ref="BG327">_xlfn.IFS(BF327&lt;TIMEVALUE("06:00"),"Night", BF327&gt;=TIMEVALUE("21:00"),"Night",BF327&gt;=TIMEVALUE("17:00"),"Evening",BF327&gt;=TIMEVALUE("12:00"),"Afternoon", BF327&gt;=TIMEVALUE("06:00"),"Morning")</f>
        <v>Evening</v>
      </c>
      <c r="BH327" s="2">
        <v>2017</v>
      </c>
      <c r="BI327" s="2" t="s">
        <v>552</v>
      </c>
      <c r="BJ327" s="2">
        <v>5</v>
      </c>
    </row>
    <row r="328" spans="1:62" x14ac:dyDescent="0.3">
      <c r="A328" s="2" t="s">
        <v>86</v>
      </c>
      <c r="B328" s="2">
        <v>2</v>
      </c>
      <c r="C328" s="2">
        <v>4</v>
      </c>
      <c r="D328" s="2">
        <v>21.77</v>
      </c>
      <c r="E328" s="2">
        <v>79.180000000000007</v>
      </c>
      <c r="F328" s="2" t="s">
        <v>63</v>
      </c>
      <c r="G328" s="2" t="s">
        <v>64</v>
      </c>
      <c r="H328" s="2">
        <v>29</v>
      </c>
      <c r="I328" s="2" t="s">
        <v>424</v>
      </c>
      <c r="J328" s="2" t="s">
        <v>1179</v>
      </c>
      <c r="K328" s="2" t="s">
        <v>102</v>
      </c>
      <c r="L328" s="2" t="s">
        <v>292</v>
      </c>
      <c r="M328" s="2">
        <v>2200</v>
      </c>
      <c r="N328" s="2" t="s">
        <v>1839</v>
      </c>
      <c r="O328" s="2" t="s">
        <v>124</v>
      </c>
      <c r="P328" s="2" t="s">
        <v>333</v>
      </c>
      <c r="Q328" s="2" t="s">
        <v>1840</v>
      </c>
      <c r="R328" s="2">
        <v>76116</v>
      </c>
      <c r="S328" s="2">
        <v>5</v>
      </c>
      <c r="T328" s="2" t="s">
        <v>427</v>
      </c>
      <c r="U328" s="2">
        <v>32.732307400000003</v>
      </c>
      <c r="V328" s="2">
        <v>-97.472908000000004</v>
      </c>
      <c r="W328" s="2" t="s">
        <v>582</v>
      </c>
      <c r="X328" s="2" t="s">
        <v>1841</v>
      </c>
      <c r="Y328" s="2" t="s">
        <v>615</v>
      </c>
      <c r="Z328" s="2">
        <v>2200</v>
      </c>
      <c r="AA328" s="2" t="s">
        <v>1842</v>
      </c>
      <c r="AB328" s="2">
        <v>7411</v>
      </c>
      <c r="AC328" s="2">
        <v>627</v>
      </c>
      <c r="AD328" s="2">
        <v>0.8</v>
      </c>
      <c r="AE328" s="2">
        <v>0.01</v>
      </c>
      <c r="AF328" s="2" t="str" cm="1">
        <f t="array" ref="AF328">_xlfn.IFS(AE328=0, "No Discount ", AE328&lt;=0.08,"Low Discount", AE328&lt;=0.16,"Medium Discount", AE328&gt;0.16, "High Discount")</f>
        <v>Low Discount</v>
      </c>
      <c r="AG328" s="2">
        <v>18572</v>
      </c>
      <c r="AH328" s="2">
        <v>39.99</v>
      </c>
      <c r="AI328" s="2">
        <v>0.28000000000000003</v>
      </c>
      <c r="AJ328" s="2" t="str" cm="1">
        <f t="array" ref="AJ328">_xlfn.IFS(AI328&lt;=0, "No Profit", AI328&lt;=0.16,"Low Profit",AI328&lt;=0.32,"Medium Profit",AI328&gt;0.32,"High Profit")</f>
        <v>Medium Profit</v>
      </c>
      <c r="AK328" s="2">
        <v>2</v>
      </c>
      <c r="AL328" s="2">
        <v>79.98</v>
      </c>
      <c r="AM328" s="2">
        <v>79.180000000000007</v>
      </c>
      <c r="AN328" s="2">
        <v>21.77</v>
      </c>
      <c r="AO328" s="2" t="s">
        <v>607</v>
      </c>
      <c r="AP328" s="2" t="s">
        <v>1843</v>
      </c>
      <c r="AQ328" s="2" t="s">
        <v>155</v>
      </c>
      <c r="AR328" s="2" t="s">
        <v>81</v>
      </c>
      <c r="AS328" s="2">
        <v>627</v>
      </c>
      <c r="AT328" s="2">
        <v>29</v>
      </c>
      <c r="AU328" s="2" t="s">
        <v>432</v>
      </c>
      <c r="AV328" s="2">
        <v>39.99</v>
      </c>
      <c r="AW328" s="2">
        <v>0</v>
      </c>
      <c r="AX328" s="2" t="s">
        <v>1844</v>
      </c>
      <c r="AY328" s="2" t="s">
        <v>83</v>
      </c>
      <c r="AZ328" s="4">
        <v>42113</v>
      </c>
      <c r="BA328" s="5">
        <v>0.16875000000000001</v>
      </c>
      <c r="BB328" s="2">
        <v>2015</v>
      </c>
      <c r="BC328" s="2" t="s">
        <v>487</v>
      </c>
      <c r="BD328" s="2">
        <v>19</v>
      </c>
      <c r="BE328" s="4">
        <v>42115</v>
      </c>
      <c r="BF328" s="5">
        <v>0.16875000000000001</v>
      </c>
      <c r="BG328" s="2" t="str" cm="1">
        <f t="array" ref="BG328">_xlfn.IFS(BF328&lt;TIMEVALUE("06:00"),"Night", BF328&gt;=TIMEVALUE("21:00"),"Night",BF328&gt;=TIMEVALUE("17:00"),"Evening",BF328&gt;=TIMEVALUE("12:00"),"Afternoon", BF328&gt;=TIMEVALUE("06:00"),"Morning")</f>
        <v>Night</v>
      </c>
      <c r="BH328" s="2">
        <v>2015</v>
      </c>
      <c r="BI328" s="2" t="s">
        <v>487</v>
      </c>
      <c r="BJ328" s="2">
        <v>21</v>
      </c>
    </row>
    <row r="329" spans="1:62" x14ac:dyDescent="0.3">
      <c r="A329" s="2" t="s">
        <v>86</v>
      </c>
      <c r="B329" s="2">
        <v>4</v>
      </c>
      <c r="C329" s="2">
        <v>4</v>
      </c>
      <c r="D329" s="2">
        <v>10.96</v>
      </c>
      <c r="E329" s="2">
        <v>97</v>
      </c>
      <c r="F329" s="2" t="s">
        <v>100</v>
      </c>
      <c r="G329" s="2" t="s">
        <v>64</v>
      </c>
      <c r="H329" s="2">
        <v>24</v>
      </c>
      <c r="I329" s="2" t="s">
        <v>435</v>
      </c>
      <c r="J329" s="2" t="s">
        <v>1467</v>
      </c>
      <c r="K329" s="2" t="s">
        <v>102</v>
      </c>
      <c r="L329" s="2" t="s">
        <v>1468</v>
      </c>
      <c r="M329" s="2">
        <v>10966</v>
      </c>
      <c r="N329" s="2" t="s">
        <v>1469</v>
      </c>
      <c r="O329" s="2" t="s">
        <v>124</v>
      </c>
      <c r="P329" s="2" t="s">
        <v>201</v>
      </c>
      <c r="Q329" s="2" t="s">
        <v>1470</v>
      </c>
      <c r="R329" s="2">
        <v>2360</v>
      </c>
      <c r="S329" s="2">
        <v>5</v>
      </c>
      <c r="T329" s="2" t="s">
        <v>427</v>
      </c>
      <c r="U329" s="2">
        <v>41.958511399999999</v>
      </c>
      <c r="V329" s="2">
        <v>-70.668617299999994</v>
      </c>
      <c r="W329" s="2" t="s">
        <v>582</v>
      </c>
      <c r="X329" s="2" t="s">
        <v>651</v>
      </c>
      <c r="Y329" s="2" t="s">
        <v>638</v>
      </c>
      <c r="Z329" s="2">
        <v>10966</v>
      </c>
      <c r="AA329" s="2" t="s">
        <v>1845</v>
      </c>
      <c r="AB329" s="2">
        <v>5348</v>
      </c>
      <c r="AC329" s="2">
        <v>502</v>
      </c>
      <c r="AD329" s="2">
        <v>3</v>
      </c>
      <c r="AE329" s="2">
        <v>0.03</v>
      </c>
      <c r="AF329" s="2" t="str" cm="1">
        <f t="array" ref="AF329">_xlfn.IFS(AE329=0, "No Discount ", AE329&lt;=0.08,"Low Discount", AE329&lt;=0.16,"Medium Discount", AE329&gt;0.16, "High Discount")</f>
        <v>Low Discount</v>
      </c>
      <c r="AG329" s="2">
        <v>13366</v>
      </c>
      <c r="AH329" s="2">
        <v>50</v>
      </c>
      <c r="AI329" s="2">
        <v>0.11</v>
      </c>
      <c r="AJ329" s="2" t="str" cm="1">
        <f t="array" ref="AJ329">_xlfn.IFS(AI329&lt;=0, "No Profit", AI329&lt;=0.16,"Low Profit",AI329&lt;=0.32,"Medium Profit",AI329&gt;0.32,"High Profit")</f>
        <v>Low Profit</v>
      </c>
      <c r="AK329" s="2">
        <v>2</v>
      </c>
      <c r="AL329" s="2">
        <v>100</v>
      </c>
      <c r="AM329" s="2">
        <v>97</v>
      </c>
      <c r="AN329" s="2">
        <v>10.96</v>
      </c>
      <c r="AO329" s="2" t="s">
        <v>586</v>
      </c>
      <c r="AP329" s="2" t="s">
        <v>651</v>
      </c>
      <c r="AQ329" s="2" t="s">
        <v>155</v>
      </c>
      <c r="AR329" s="2" t="s">
        <v>81</v>
      </c>
      <c r="AS329" s="2">
        <v>502</v>
      </c>
      <c r="AT329" s="2">
        <v>24</v>
      </c>
      <c r="AU329" s="2" t="s">
        <v>442</v>
      </c>
      <c r="AV329" s="2">
        <v>50</v>
      </c>
      <c r="AW329" s="2">
        <v>0</v>
      </c>
      <c r="AX329" s="2" t="s">
        <v>1846</v>
      </c>
      <c r="AY329" s="2" t="s">
        <v>83</v>
      </c>
      <c r="AZ329" s="4">
        <v>42083</v>
      </c>
      <c r="BA329" s="5">
        <v>5.347222222222222E-2</v>
      </c>
      <c r="BB329" s="2">
        <v>2015</v>
      </c>
      <c r="BC329" s="2" t="s">
        <v>85</v>
      </c>
      <c r="BD329" s="2">
        <v>20</v>
      </c>
      <c r="BE329" s="4">
        <v>42087</v>
      </c>
      <c r="BF329" s="5">
        <v>5.347222222222222E-2</v>
      </c>
      <c r="BG329" s="2" t="str" cm="1">
        <f t="array" ref="BG329">_xlfn.IFS(BF329&lt;TIMEVALUE("06:00"),"Night", BF329&gt;=TIMEVALUE("21:00"),"Night",BF329&gt;=TIMEVALUE("17:00"),"Evening",BF329&gt;=TIMEVALUE("12:00"),"Afternoon", BF329&gt;=TIMEVALUE("06:00"),"Morning")</f>
        <v>Night</v>
      </c>
      <c r="BH329" s="2">
        <v>2015</v>
      </c>
      <c r="BI329" s="2" t="s">
        <v>85</v>
      </c>
      <c r="BJ329" s="2">
        <v>24</v>
      </c>
    </row>
    <row r="330" spans="1:62" x14ac:dyDescent="0.3">
      <c r="A330" s="2" t="s">
        <v>86</v>
      </c>
      <c r="B330" s="2">
        <v>3</v>
      </c>
      <c r="C330" s="2">
        <v>4</v>
      </c>
      <c r="D330" s="2">
        <v>41.28</v>
      </c>
      <c r="E330" s="2">
        <v>96</v>
      </c>
      <c r="F330" s="2" t="s">
        <v>63</v>
      </c>
      <c r="G330" s="2" t="s">
        <v>64</v>
      </c>
      <c r="H330" s="2">
        <v>24</v>
      </c>
      <c r="I330" s="2" t="s">
        <v>435</v>
      </c>
      <c r="J330" s="2" t="s">
        <v>1832</v>
      </c>
      <c r="K330" s="2" t="s">
        <v>102</v>
      </c>
      <c r="L330" s="2" t="s">
        <v>1598</v>
      </c>
      <c r="M330" s="2">
        <v>3997</v>
      </c>
      <c r="N330" s="2" t="s">
        <v>1847</v>
      </c>
      <c r="O330" s="2" t="s">
        <v>124</v>
      </c>
      <c r="P330" s="2" t="s">
        <v>133</v>
      </c>
      <c r="Q330" s="2" t="s">
        <v>1848</v>
      </c>
      <c r="R330" s="2">
        <v>11218</v>
      </c>
      <c r="S330" s="2">
        <v>5</v>
      </c>
      <c r="T330" s="2" t="s">
        <v>427</v>
      </c>
      <c r="U330" s="2">
        <v>40.640594499999999</v>
      </c>
      <c r="V330" s="2">
        <v>-73.975189200000003</v>
      </c>
      <c r="W330" s="2" t="s">
        <v>582</v>
      </c>
      <c r="X330" s="2" t="s">
        <v>598</v>
      </c>
      <c r="Y330" s="2" t="s">
        <v>599</v>
      </c>
      <c r="Z330" s="2">
        <v>3997</v>
      </c>
      <c r="AA330" s="2" t="s">
        <v>1849</v>
      </c>
      <c r="AB330" s="2">
        <v>59742</v>
      </c>
      <c r="AC330" s="2">
        <v>502</v>
      </c>
      <c r="AD330" s="2">
        <v>4</v>
      </c>
      <c r="AE330" s="2">
        <v>0.04</v>
      </c>
      <c r="AF330" s="2" t="str" cm="1">
        <f t="array" ref="AF330">_xlfn.IFS(AE330=0, "No Discount ", AE330&lt;=0.08,"Low Discount", AE330&lt;=0.16,"Medium Discount", AE330&gt;0.16, "High Discount")</f>
        <v>Low Discount</v>
      </c>
      <c r="AG330" s="2">
        <v>149496</v>
      </c>
      <c r="AH330" s="2">
        <v>50</v>
      </c>
      <c r="AI330" s="2">
        <v>0.43</v>
      </c>
      <c r="AJ330" s="2" t="str" cm="1">
        <f t="array" ref="AJ330">_xlfn.IFS(AI330&lt;=0, "No Profit", AI330&lt;=0.16,"Low Profit",AI330&lt;=0.32,"Medium Profit",AI330&gt;0.32,"High Profit")</f>
        <v>High Profit</v>
      </c>
      <c r="AK330" s="2">
        <v>2</v>
      </c>
      <c r="AL330" s="2">
        <v>100</v>
      </c>
      <c r="AM330" s="2">
        <v>96</v>
      </c>
      <c r="AN330" s="2">
        <v>41.28</v>
      </c>
      <c r="AO330" s="2" t="s">
        <v>601</v>
      </c>
      <c r="AP330" s="2" t="s">
        <v>598</v>
      </c>
      <c r="AQ330" s="2" t="s">
        <v>155</v>
      </c>
      <c r="AR330" s="2" t="s">
        <v>81</v>
      </c>
      <c r="AS330" s="2">
        <v>502</v>
      </c>
      <c r="AT330" s="2">
        <v>24</v>
      </c>
      <c r="AU330" s="2" t="s">
        <v>442</v>
      </c>
      <c r="AV330" s="2">
        <v>50</v>
      </c>
      <c r="AW330" s="2">
        <v>0</v>
      </c>
      <c r="AX330" s="2" t="s">
        <v>1850</v>
      </c>
      <c r="AY330" s="2" t="s">
        <v>83</v>
      </c>
      <c r="AZ330" s="4">
        <v>42877</v>
      </c>
      <c r="BA330" s="5">
        <v>8.0555555555555561E-2</v>
      </c>
      <c r="BB330" s="2">
        <v>2017</v>
      </c>
      <c r="BC330" s="2" t="s">
        <v>443</v>
      </c>
      <c r="BD330" s="2">
        <v>22</v>
      </c>
      <c r="BE330" s="4">
        <v>42880</v>
      </c>
      <c r="BF330" s="5">
        <v>8.0555555555555561E-2</v>
      </c>
      <c r="BG330" s="2" t="str" cm="1">
        <f t="array" ref="BG330">_xlfn.IFS(BF330&lt;TIMEVALUE("06:00"),"Night", BF330&gt;=TIMEVALUE("21:00"),"Night",BF330&gt;=TIMEVALUE("17:00"),"Evening",BF330&gt;=TIMEVALUE("12:00"),"Afternoon", BF330&gt;=TIMEVALUE("06:00"),"Morning")</f>
        <v>Night</v>
      </c>
      <c r="BH330" s="2">
        <v>2017</v>
      </c>
      <c r="BI330" s="2" t="s">
        <v>443</v>
      </c>
      <c r="BJ330" s="2">
        <v>25</v>
      </c>
    </row>
    <row r="331" spans="1:62" x14ac:dyDescent="0.3">
      <c r="A331" s="2" t="s">
        <v>86</v>
      </c>
      <c r="B331" s="2">
        <v>4</v>
      </c>
      <c r="C331" s="2">
        <v>4</v>
      </c>
      <c r="D331" s="2">
        <v>26.87</v>
      </c>
      <c r="E331" s="2">
        <v>76.78</v>
      </c>
      <c r="F331" s="2" t="s">
        <v>100</v>
      </c>
      <c r="G331" s="2" t="s">
        <v>64</v>
      </c>
      <c r="H331" s="2">
        <v>29</v>
      </c>
      <c r="I331" s="2" t="s">
        <v>424</v>
      </c>
      <c r="J331" s="2" t="s">
        <v>1646</v>
      </c>
      <c r="K331" s="2" t="s">
        <v>102</v>
      </c>
      <c r="L331" s="2" t="s">
        <v>1667</v>
      </c>
      <c r="M331" s="2">
        <v>8746</v>
      </c>
      <c r="N331" s="2" t="s">
        <v>1851</v>
      </c>
      <c r="O331" s="2" t="s">
        <v>124</v>
      </c>
      <c r="P331" s="2" t="s">
        <v>1117</v>
      </c>
      <c r="Q331" s="2" t="s">
        <v>1852</v>
      </c>
      <c r="R331" s="2">
        <v>44120</v>
      </c>
      <c r="S331" s="2">
        <v>5</v>
      </c>
      <c r="T331" s="2" t="s">
        <v>427</v>
      </c>
      <c r="U331" s="2">
        <v>41.484268200000002</v>
      </c>
      <c r="V331" s="2">
        <v>-81.592269900000005</v>
      </c>
      <c r="W331" s="2" t="s">
        <v>582</v>
      </c>
      <c r="X331" s="2" t="s">
        <v>1853</v>
      </c>
      <c r="Y331" s="2" t="s">
        <v>638</v>
      </c>
      <c r="Z331" s="2">
        <v>8746</v>
      </c>
      <c r="AA331" s="2" t="s">
        <v>1854</v>
      </c>
      <c r="AB331" s="2">
        <v>59498</v>
      </c>
      <c r="AC331" s="2">
        <v>627</v>
      </c>
      <c r="AD331" s="2">
        <v>3.2</v>
      </c>
      <c r="AE331" s="2">
        <v>0.04</v>
      </c>
      <c r="AF331" s="2" t="str" cm="1">
        <f t="array" ref="AF331">_xlfn.IFS(AE331=0, "No Discount ", AE331&lt;=0.08,"Low Discount", AE331&lt;=0.16,"Medium Discount", AE331&gt;0.16, "High Discount")</f>
        <v>Low Discount</v>
      </c>
      <c r="AG331" s="2">
        <v>148919</v>
      </c>
      <c r="AH331" s="2">
        <v>39.99</v>
      </c>
      <c r="AI331" s="2">
        <v>0.35</v>
      </c>
      <c r="AJ331" s="2" t="str" cm="1">
        <f t="array" ref="AJ331">_xlfn.IFS(AI331&lt;=0, "No Profit", AI331&lt;=0.16,"Low Profit",AI331&lt;=0.32,"Medium Profit",AI331&gt;0.32,"High Profit")</f>
        <v>High Profit</v>
      </c>
      <c r="AK331" s="2">
        <v>2</v>
      </c>
      <c r="AL331" s="2">
        <v>79.98</v>
      </c>
      <c r="AM331" s="2">
        <v>76.78</v>
      </c>
      <c r="AN331" s="2">
        <v>26.87</v>
      </c>
      <c r="AO331" s="2" t="s">
        <v>586</v>
      </c>
      <c r="AP331" s="2" t="s">
        <v>1853</v>
      </c>
      <c r="AQ331" s="2" t="s">
        <v>155</v>
      </c>
      <c r="AR331" s="2" t="s">
        <v>81</v>
      </c>
      <c r="AS331" s="2">
        <v>627</v>
      </c>
      <c r="AT331" s="2">
        <v>29</v>
      </c>
      <c r="AU331" s="2" t="s">
        <v>432</v>
      </c>
      <c r="AV331" s="2">
        <v>39.99</v>
      </c>
      <c r="AW331" s="2">
        <v>0</v>
      </c>
      <c r="AX331" s="2" t="s">
        <v>1855</v>
      </c>
      <c r="AY331" s="2" t="s">
        <v>83</v>
      </c>
      <c r="AZ331" s="4">
        <v>42873</v>
      </c>
      <c r="BA331" s="5">
        <v>0.5180555555555556</v>
      </c>
      <c r="BB331" s="2">
        <v>2017</v>
      </c>
      <c r="BC331" s="2" t="s">
        <v>443</v>
      </c>
      <c r="BD331" s="2">
        <v>18</v>
      </c>
      <c r="BE331" s="4">
        <v>42877</v>
      </c>
      <c r="BF331" s="5">
        <v>0.5180555555555556</v>
      </c>
      <c r="BG331" s="2" t="str" cm="1">
        <f t="array" ref="BG331">_xlfn.IFS(BF331&lt;TIMEVALUE("06:00"),"Night", BF331&gt;=TIMEVALUE("21:00"),"Night",BF331&gt;=TIMEVALUE("17:00"),"Evening",BF331&gt;=TIMEVALUE("12:00"),"Afternoon", BF331&gt;=TIMEVALUE("06:00"),"Morning")</f>
        <v>Afternoon</v>
      </c>
      <c r="BH331" s="2">
        <v>2017</v>
      </c>
      <c r="BI331" s="2" t="s">
        <v>443</v>
      </c>
      <c r="BJ331" s="2">
        <v>22</v>
      </c>
    </row>
    <row r="332" spans="1:62" x14ac:dyDescent="0.3">
      <c r="A332" s="2" t="s">
        <v>86</v>
      </c>
      <c r="B332" s="2">
        <v>5</v>
      </c>
      <c r="C332" s="2">
        <v>4</v>
      </c>
      <c r="D332" s="2">
        <v>34.19</v>
      </c>
      <c r="E332" s="2">
        <v>75.98</v>
      </c>
      <c r="F332" s="2" t="s">
        <v>87</v>
      </c>
      <c r="G332" s="2" t="s">
        <v>88</v>
      </c>
      <c r="H332" s="2">
        <v>29</v>
      </c>
      <c r="I332" s="2" t="s">
        <v>424</v>
      </c>
      <c r="J332" s="2" t="s">
        <v>1147</v>
      </c>
      <c r="K332" s="2" t="s">
        <v>102</v>
      </c>
      <c r="L332" s="2" t="s">
        <v>414</v>
      </c>
      <c r="M332" s="2">
        <v>3687</v>
      </c>
      <c r="N332" s="2" t="s">
        <v>1856</v>
      </c>
      <c r="O332" s="2" t="s">
        <v>124</v>
      </c>
      <c r="P332" s="2" t="s">
        <v>280</v>
      </c>
      <c r="Q332" s="2" t="s">
        <v>1857</v>
      </c>
      <c r="R332" s="2">
        <v>19145</v>
      </c>
      <c r="S332" s="2">
        <v>5</v>
      </c>
      <c r="T332" s="2" t="s">
        <v>427</v>
      </c>
      <c r="U332" s="2">
        <v>39.924484300000003</v>
      </c>
      <c r="V332" s="2">
        <v>-75.175743100000005</v>
      </c>
      <c r="W332" s="2" t="s">
        <v>582</v>
      </c>
      <c r="X332" s="2" t="s">
        <v>1858</v>
      </c>
      <c r="Y332" s="2" t="s">
        <v>1859</v>
      </c>
      <c r="Z332" s="2">
        <v>3687</v>
      </c>
      <c r="AA332" s="2" t="s">
        <v>1860</v>
      </c>
      <c r="AB332" s="2">
        <v>3459</v>
      </c>
      <c r="AC332" s="2">
        <v>627</v>
      </c>
      <c r="AD332" s="2">
        <v>4</v>
      </c>
      <c r="AE332" s="2">
        <v>0.05</v>
      </c>
      <c r="AF332" s="2" t="str" cm="1">
        <f t="array" ref="AF332">_xlfn.IFS(AE332=0, "No Discount ", AE332&lt;=0.08,"Low Discount", AE332&lt;=0.16,"Medium Discount", AE332&gt;0.16, "High Discount")</f>
        <v>Low Discount</v>
      </c>
      <c r="AG332" s="2">
        <v>8590</v>
      </c>
      <c r="AH332" s="2">
        <v>39.99</v>
      </c>
      <c r="AI332" s="2">
        <v>0.45</v>
      </c>
      <c r="AJ332" s="2" t="str" cm="1">
        <f t="array" ref="AJ332">_xlfn.IFS(AI332&lt;=0, "No Profit", AI332&lt;=0.16,"Low Profit",AI332&lt;=0.32,"Medium Profit",AI332&gt;0.32,"High Profit")</f>
        <v>High Profit</v>
      </c>
      <c r="AK332" s="2">
        <v>2</v>
      </c>
      <c r="AL332" s="2">
        <v>79.98</v>
      </c>
      <c r="AM332" s="2">
        <v>75.98</v>
      </c>
      <c r="AN332" s="2">
        <v>34.19</v>
      </c>
      <c r="AO332" s="2" t="s">
        <v>601</v>
      </c>
      <c r="AP332" s="2" t="s">
        <v>1858</v>
      </c>
      <c r="AQ332" s="2" t="s">
        <v>155</v>
      </c>
      <c r="AR332" s="2" t="s">
        <v>81</v>
      </c>
      <c r="AS332" s="2">
        <v>627</v>
      </c>
      <c r="AT332" s="2">
        <v>29</v>
      </c>
      <c r="AU332" s="2" t="s">
        <v>432</v>
      </c>
      <c r="AV332" s="2">
        <v>39.99</v>
      </c>
      <c r="AW332" s="2">
        <v>0</v>
      </c>
      <c r="AX332" s="2" t="s">
        <v>1861</v>
      </c>
      <c r="AY332" s="2" t="s">
        <v>83</v>
      </c>
      <c r="AZ332" s="4">
        <v>42055</v>
      </c>
      <c r="BA332" s="5">
        <v>0.47847222222222224</v>
      </c>
      <c r="BB332" s="2">
        <v>2015</v>
      </c>
      <c r="BC332" s="2" t="s">
        <v>423</v>
      </c>
      <c r="BD332" s="2">
        <v>20</v>
      </c>
      <c r="BE332" s="4">
        <v>42060</v>
      </c>
      <c r="BF332" s="5">
        <v>0.47847222222222224</v>
      </c>
      <c r="BG332" s="2" t="str" cm="1">
        <f t="array" ref="BG332">_xlfn.IFS(BF332&lt;TIMEVALUE("06:00"),"Night", BF332&gt;=TIMEVALUE("21:00"),"Night",BF332&gt;=TIMEVALUE("17:00"),"Evening",BF332&gt;=TIMEVALUE("12:00"),"Afternoon", BF332&gt;=TIMEVALUE("06:00"),"Morning")</f>
        <v>Morning</v>
      </c>
      <c r="BH332" s="2">
        <v>2015</v>
      </c>
      <c r="BI332" s="2" t="s">
        <v>423</v>
      </c>
      <c r="BJ332" s="2">
        <v>25</v>
      </c>
    </row>
    <row r="333" spans="1:62" x14ac:dyDescent="0.3">
      <c r="A333" s="2" t="s">
        <v>86</v>
      </c>
      <c r="B333" s="2">
        <v>6</v>
      </c>
      <c r="C333" s="2">
        <v>4</v>
      </c>
      <c r="D333" s="2">
        <v>35.71</v>
      </c>
      <c r="E333" s="2">
        <v>75.98</v>
      </c>
      <c r="F333" s="2" t="s">
        <v>87</v>
      </c>
      <c r="G333" s="2" t="s">
        <v>88</v>
      </c>
      <c r="H333" s="2">
        <v>29</v>
      </c>
      <c r="I333" s="2" t="s">
        <v>424</v>
      </c>
      <c r="J333" s="2" t="s">
        <v>1862</v>
      </c>
      <c r="K333" s="2" t="s">
        <v>102</v>
      </c>
      <c r="L333" s="2" t="s">
        <v>680</v>
      </c>
      <c r="M333" s="2">
        <v>9162</v>
      </c>
      <c r="N333" s="2" t="s">
        <v>1863</v>
      </c>
      <c r="O333" s="2" t="s">
        <v>124</v>
      </c>
      <c r="P333" s="2" t="s">
        <v>105</v>
      </c>
      <c r="Q333" s="2" t="s">
        <v>1864</v>
      </c>
      <c r="R333" s="2">
        <v>95240</v>
      </c>
      <c r="S333" s="2">
        <v>5</v>
      </c>
      <c r="T333" s="2" t="s">
        <v>427</v>
      </c>
      <c r="U333" s="2">
        <v>38.116024000000003</v>
      </c>
      <c r="V333" s="2">
        <v>-121.3637238</v>
      </c>
      <c r="W333" s="2" t="s">
        <v>582</v>
      </c>
      <c r="X333" s="2" t="s">
        <v>784</v>
      </c>
      <c r="Y333" s="2" t="s">
        <v>584</v>
      </c>
      <c r="Z333" s="2">
        <v>9162</v>
      </c>
      <c r="AA333" s="3">
        <v>42099.62777777778</v>
      </c>
      <c r="AB333" s="2">
        <v>8470</v>
      </c>
      <c r="AC333" s="2">
        <v>627</v>
      </c>
      <c r="AD333" s="2">
        <v>4</v>
      </c>
      <c r="AE333" s="2">
        <v>0.05</v>
      </c>
      <c r="AF333" s="2" t="str" cm="1">
        <f t="array" ref="AF333">_xlfn.IFS(AE333=0, "No Discount ", AE333&lt;=0.08,"Low Discount", AE333&lt;=0.16,"Medium Discount", AE333&gt;0.16, "High Discount")</f>
        <v>Low Discount</v>
      </c>
      <c r="AG333" s="2">
        <v>21144</v>
      </c>
      <c r="AH333" s="2">
        <v>39.99</v>
      </c>
      <c r="AI333" s="2">
        <v>0.47</v>
      </c>
      <c r="AJ333" s="2" t="str" cm="1">
        <f t="array" ref="AJ333">_xlfn.IFS(AI333&lt;=0, "No Profit", AI333&lt;=0.16,"Low Profit",AI333&lt;=0.32,"Medium Profit",AI333&gt;0.32,"High Profit")</f>
        <v>High Profit</v>
      </c>
      <c r="AK333" s="2">
        <v>2</v>
      </c>
      <c r="AL333" s="2">
        <v>79.98</v>
      </c>
      <c r="AM333" s="2">
        <v>75.98</v>
      </c>
      <c r="AN333" s="2">
        <v>35.71</v>
      </c>
      <c r="AO333" s="2" t="s">
        <v>586</v>
      </c>
      <c r="AP333" s="2" t="s">
        <v>784</v>
      </c>
      <c r="AQ333" s="2" t="s">
        <v>155</v>
      </c>
      <c r="AR333" s="2" t="s">
        <v>81</v>
      </c>
      <c r="AS333" s="2">
        <v>627</v>
      </c>
      <c r="AT333" s="2">
        <v>29</v>
      </c>
      <c r="AU333" s="2" t="s">
        <v>432</v>
      </c>
      <c r="AV333" s="2">
        <v>39.99</v>
      </c>
      <c r="AW333" s="2">
        <v>0</v>
      </c>
      <c r="AX333" s="3">
        <v>42282.62777777778</v>
      </c>
      <c r="AY333" s="2" t="s">
        <v>83</v>
      </c>
      <c r="AZ333" s="4">
        <v>42099</v>
      </c>
      <c r="BA333" s="5">
        <v>0.62777777777777777</v>
      </c>
      <c r="BB333" s="2">
        <v>2015</v>
      </c>
      <c r="BC333" s="2" t="s">
        <v>487</v>
      </c>
      <c r="BD333" s="2">
        <v>5</v>
      </c>
      <c r="BE333" s="4">
        <v>42282</v>
      </c>
      <c r="BF333" s="5">
        <v>0.62777777777777777</v>
      </c>
      <c r="BG333" s="2" t="str" cm="1">
        <f t="array" ref="BG333">_xlfn.IFS(BF333&lt;TIMEVALUE("06:00"),"Night", BF333&gt;=TIMEVALUE("21:00"),"Night",BF333&gt;=TIMEVALUE("17:00"),"Evening",BF333&gt;=TIMEVALUE("12:00"),"Afternoon", BF333&gt;=TIMEVALUE("06:00"),"Morning")</f>
        <v>Afternoon</v>
      </c>
      <c r="BH333" s="2">
        <v>2015</v>
      </c>
      <c r="BI333" s="2" t="s">
        <v>434</v>
      </c>
      <c r="BJ333" s="2">
        <v>5</v>
      </c>
    </row>
    <row r="334" spans="1:62" x14ac:dyDescent="0.3">
      <c r="A334" s="2" t="s">
        <v>86</v>
      </c>
      <c r="B334" s="2">
        <v>6</v>
      </c>
      <c r="C334" s="2">
        <v>4</v>
      </c>
      <c r="D334" s="2">
        <v>11.88</v>
      </c>
      <c r="E334" s="2">
        <v>95</v>
      </c>
      <c r="F334" s="2" t="s">
        <v>87</v>
      </c>
      <c r="G334" s="2" t="s">
        <v>88</v>
      </c>
      <c r="H334" s="2">
        <v>24</v>
      </c>
      <c r="I334" s="2" t="s">
        <v>435</v>
      </c>
      <c r="J334" s="2" t="s">
        <v>1106</v>
      </c>
      <c r="K334" s="2" t="s">
        <v>102</v>
      </c>
      <c r="L334" s="2" t="s">
        <v>414</v>
      </c>
      <c r="M334" s="2">
        <v>8993</v>
      </c>
      <c r="N334" s="2" t="s">
        <v>425</v>
      </c>
      <c r="O334" s="2" t="s">
        <v>124</v>
      </c>
      <c r="P334" s="2" t="s">
        <v>105</v>
      </c>
      <c r="Q334" s="2" t="s">
        <v>1865</v>
      </c>
      <c r="R334" s="2">
        <v>93308</v>
      </c>
      <c r="S334" s="2">
        <v>5</v>
      </c>
      <c r="T334" s="2" t="s">
        <v>427</v>
      </c>
      <c r="U334" s="2">
        <v>35.401397699999997</v>
      </c>
      <c r="V334" s="2">
        <v>-119.0448837</v>
      </c>
      <c r="W334" s="2" t="s">
        <v>582</v>
      </c>
      <c r="X334" s="2" t="s">
        <v>721</v>
      </c>
      <c r="Y334" s="2" t="s">
        <v>632</v>
      </c>
      <c r="Z334" s="2">
        <v>8993</v>
      </c>
      <c r="AA334" s="2" t="s">
        <v>1866</v>
      </c>
      <c r="AB334" s="2">
        <v>53455</v>
      </c>
      <c r="AC334" s="2">
        <v>502</v>
      </c>
      <c r="AD334" s="2">
        <v>5</v>
      </c>
      <c r="AE334" s="2">
        <v>0.05</v>
      </c>
      <c r="AF334" s="2" t="str" cm="1">
        <f t="array" ref="AF334">_xlfn.IFS(AE334=0, "No Discount ", AE334&lt;=0.08,"Low Discount", AE334&lt;=0.16,"Medium Discount", AE334&gt;0.16, "High Discount")</f>
        <v>Low Discount</v>
      </c>
      <c r="AG334" s="2">
        <v>133575</v>
      </c>
      <c r="AH334" s="2">
        <v>50</v>
      </c>
      <c r="AI334" s="2">
        <v>0.13</v>
      </c>
      <c r="AJ334" s="2" t="str" cm="1">
        <f t="array" ref="AJ334">_xlfn.IFS(AI334&lt;=0, "No Profit", AI334&lt;=0.16,"Low Profit",AI334&lt;=0.32,"Medium Profit",AI334&gt;0.32,"High Profit")</f>
        <v>Low Profit</v>
      </c>
      <c r="AK334" s="2">
        <v>2</v>
      </c>
      <c r="AL334" s="2">
        <v>100</v>
      </c>
      <c r="AM334" s="2">
        <v>95</v>
      </c>
      <c r="AN334" s="2">
        <v>11.88</v>
      </c>
      <c r="AO334" s="2" t="s">
        <v>607</v>
      </c>
      <c r="AP334" s="2" t="s">
        <v>723</v>
      </c>
      <c r="AQ334" s="2" t="s">
        <v>155</v>
      </c>
      <c r="AR334" s="2" t="s">
        <v>81</v>
      </c>
      <c r="AS334" s="2">
        <v>502</v>
      </c>
      <c r="AT334" s="2">
        <v>24</v>
      </c>
      <c r="AU334" s="2" t="s">
        <v>442</v>
      </c>
      <c r="AV334" s="2">
        <v>50</v>
      </c>
      <c r="AW334" s="2">
        <v>0</v>
      </c>
      <c r="AX334" s="2" t="s">
        <v>1867</v>
      </c>
      <c r="AY334" s="2" t="s">
        <v>83</v>
      </c>
      <c r="AZ334" s="4">
        <v>42785</v>
      </c>
      <c r="BA334" s="5">
        <v>0.30486111111111114</v>
      </c>
      <c r="BB334" s="2">
        <v>2017</v>
      </c>
      <c r="BC334" s="2" t="s">
        <v>423</v>
      </c>
      <c r="BD334" s="2">
        <v>19</v>
      </c>
      <c r="BE334" s="4">
        <v>42791</v>
      </c>
      <c r="BF334" s="5">
        <v>0.30486111111111114</v>
      </c>
      <c r="BG334" s="2" t="str" cm="1">
        <f t="array" ref="BG334">_xlfn.IFS(BF334&lt;TIMEVALUE("06:00"),"Night", BF334&gt;=TIMEVALUE("21:00"),"Night",BF334&gt;=TIMEVALUE("17:00"),"Evening",BF334&gt;=TIMEVALUE("12:00"),"Afternoon", BF334&gt;=TIMEVALUE("06:00"),"Morning")</f>
        <v>Morning</v>
      </c>
      <c r="BH334" s="2">
        <v>2017</v>
      </c>
      <c r="BI334" s="2" t="s">
        <v>423</v>
      </c>
      <c r="BJ334" s="2">
        <v>25</v>
      </c>
    </row>
    <row r="335" spans="1:62" x14ac:dyDescent="0.3">
      <c r="A335" s="2" t="s">
        <v>86</v>
      </c>
      <c r="B335" s="2">
        <v>5</v>
      </c>
      <c r="C335" s="2">
        <v>4</v>
      </c>
      <c r="D335" s="2">
        <v>18.52</v>
      </c>
      <c r="E335" s="2">
        <v>132.30000000000001</v>
      </c>
      <c r="F335" s="2" t="s">
        <v>87</v>
      </c>
      <c r="G335" s="2" t="s">
        <v>88</v>
      </c>
      <c r="H335" s="2">
        <v>26</v>
      </c>
      <c r="I335" s="2" t="s">
        <v>1132</v>
      </c>
      <c r="J335" s="2" t="s">
        <v>1147</v>
      </c>
      <c r="K335" s="2" t="s">
        <v>102</v>
      </c>
      <c r="L335" s="2" t="s">
        <v>414</v>
      </c>
      <c r="M335" s="2">
        <v>5875</v>
      </c>
      <c r="N335" s="2" t="s">
        <v>1868</v>
      </c>
      <c r="O335" s="2" t="s">
        <v>124</v>
      </c>
      <c r="P335" s="2" t="s">
        <v>280</v>
      </c>
      <c r="Q335" s="2" t="s">
        <v>1869</v>
      </c>
      <c r="R335" s="2">
        <v>19143</v>
      </c>
      <c r="S335" s="2">
        <v>5</v>
      </c>
      <c r="T335" s="2" t="s">
        <v>427</v>
      </c>
      <c r="U335" s="2">
        <v>39.946628599999997</v>
      </c>
      <c r="V335" s="2">
        <v>-75.218223600000002</v>
      </c>
      <c r="W335" s="2" t="s">
        <v>582</v>
      </c>
      <c r="X335" s="2" t="s">
        <v>645</v>
      </c>
      <c r="Y335" s="2" t="s">
        <v>638</v>
      </c>
      <c r="Z335" s="2">
        <v>5875</v>
      </c>
      <c r="AA335" s="2" t="s">
        <v>1870</v>
      </c>
      <c r="AB335" s="2">
        <v>2014</v>
      </c>
      <c r="AC335" s="2">
        <v>565</v>
      </c>
      <c r="AD335" s="2">
        <v>7.7</v>
      </c>
      <c r="AE335" s="2">
        <v>0.06</v>
      </c>
      <c r="AF335" s="2" t="str" cm="1">
        <f t="array" ref="AF335">_xlfn.IFS(AE335=0, "No Discount ", AE335&lt;=0.08,"Low Discount", AE335&lt;=0.16,"Medium Discount", AE335&gt;0.16, "High Discount")</f>
        <v>Low Discount</v>
      </c>
      <c r="AG335" s="2">
        <v>5047</v>
      </c>
      <c r="AH335" s="2">
        <v>70</v>
      </c>
      <c r="AI335" s="2">
        <v>0.14000000000000001</v>
      </c>
      <c r="AJ335" s="2" t="str" cm="1">
        <f t="array" ref="AJ335">_xlfn.IFS(AI335&lt;=0, "No Profit", AI335&lt;=0.16,"Low Profit",AI335&lt;=0.32,"Medium Profit",AI335&gt;0.32,"High Profit")</f>
        <v>Low Profit</v>
      </c>
      <c r="AK335" s="2">
        <v>2</v>
      </c>
      <c r="AL335" s="2">
        <v>140</v>
      </c>
      <c r="AM335" s="2">
        <v>132.30000000000001</v>
      </c>
      <c r="AN335" s="2">
        <v>18.52</v>
      </c>
      <c r="AO335" s="2" t="s">
        <v>586</v>
      </c>
      <c r="AP335" s="2" t="s">
        <v>647</v>
      </c>
      <c r="AQ335" s="2" t="s">
        <v>155</v>
      </c>
      <c r="AR335" s="2" t="s">
        <v>81</v>
      </c>
      <c r="AS335" s="2">
        <v>565</v>
      </c>
      <c r="AT335" s="2">
        <v>26</v>
      </c>
      <c r="AU335" s="2" t="s">
        <v>1871</v>
      </c>
      <c r="AV335" s="2">
        <v>70</v>
      </c>
      <c r="AW335" s="2">
        <v>0</v>
      </c>
      <c r="AX335" s="3">
        <v>42096.384722222225</v>
      </c>
      <c r="AY335" s="2" t="s">
        <v>83</v>
      </c>
      <c r="AZ335" s="4">
        <v>42034</v>
      </c>
      <c r="BA335" s="5">
        <v>0.38472222222222224</v>
      </c>
      <c r="BB335" s="2">
        <v>2015</v>
      </c>
      <c r="BC335" s="2" t="s">
        <v>84</v>
      </c>
      <c r="BD335" s="2">
        <v>30</v>
      </c>
      <c r="BE335" s="4">
        <v>42096</v>
      </c>
      <c r="BF335" s="5">
        <v>0.38472222222222224</v>
      </c>
      <c r="BG335" s="2" t="str" cm="1">
        <f t="array" ref="BG335">_xlfn.IFS(BF335&lt;TIMEVALUE("06:00"),"Night", BF335&gt;=TIMEVALUE("21:00"),"Night",BF335&gt;=TIMEVALUE("17:00"),"Evening",BF335&gt;=TIMEVALUE("12:00"),"Afternoon", BF335&gt;=TIMEVALUE("06:00"),"Morning")</f>
        <v>Morning</v>
      </c>
      <c r="BH335" s="2">
        <v>2015</v>
      </c>
      <c r="BI335" s="2" t="s">
        <v>487</v>
      </c>
      <c r="BJ335" s="2">
        <v>2</v>
      </c>
    </row>
    <row r="336" spans="1:62" x14ac:dyDescent="0.3">
      <c r="A336" s="2" t="s">
        <v>86</v>
      </c>
      <c r="B336" s="2">
        <v>5</v>
      </c>
      <c r="C336" s="2">
        <v>4</v>
      </c>
      <c r="D336" s="2">
        <v>17.440000000000001</v>
      </c>
      <c r="E336" s="2">
        <v>46.5</v>
      </c>
      <c r="F336" s="2" t="s">
        <v>87</v>
      </c>
      <c r="G336" s="2" t="s">
        <v>88</v>
      </c>
      <c r="H336" s="2">
        <v>26</v>
      </c>
      <c r="I336" s="2" t="s">
        <v>1132</v>
      </c>
      <c r="J336" s="2" t="s">
        <v>239</v>
      </c>
      <c r="K336" s="2" t="s">
        <v>102</v>
      </c>
      <c r="L336" s="2" t="s">
        <v>414</v>
      </c>
      <c r="M336" s="2">
        <v>2502</v>
      </c>
      <c r="N336" s="2" t="s">
        <v>425</v>
      </c>
      <c r="O336" s="2" t="s">
        <v>124</v>
      </c>
      <c r="P336" s="2" t="s">
        <v>105</v>
      </c>
      <c r="Q336" s="2" t="s">
        <v>1872</v>
      </c>
      <c r="R336" s="2">
        <v>90813</v>
      </c>
      <c r="S336" s="2">
        <v>5</v>
      </c>
      <c r="T336" s="2" t="s">
        <v>427</v>
      </c>
      <c r="U336" s="2">
        <v>33.782451600000002</v>
      </c>
      <c r="V336" s="2">
        <v>-118.1922455</v>
      </c>
      <c r="W336" s="2" t="s">
        <v>582</v>
      </c>
      <c r="X336" s="2" t="s">
        <v>700</v>
      </c>
      <c r="Y336" s="2" t="s">
        <v>595</v>
      </c>
      <c r="Z336" s="2">
        <v>2502</v>
      </c>
      <c r="AA336" s="2" t="s">
        <v>1873</v>
      </c>
      <c r="AB336" s="2">
        <v>55899</v>
      </c>
      <c r="AC336" s="2">
        <v>567</v>
      </c>
      <c r="AD336" s="2">
        <v>3.5</v>
      </c>
      <c r="AE336" s="2">
        <v>7.0000000000000007E-2</v>
      </c>
      <c r="AF336" s="2" t="str" cm="1">
        <f t="array" ref="AF336">_xlfn.IFS(AE336=0, "No Discount ", AE336&lt;=0.08,"Low Discount", AE336&lt;=0.16,"Medium Discount", AE336&gt;0.16, "High Discount")</f>
        <v>Low Discount</v>
      </c>
      <c r="AG336" s="2">
        <v>139774</v>
      </c>
      <c r="AH336" s="2">
        <v>25</v>
      </c>
      <c r="AI336" s="2">
        <v>0.38</v>
      </c>
      <c r="AJ336" s="2" t="str" cm="1">
        <f t="array" ref="AJ336">_xlfn.IFS(AI336&lt;=0, "No Profit", AI336&lt;=0.16,"Low Profit",AI336&lt;=0.32,"Medium Profit",AI336&gt;0.32,"High Profit")</f>
        <v>High Profit</v>
      </c>
      <c r="AK336" s="2">
        <v>2</v>
      </c>
      <c r="AL336" s="2">
        <v>50</v>
      </c>
      <c r="AM336" s="2">
        <v>46.5</v>
      </c>
      <c r="AN336" s="2">
        <v>17.440000000000001</v>
      </c>
      <c r="AO336" s="2" t="s">
        <v>586</v>
      </c>
      <c r="AP336" s="2" t="s">
        <v>595</v>
      </c>
      <c r="AQ336" s="2" t="s">
        <v>155</v>
      </c>
      <c r="AR336" s="2" t="s">
        <v>81</v>
      </c>
      <c r="AS336" s="2">
        <v>567</v>
      </c>
      <c r="AT336" s="2">
        <v>26</v>
      </c>
      <c r="AU336" s="2" t="s">
        <v>1133</v>
      </c>
      <c r="AV336" s="2">
        <v>25</v>
      </c>
      <c r="AW336" s="2">
        <v>0</v>
      </c>
      <c r="AX336" s="2" t="s">
        <v>1874</v>
      </c>
      <c r="AY336" s="2" t="s">
        <v>83</v>
      </c>
      <c r="AZ336" s="4">
        <v>42820</v>
      </c>
      <c r="BA336" s="5">
        <v>0.98124999999999996</v>
      </c>
      <c r="BB336" s="2">
        <v>2017</v>
      </c>
      <c r="BC336" s="2" t="s">
        <v>85</v>
      </c>
      <c r="BD336" s="2">
        <v>26</v>
      </c>
      <c r="BE336" s="4">
        <v>42825</v>
      </c>
      <c r="BF336" s="5">
        <v>0.98124999999999996</v>
      </c>
      <c r="BG336" s="2" t="str" cm="1">
        <f t="array" ref="BG336">_xlfn.IFS(BF336&lt;TIMEVALUE("06:00"),"Night", BF336&gt;=TIMEVALUE("21:00"),"Night",BF336&gt;=TIMEVALUE("17:00"),"Evening",BF336&gt;=TIMEVALUE("12:00"),"Afternoon", BF336&gt;=TIMEVALUE("06:00"),"Morning")</f>
        <v>Night</v>
      </c>
      <c r="BH336" s="2">
        <v>2017</v>
      </c>
      <c r="BI336" s="2" t="s">
        <v>85</v>
      </c>
      <c r="BJ336" s="2">
        <v>31</v>
      </c>
    </row>
    <row r="337" spans="1:62" x14ac:dyDescent="0.3">
      <c r="A337" s="2" t="s">
        <v>86</v>
      </c>
      <c r="B337" s="2">
        <v>3</v>
      </c>
      <c r="C337" s="2">
        <v>4</v>
      </c>
      <c r="D337" s="2">
        <v>30.23</v>
      </c>
      <c r="E337" s="2">
        <v>93</v>
      </c>
      <c r="F337" s="2" t="s">
        <v>63</v>
      </c>
      <c r="G337" s="2" t="s">
        <v>64</v>
      </c>
      <c r="H337" s="2">
        <v>24</v>
      </c>
      <c r="I337" s="2" t="s">
        <v>435</v>
      </c>
      <c r="J337" s="2" t="s">
        <v>101</v>
      </c>
      <c r="K337" s="2" t="s">
        <v>102</v>
      </c>
      <c r="L337" s="2" t="s">
        <v>1235</v>
      </c>
      <c r="M337" s="2">
        <v>9563</v>
      </c>
      <c r="N337" s="2" t="s">
        <v>1875</v>
      </c>
      <c r="O337" s="2" t="s">
        <v>124</v>
      </c>
      <c r="P337" s="2" t="s">
        <v>105</v>
      </c>
      <c r="Q337" s="2" t="s">
        <v>1876</v>
      </c>
      <c r="R337" s="2">
        <v>95122</v>
      </c>
      <c r="S337" s="2">
        <v>5</v>
      </c>
      <c r="T337" s="2" t="s">
        <v>427</v>
      </c>
      <c r="U337" s="2">
        <v>37.3288765</v>
      </c>
      <c r="V337" s="2">
        <v>-121.85015110000001</v>
      </c>
      <c r="W337" s="2" t="s">
        <v>582</v>
      </c>
      <c r="X337" s="2" t="s">
        <v>1877</v>
      </c>
      <c r="Y337" s="2" t="s">
        <v>638</v>
      </c>
      <c r="Z337" s="2">
        <v>9563</v>
      </c>
      <c r="AA337" s="3">
        <v>42888.560416666667</v>
      </c>
      <c r="AB337" s="2">
        <v>52582</v>
      </c>
      <c r="AC337" s="2">
        <v>502</v>
      </c>
      <c r="AD337" s="2">
        <v>7</v>
      </c>
      <c r="AE337" s="2">
        <v>7.0000000000000007E-2</v>
      </c>
      <c r="AF337" s="2" t="str" cm="1">
        <f t="array" ref="AF337">_xlfn.IFS(AE337=0, "No Discount ", AE337&lt;=0.08,"Low Discount", AE337&lt;=0.16,"Medium Discount", AE337&gt;0.16, "High Discount")</f>
        <v>Low Discount</v>
      </c>
      <c r="AG337" s="2">
        <v>131429</v>
      </c>
      <c r="AH337" s="2">
        <v>50</v>
      </c>
      <c r="AI337" s="2">
        <v>0.33</v>
      </c>
      <c r="AJ337" s="2" t="str" cm="1">
        <f t="array" ref="AJ337">_xlfn.IFS(AI337&lt;=0, "No Profit", AI337&lt;=0.16,"Low Profit",AI337&lt;=0.32,"Medium Profit",AI337&gt;0.32,"High Profit")</f>
        <v>High Profit</v>
      </c>
      <c r="AK337" s="2">
        <v>2</v>
      </c>
      <c r="AL337" s="2">
        <v>100</v>
      </c>
      <c r="AM337" s="2">
        <v>93</v>
      </c>
      <c r="AN337" s="2">
        <v>30.23</v>
      </c>
      <c r="AO337" s="2" t="s">
        <v>586</v>
      </c>
      <c r="AP337" s="2" t="s">
        <v>1878</v>
      </c>
      <c r="AQ337" s="2" t="s">
        <v>155</v>
      </c>
      <c r="AR337" s="2" t="s">
        <v>81</v>
      </c>
      <c r="AS337" s="2">
        <v>502</v>
      </c>
      <c r="AT337" s="2">
        <v>24</v>
      </c>
      <c r="AU337" s="2" t="s">
        <v>442</v>
      </c>
      <c r="AV337" s="2">
        <v>50</v>
      </c>
      <c r="AW337" s="2">
        <v>0</v>
      </c>
      <c r="AX337" s="3">
        <v>42980.560416666667</v>
      </c>
      <c r="AY337" s="2" t="s">
        <v>83</v>
      </c>
      <c r="AZ337" s="4">
        <v>42888</v>
      </c>
      <c r="BA337" s="5">
        <v>0.56041666666666667</v>
      </c>
      <c r="BB337" s="2">
        <v>2017</v>
      </c>
      <c r="BC337" s="2" t="s">
        <v>474</v>
      </c>
      <c r="BD337" s="2">
        <v>2</v>
      </c>
      <c r="BE337" s="4">
        <v>42980</v>
      </c>
      <c r="BF337" s="5">
        <v>0.56041666666666667</v>
      </c>
      <c r="BG337" s="2" t="str" cm="1">
        <f t="array" ref="BG337">_xlfn.IFS(BF337&lt;TIMEVALUE("06:00"),"Night", BF337&gt;=TIMEVALUE("21:00"),"Night",BF337&gt;=TIMEVALUE("17:00"),"Evening",BF337&gt;=TIMEVALUE("12:00"),"Afternoon", BF337&gt;=TIMEVALUE("06:00"),"Morning")</f>
        <v>Afternoon</v>
      </c>
      <c r="BH337" s="2">
        <v>2017</v>
      </c>
      <c r="BI337" s="2" t="s">
        <v>552</v>
      </c>
      <c r="BJ337" s="2">
        <v>2</v>
      </c>
    </row>
    <row r="338" spans="1:62" x14ac:dyDescent="0.3">
      <c r="A338" s="2" t="s">
        <v>86</v>
      </c>
      <c r="B338" s="2">
        <v>3</v>
      </c>
      <c r="C338" s="2">
        <v>4</v>
      </c>
      <c r="D338" s="2">
        <v>-162.75</v>
      </c>
      <c r="E338" s="2">
        <v>93</v>
      </c>
      <c r="F338" s="2" t="s">
        <v>63</v>
      </c>
      <c r="G338" s="2" t="s">
        <v>64</v>
      </c>
      <c r="H338" s="2">
        <v>24</v>
      </c>
      <c r="I338" s="2" t="s">
        <v>435</v>
      </c>
      <c r="J338" s="2" t="s">
        <v>1879</v>
      </c>
      <c r="K338" s="2" t="s">
        <v>102</v>
      </c>
      <c r="L338" s="2" t="s">
        <v>856</v>
      </c>
      <c r="M338" s="2">
        <v>7259</v>
      </c>
      <c r="N338" s="2" t="s">
        <v>921</v>
      </c>
      <c r="O338" s="2" t="s">
        <v>124</v>
      </c>
      <c r="P338" s="2" t="s">
        <v>1765</v>
      </c>
      <c r="Q338" s="2" t="s">
        <v>1880</v>
      </c>
      <c r="R338" s="2">
        <v>37130</v>
      </c>
      <c r="S338" s="2">
        <v>5</v>
      </c>
      <c r="T338" s="2" t="s">
        <v>427</v>
      </c>
      <c r="U338" s="2">
        <v>35.759658799999997</v>
      </c>
      <c r="V338" s="2">
        <v>-86.264610300000001</v>
      </c>
      <c r="W338" s="2" t="s">
        <v>582</v>
      </c>
      <c r="X338" s="2" t="s">
        <v>1881</v>
      </c>
      <c r="Y338" s="2" t="s">
        <v>638</v>
      </c>
      <c r="Z338" s="2">
        <v>7259</v>
      </c>
      <c r="AA338" s="2" t="s">
        <v>1882</v>
      </c>
      <c r="AB338" s="2">
        <v>56222</v>
      </c>
      <c r="AC338" s="2">
        <v>502</v>
      </c>
      <c r="AD338" s="2">
        <v>7</v>
      </c>
      <c r="AE338" s="2">
        <v>7.0000000000000007E-2</v>
      </c>
      <c r="AF338" s="2" t="str" cm="1">
        <f t="array" ref="AF338">_xlfn.IFS(AE338=0, "No Discount ", AE338&lt;=0.08,"Low Discount", AE338&lt;=0.16,"Medium Discount", AE338&gt;0.16, "High Discount")</f>
        <v>Low Discount</v>
      </c>
      <c r="AG338" s="2">
        <v>140631</v>
      </c>
      <c r="AH338" s="2">
        <v>50</v>
      </c>
      <c r="AI338" s="2">
        <v>-1.75</v>
      </c>
      <c r="AJ338" s="2" t="str" cm="1">
        <f t="array" ref="AJ338">_xlfn.IFS(AI338&lt;=0, "No Profit", AI338&lt;=0.16,"Low Profit",AI338&lt;=0.32,"Medium Profit",AI338&gt;0.32,"High Profit")</f>
        <v>No Profit</v>
      </c>
      <c r="AK338" s="2">
        <v>2</v>
      </c>
      <c r="AL338" s="2">
        <v>100</v>
      </c>
      <c r="AM338" s="2">
        <v>93</v>
      </c>
      <c r="AN338" s="2">
        <v>-162.75</v>
      </c>
      <c r="AO338" s="2" t="s">
        <v>586</v>
      </c>
      <c r="AP338" s="2" t="s">
        <v>638</v>
      </c>
      <c r="AQ338" s="2" t="s">
        <v>155</v>
      </c>
      <c r="AR338" s="2" t="s">
        <v>81</v>
      </c>
      <c r="AS338" s="2">
        <v>502</v>
      </c>
      <c r="AT338" s="2">
        <v>24</v>
      </c>
      <c r="AU338" s="2" t="s">
        <v>442</v>
      </c>
      <c r="AV338" s="2">
        <v>50</v>
      </c>
      <c r="AW338" s="2">
        <v>0</v>
      </c>
      <c r="AX338" s="3">
        <v>42798.696527777778</v>
      </c>
      <c r="AY338" s="2" t="s">
        <v>83</v>
      </c>
      <c r="AZ338" s="4">
        <v>42825</v>
      </c>
      <c r="BA338" s="5">
        <v>0.69652777777777775</v>
      </c>
      <c r="BB338" s="2">
        <v>2017</v>
      </c>
      <c r="BC338" s="2" t="s">
        <v>85</v>
      </c>
      <c r="BD338" s="2">
        <v>31</v>
      </c>
      <c r="BE338" s="4">
        <v>42798</v>
      </c>
      <c r="BF338" s="5">
        <v>0.69652777777777775</v>
      </c>
      <c r="BG338" s="2" t="str" cm="1">
        <f t="array" ref="BG338">_xlfn.IFS(BF338&lt;TIMEVALUE("06:00"),"Night", BF338&gt;=TIMEVALUE("21:00"),"Night",BF338&gt;=TIMEVALUE("17:00"),"Evening",BF338&gt;=TIMEVALUE("12:00"),"Afternoon", BF338&gt;=TIMEVALUE("06:00"),"Morning")</f>
        <v>Afternoon</v>
      </c>
      <c r="BH338" s="2">
        <v>2017</v>
      </c>
      <c r="BI338" s="2" t="s">
        <v>85</v>
      </c>
      <c r="BJ338" s="2">
        <v>4</v>
      </c>
    </row>
    <row r="339" spans="1:62" x14ac:dyDescent="0.3">
      <c r="A339" s="2" t="s">
        <v>86</v>
      </c>
      <c r="B339" s="2">
        <v>5</v>
      </c>
      <c r="C339" s="2">
        <v>4</v>
      </c>
      <c r="D339" s="2">
        <v>24.6</v>
      </c>
      <c r="E339" s="2">
        <v>72.78</v>
      </c>
      <c r="F339" s="2" t="s">
        <v>87</v>
      </c>
      <c r="G339" s="2" t="s">
        <v>88</v>
      </c>
      <c r="H339" s="2">
        <v>29</v>
      </c>
      <c r="I339" s="2" t="s">
        <v>424</v>
      </c>
      <c r="J339" s="2" t="s">
        <v>1883</v>
      </c>
      <c r="K339" s="2" t="s">
        <v>102</v>
      </c>
      <c r="L339" s="2" t="s">
        <v>414</v>
      </c>
      <c r="M339" s="2">
        <v>3131</v>
      </c>
      <c r="N339" s="2" t="s">
        <v>1884</v>
      </c>
      <c r="O339" s="2" t="s">
        <v>124</v>
      </c>
      <c r="P339" s="2" t="s">
        <v>105</v>
      </c>
      <c r="Q339" s="2" t="s">
        <v>1885</v>
      </c>
      <c r="R339" s="2">
        <v>92009</v>
      </c>
      <c r="S339" s="2">
        <v>5</v>
      </c>
      <c r="T339" s="2" t="s">
        <v>427</v>
      </c>
      <c r="U339" s="2">
        <v>33.089519500000002</v>
      </c>
      <c r="V339" s="2">
        <v>-117.2552032</v>
      </c>
      <c r="W339" s="2" t="s">
        <v>582</v>
      </c>
      <c r="X339" s="2" t="s">
        <v>1886</v>
      </c>
      <c r="Y339" s="2" t="s">
        <v>632</v>
      </c>
      <c r="Z339" s="2">
        <v>3131</v>
      </c>
      <c r="AA339" s="2" t="s">
        <v>1887</v>
      </c>
      <c r="AB339" s="2">
        <v>57829</v>
      </c>
      <c r="AC339" s="2">
        <v>627</v>
      </c>
      <c r="AD339" s="2">
        <v>7.2</v>
      </c>
      <c r="AE339" s="2">
        <v>0.09</v>
      </c>
      <c r="AF339" s="2" t="str" cm="1">
        <f t="array" ref="AF339">_xlfn.IFS(AE339=0, "No Discount ", AE339&lt;=0.08,"Low Discount", AE339&lt;=0.16,"Medium Discount", AE339&gt;0.16, "High Discount")</f>
        <v>Medium Discount</v>
      </c>
      <c r="AG339" s="2">
        <v>144695</v>
      </c>
      <c r="AH339" s="2">
        <v>39.99</v>
      </c>
      <c r="AI339" s="2">
        <v>0.34</v>
      </c>
      <c r="AJ339" s="2" t="str" cm="1">
        <f t="array" ref="AJ339">_xlfn.IFS(AI339&lt;=0, "No Profit", AI339&lt;=0.16,"Low Profit",AI339&lt;=0.32,"Medium Profit",AI339&gt;0.32,"High Profit")</f>
        <v>High Profit</v>
      </c>
      <c r="AK339" s="2">
        <v>2</v>
      </c>
      <c r="AL339" s="2">
        <v>79.98</v>
      </c>
      <c r="AM339" s="2">
        <v>72.78</v>
      </c>
      <c r="AN339" s="2">
        <v>24.6</v>
      </c>
      <c r="AO339" s="2" t="s">
        <v>607</v>
      </c>
      <c r="AP339" s="2" t="s">
        <v>1835</v>
      </c>
      <c r="AQ339" s="2" t="s">
        <v>155</v>
      </c>
      <c r="AR339" s="2" t="s">
        <v>81</v>
      </c>
      <c r="AS339" s="2">
        <v>627</v>
      </c>
      <c r="AT339" s="2">
        <v>29</v>
      </c>
      <c r="AU339" s="2" t="s">
        <v>432</v>
      </c>
      <c r="AV339" s="2">
        <v>39.99</v>
      </c>
      <c r="AW339" s="2">
        <v>0</v>
      </c>
      <c r="AX339" s="2" t="s">
        <v>1888</v>
      </c>
      <c r="AY339" s="2" t="s">
        <v>83</v>
      </c>
      <c r="AZ339" s="4">
        <v>42849</v>
      </c>
      <c r="BA339" s="5">
        <v>0.15486111111111112</v>
      </c>
      <c r="BB339" s="2">
        <v>2017</v>
      </c>
      <c r="BC339" s="2" t="s">
        <v>487</v>
      </c>
      <c r="BD339" s="2">
        <v>24</v>
      </c>
      <c r="BE339" s="4">
        <v>42854</v>
      </c>
      <c r="BF339" s="5">
        <v>0.15486111111111112</v>
      </c>
      <c r="BG339" s="2" t="str" cm="1">
        <f t="array" ref="BG339">_xlfn.IFS(BF339&lt;TIMEVALUE("06:00"),"Night", BF339&gt;=TIMEVALUE("21:00"),"Night",BF339&gt;=TIMEVALUE("17:00"),"Evening",BF339&gt;=TIMEVALUE("12:00"),"Afternoon", BF339&gt;=TIMEVALUE("06:00"),"Morning")</f>
        <v>Night</v>
      </c>
      <c r="BH339" s="2">
        <v>2017</v>
      </c>
      <c r="BI339" s="2" t="s">
        <v>487</v>
      </c>
      <c r="BJ339" s="2">
        <v>29</v>
      </c>
    </row>
    <row r="340" spans="1:62" x14ac:dyDescent="0.3">
      <c r="A340" s="2" t="s">
        <v>86</v>
      </c>
      <c r="B340" s="2">
        <v>3</v>
      </c>
      <c r="C340" s="2">
        <v>4</v>
      </c>
      <c r="D340" s="2">
        <v>35.99</v>
      </c>
      <c r="E340" s="2">
        <v>71.98</v>
      </c>
      <c r="F340" s="2" t="s">
        <v>63</v>
      </c>
      <c r="G340" s="2" t="s">
        <v>64</v>
      </c>
      <c r="H340" s="2">
        <v>29</v>
      </c>
      <c r="I340" s="2" t="s">
        <v>424</v>
      </c>
      <c r="J340" s="2" t="s">
        <v>1889</v>
      </c>
      <c r="K340" s="2" t="s">
        <v>102</v>
      </c>
      <c r="L340" s="2" t="s">
        <v>1890</v>
      </c>
      <c r="M340" s="2">
        <v>4140</v>
      </c>
      <c r="N340" s="2" t="s">
        <v>425</v>
      </c>
      <c r="O340" s="2" t="s">
        <v>124</v>
      </c>
      <c r="P340" s="2" t="s">
        <v>1117</v>
      </c>
      <c r="Q340" s="2" t="s">
        <v>1891</v>
      </c>
      <c r="R340" s="2">
        <v>45011</v>
      </c>
      <c r="S340" s="2">
        <v>5</v>
      </c>
      <c r="T340" s="2" t="s">
        <v>427</v>
      </c>
      <c r="U340" s="2">
        <v>39.398540500000003</v>
      </c>
      <c r="V340" s="2">
        <v>-84.556617700000004</v>
      </c>
      <c r="W340" s="2" t="s">
        <v>582</v>
      </c>
      <c r="X340" s="2" t="s">
        <v>626</v>
      </c>
      <c r="Y340" s="2" t="s">
        <v>627</v>
      </c>
      <c r="Z340" s="2">
        <v>4140</v>
      </c>
      <c r="AA340" s="2" t="s">
        <v>1892</v>
      </c>
      <c r="AB340" s="2">
        <v>56217</v>
      </c>
      <c r="AC340" s="2">
        <v>627</v>
      </c>
      <c r="AD340" s="2">
        <v>8</v>
      </c>
      <c r="AE340" s="2">
        <v>0.1</v>
      </c>
      <c r="AF340" s="2" t="str" cm="1">
        <f t="array" ref="AF340">_xlfn.IFS(AE340=0, "No Discount ", AE340&lt;=0.08,"Low Discount", AE340&lt;=0.16,"Medium Discount", AE340&gt;0.16, "High Discount")</f>
        <v>Medium Discount</v>
      </c>
      <c r="AG340" s="2">
        <v>140615</v>
      </c>
      <c r="AH340" s="2">
        <v>39.99</v>
      </c>
      <c r="AI340" s="2">
        <v>0.5</v>
      </c>
      <c r="AJ340" s="2" t="str" cm="1">
        <f t="array" ref="AJ340">_xlfn.IFS(AI340&lt;=0, "No Profit", AI340&lt;=0.16,"Low Profit",AI340&lt;=0.32,"Medium Profit",AI340&gt;0.32,"High Profit")</f>
        <v>High Profit</v>
      </c>
      <c r="AK340" s="2">
        <v>2</v>
      </c>
      <c r="AL340" s="2">
        <v>79.98</v>
      </c>
      <c r="AM340" s="2">
        <v>71.98</v>
      </c>
      <c r="AN340" s="2">
        <v>35.99</v>
      </c>
      <c r="AO340" s="2" t="s">
        <v>586</v>
      </c>
      <c r="AP340" s="2" t="s">
        <v>628</v>
      </c>
      <c r="AQ340" s="2" t="s">
        <v>155</v>
      </c>
      <c r="AR340" s="2" t="s">
        <v>81</v>
      </c>
      <c r="AS340" s="2">
        <v>627</v>
      </c>
      <c r="AT340" s="2">
        <v>29</v>
      </c>
      <c r="AU340" s="2" t="s">
        <v>432</v>
      </c>
      <c r="AV340" s="2">
        <v>39.99</v>
      </c>
      <c r="AW340" s="2">
        <v>0</v>
      </c>
      <c r="AX340" s="3">
        <v>42798.623611111114</v>
      </c>
      <c r="AY340" s="2" t="s">
        <v>83</v>
      </c>
      <c r="AZ340" s="4">
        <v>42825</v>
      </c>
      <c r="BA340" s="5">
        <v>0.62361111111111112</v>
      </c>
      <c r="BB340" s="2">
        <v>2017</v>
      </c>
      <c r="BC340" s="2" t="s">
        <v>85</v>
      </c>
      <c r="BD340" s="2">
        <v>31</v>
      </c>
      <c r="BE340" s="4">
        <v>42798</v>
      </c>
      <c r="BF340" s="5">
        <v>0.62361111111111112</v>
      </c>
      <c r="BG340" s="2" t="str" cm="1">
        <f t="array" ref="BG340">_xlfn.IFS(BF340&lt;TIMEVALUE("06:00"),"Night", BF340&gt;=TIMEVALUE("21:00"),"Night",BF340&gt;=TIMEVALUE("17:00"),"Evening",BF340&gt;=TIMEVALUE("12:00"),"Afternoon", BF340&gt;=TIMEVALUE("06:00"),"Morning")</f>
        <v>Afternoon</v>
      </c>
      <c r="BH340" s="2">
        <v>2017</v>
      </c>
      <c r="BI340" s="2" t="s">
        <v>85</v>
      </c>
      <c r="BJ340" s="2">
        <v>4</v>
      </c>
    </row>
    <row r="341" spans="1:62" x14ac:dyDescent="0.3">
      <c r="A341" s="2" t="s">
        <v>86</v>
      </c>
      <c r="B341" s="2">
        <v>4</v>
      </c>
      <c r="C341" s="2">
        <v>4</v>
      </c>
      <c r="D341" s="2">
        <v>17.13</v>
      </c>
      <c r="E341" s="2">
        <v>71.98</v>
      </c>
      <c r="F341" s="2" t="s">
        <v>100</v>
      </c>
      <c r="G341" s="2" t="s">
        <v>64</v>
      </c>
      <c r="H341" s="2">
        <v>29</v>
      </c>
      <c r="I341" s="2" t="s">
        <v>424</v>
      </c>
      <c r="J341" s="2" t="s">
        <v>1097</v>
      </c>
      <c r="K341" s="2" t="s">
        <v>102</v>
      </c>
      <c r="L341" s="2" t="s">
        <v>1893</v>
      </c>
      <c r="M341" s="2">
        <v>4539</v>
      </c>
      <c r="N341" s="2" t="s">
        <v>786</v>
      </c>
      <c r="O341" s="2" t="s">
        <v>124</v>
      </c>
      <c r="P341" s="2" t="s">
        <v>333</v>
      </c>
      <c r="Q341" s="2" t="s">
        <v>1894</v>
      </c>
      <c r="R341" s="2">
        <v>77083</v>
      </c>
      <c r="S341" s="2">
        <v>5</v>
      </c>
      <c r="T341" s="2" t="s">
        <v>427</v>
      </c>
      <c r="U341" s="2">
        <v>29.696536999999999</v>
      </c>
      <c r="V341" s="2">
        <v>-95.645919800000001</v>
      </c>
      <c r="W341" s="2" t="s">
        <v>582</v>
      </c>
      <c r="X341" s="2" t="s">
        <v>583</v>
      </c>
      <c r="Y341" s="2" t="s">
        <v>584</v>
      </c>
      <c r="Z341" s="2">
        <v>4539</v>
      </c>
      <c r="AA341" s="2" t="s">
        <v>1895</v>
      </c>
      <c r="AB341" s="2">
        <v>5893</v>
      </c>
      <c r="AC341" s="2">
        <v>627</v>
      </c>
      <c r="AD341" s="2">
        <v>8</v>
      </c>
      <c r="AE341" s="2">
        <v>0.1</v>
      </c>
      <c r="AF341" s="2" t="str" cm="1">
        <f t="array" ref="AF341">_xlfn.IFS(AE341=0, "No Discount ", AE341&lt;=0.08,"Low Discount", AE341&lt;=0.16,"Medium Discount", AE341&gt;0.16, "High Discount")</f>
        <v>Medium Discount</v>
      </c>
      <c r="AG341" s="2">
        <v>14655</v>
      </c>
      <c r="AH341" s="2">
        <v>39.99</v>
      </c>
      <c r="AI341" s="2">
        <v>0.24</v>
      </c>
      <c r="AJ341" s="2" t="str" cm="1">
        <f t="array" ref="AJ341">_xlfn.IFS(AI341&lt;=0, "No Profit", AI341&lt;=0.16,"Low Profit",AI341&lt;=0.32,"Medium Profit",AI341&gt;0.32,"High Profit")</f>
        <v>Medium Profit</v>
      </c>
      <c r="AK341" s="2">
        <v>2</v>
      </c>
      <c r="AL341" s="2">
        <v>79.98</v>
      </c>
      <c r="AM341" s="2">
        <v>71.98</v>
      </c>
      <c r="AN341" s="2">
        <v>17.13</v>
      </c>
      <c r="AO341" s="2" t="s">
        <v>586</v>
      </c>
      <c r="AP341" s="2" t="s">
        <v>584</v>
      </c>
      <c r="AQ341" s="2" t="s">
        <v>155</v>
      </c>
      <c r="AR341" s="2" t="s">
        <v>81</v>
      </c>
      <c r="AS341" s="2">
        <v>627</v>
      </c>
      <c r="AT341" s="2">
        <v>29</v>
      </c>
      <c r="AU341" s="2" t="s">
        <v>432</v>
      </c>
      <c r="AV341" s="2">
        <v>39.99</v>
      </c>
      <c r="AW341" s="2">
        <v>0</v>
      </c>
      <c r="AX341" s="3">
        <v>42008.009027777778</v>
      </c>
      <c r="AY341" s="2" t="s">
        <v>83</v>
      </c>
      <c r="AZ341" s="4">
        <v>42091</v>
      </c>
      <c r="BA341" s="5">
        <v>9.0277777777777769E-3</v>
      </c>
      <c r="BB341" s="2">
        <v>2015</v>
      </c>
      <c r="BC341" s="2" t="s">
        <v>85</v>
      </c>
      <c r="BD341" s="2">
        <v>28</v>
      </c>
      <c r="BE341" s="4">
        <v>42008</v>
      </c>
      <c r="BF341" s="5">
        <v>9.0277777777777769E-3</v>
      </c>
      <c r="BG341" s="2" t="str" cm="1">
        <f t="array" ref="BG341">_xlfn.IFS(BF341&lt;TIMEVALUE("06:00"),"Night", BF341&gt;=TIMEVALUE("21:00"),"Night",BF341&gt;=TIMEVALUE("17:00"),"Evening",BF341&gt;=TIMEVALUE("12:00"),"Afternoon", BF341&gt;=TIMEVALUE("06:00"),"Morning")</f>
        <v>Night</v>
      </c>
      <c r="BH341" s="2">
        <v>2015</v>
      </c>
      <c r="BI341" s="2" t="s">
        <v>84</v>
      </c>
      <c r="BJ341" s="2">
        <v>4</v>
      </c>
    </row>
    <row r="342" spans="1:62" x14ac:dyDescent="0.3">
      <c r="A342" s="2" t="s">
        <v>86</v>
      </c>
      <c r="B342" s="2">
        <v>4</v>
      </c>
      <c r="C342" s="2">
        <v>4</v>
      </c>
      <c r="D342" s="2">
        <v>41.4</v>
      </c>
      <c r="E342" s="2">
        <v>90</v>
      </c>
      <c r="F342" s="2" t="s">
        <v>100</v>
      </c>
      <c r="G342" s="2" t="s">
        <v>64</v>
      </c>
      <c r="H342" s="2">
        <v>24</v>
      </c>
      <c r="I342" s="2" t="s">
        <v>435</v>
      </c>
      <c r="J342" s="2" t="s">
        <v>1401</v>
      </c>
      <c r="K342" s="2" t="s">
        <v>102</v>
      </c>
      <c r="L342" s="2" t="s">
        <v>414</v>
      </c>
      <c r="M342" s="2">
        <v>6071</v>
      </c>
      <c r="N342" s="2" t="s">
        <v>1896</v>
      </c>
      <c r="O342" s="2" t="s">
        <v>124</v>
      </c>
      <c r="P342" s="2" t="s">
        <v>133</v>
      </c>
      <c r="Q342" s="2" t="s">
        <v>1897</v>
      </c>
      <c r="R342" s="2">
        <v>10031</v>
      </c>
      <c r="S342" s="2">
        <v>5</v>
      </c>
      <c r="T342" s="2" t="s">
        <v>427</v>
      </c>
      <c r="U342" s="2">
        <v>40.824760400000002</v>
      </c>
      <c r="V342" s="2">
        <v>-73.949920700000007</v>
      </c>
      <c r="W342" s="2" t="s">
        <v>582</v>
      </c>
      <c r="X342" s="2" t="s">
        <v>848</v>
      </c>
      <c r="Y342" s="2" t="s">
        <v>627</v>
      </c>
      <c r="Z342" s="2">
        <v>6071</v>
      </c>
      <c r="AA342" s="2" t="s">
        <v>1898</v>
      </c>
      <c r="AB342" s="2">
        <v>5528</v>
      </c>
      <c r="AC342" s="2">
        <v>502</v>
      </c>
      <c r="AD342" s="2">
        <v>10</v>
      </c>
      <c r="AE342" s="2">
        <v>0.1</v>
      </c>
      <c r="AF342" s="2" t="str" cm="1">
        <f t="array" ref="AF342">_xlfn.IFS(AE342=0, "No Discount ", AE342&lt;=0.08,"Low Discount", AE342&lt;=0.16,"Medium Discount", AE342&gt;0.16, "High Discount")</f>
        <v>Medium Discount</v>
      </c>
      <c r="AG342" s="2">
        <v>13796</v>
      </c>
      <c r="AH342" s="2">
        <v>50</v>
      </c>
      <c r="AI342" s="2">
        <v>0.46</v>
      </c>
      <c r="AJ342" s="2" t="str" cm="1">
        <f t="array" ref="AJ342">_xlfn.IFS(AI342&lt;=0, "No Profit", AI342&lt;=0.16,"Low Profit",AI342&lt;=0.32,"Medium Profit",AI342&gt;0.32,"High Profit")</f>
        <v>High Profit</v>
      </c>
      <c r="AK342" s="2">
        <v>2</v>
      </c>
      <c r="AL342" s="2">
        <v>100</v>
      </c>
      <c r="AM342" s="2">
        <v>90</v>
      </c>
      <c r="AN342" s="2">
        <v>41.4</v>
      </c>
      <c r="AO342" s="2" t="s">
        <v>586</v>
      </c>
      <c r="AP342" s="2" t="s">
        <v>850</v>
      </c>
      <c r="AQ342" s="2" t="s">
        <v>155</v>
      </c>
      <c r="AR342" s="2" t="s">
        <v>81</v>
      </c>
      <c r="AS342" s="2">
        <v>502</v>
      </c>
      <c r="AT342" s="2">
        <v>24</v>
      </c>
      <c r="AU342" s="2" t="s">
        <v>442</v>
      </c>
      <c r="AV342" s="2">
        <v>50</v>
      </c>
      <c r="AW342" s="2">
        <v>0</v>
      </c>
      <c r="AX342" s="2" t="s">
        <v>1899</v>
      </c>
      <c r="AY342" s="2" t="s">
        <v>83</v>
      </c>
      <c r="AZ342" s="4">
        <v>42085</v>
      </c>
      <c r="BA342" s="5">
        <v>0.68125000000000002</v>
      </c>
      <c r="BB342" s="2">
        <v>2015</v>
      </c>
      <c r="BC342" s="2" t="s">
        <v>85</v>
      </c>
      <c r="BD342" s="2">
        <v>22</v>
      </c>
      <c r="BE342" s="4">
        <v>42089</v>
      </c>
      <c r="BF342" s="5">
        <v>0.68125000000000002</v>
      </c>
      <c r="BG342" s="2" t="str" cm="1">
        <f t="array" ref="BG342">_xlfn.IFS(BF342&lt;TIMEVALUE("06:00"),"Night", BF342&gt;=TIMEVALUE("21:00"),"Night",BF342&gt;=TIMEVALUE("17:00"),"Evening",BF342&gt;=TIMEVALUE("12:00"),"Afternoon", BF342&gt;=TIMEVALUE("06:00"),"Morning")</f>
        <v>Afternoon</v>
      </c>
      <c r="BH342" s="2">
        <v>2015</v>
      </c>
      <c r="BI342" s="2" t="s">
        <v>85</v>
      </c>
      <c r="BJ342" s="2">
        <v>26</v>
      </c>
    </row>
    <row r="343" spans="1:62" x14ac:dyDescent="0.3">
      <c r="A343" s="2" t="s">
        <v>86</v>
      </c>
      <c r="B343" s="2">
        <v>3</v>
      </c>
      <c r="C343" s="2">
        <v>4</v>
      </c>
      <c r="D343" s="2">
        <v>23.39</v>
      </c>
      <c r="E343" s="2">
        <v>71.98</v>
      </c>
      <c r="F343" s="2" t="s">
        <v>63</v>
      </c>
      <c r="G343" s="2" t="s">
        <v>64</v>
      </c>
      <c r="H343" s="2">
        <v>29</v>
      </c>
      <c r="I343" s="2" t="s">
        <v>424</v>
      </c>
      <c r="J343" s="2" t="s">
        <v>1900</v>
      </c>
      <c r="K343" s="2" t="s">
        <v>102</v>
      </c>
      <c r="L343" s="2" t="s">
        <v>414</v>
      </c>
      <c r="M343" s="2">
        <v>8730</v>
      </c>
      <c r="N343" s="2" t="s">
        <v>425</v>
      </c>
      <c r="O343" s="2" t="s">
        <v>124</v>
      </c>
      <c r="P343" s="2" t="s">
        <v>105</v>
      </c>
      <c r="Q343" s="2" t="s">
        <v>1901</v>
      </c>
      <c r="R343" s="2">
        <v>94541</v>
      </c>
      <c r="S343" s="2">
        <v>5</v>
      </c>
      <c r="T343" s="2" t="s">
        <v>427</v>
      </c>
      <c r="U343" s="2">
        <v>37.6755104</v>
      </c>
      <c r="V343" s="2">
        <v>-122.0496826</v>
      </c>
      <c r="W343" s="2" t="s">
        <v>582</v>
      </c>
      <c r="X343" s="2" t="s">
        <v>1902</v>
      </c>
      <c r="Y343" s="2" t="s">
        <v>605</v>
      </c>
      <c r="Z343" s="2">
        <v>8730</v>
      </c>
      <c r="AA343" s="3">
        <v>42156.342361111114</v>
      </c>
      <c r="AB343" s="2">
        <v>367</v>
      </c>
      <c r="AC343" s="2">
        <v>627</v>
      </c>
      <c r="AD343" s="2">
        <v>8</v>
      </c>
      <c r="AE343" s="2">
        <v>0.1</v>
      </c>
      <c r="AF343" s="2" t="str" cm="1">
        <f t="array" ref="AF343">_xlfn.IFS(AE343=0, "No Discount ", AE343&lt;=0.08,"Low Discount", AE343&lt;=0.16,"Medium Discount", AE343&gt;0.16, "High Discount")</f>
        <v>Medium Discount</v>
      </c>
      <c r="AG343" s="2">
        <v>922</v>
      </c>
      <c r="AH343" s="2">
        <v>39.99</v>
      </c>
      <c r="AI343" s="2">
        <v>0.33</v>
      </c>
      <c r="AJ343" s="2" t="str" cm="1">
        <f t="array" ref="AJ343">_xlfn.IFS(AI343&lt;=0, "No Profit", AI343&lt;=0.16,"Low Profit",AI343&lt;=0.32,"Medium Profit",AI343&gt;0.32,"High Profit")</f>
        <v>High Profit</v>
      </c>
      <c r="AK343" s="2">
        <v>2</v>
      </c>
      <c r="AL343" s="2">
        <v>79.98</v>
      </c>
      <c r="AM343" s="2">
        <v>71.98</v>
      </c>
      <c r="AN343" s="2">
        <v>23.39</v>
      </c>
      <c r="AO343" s="2" t="s">
        <v>607</v>
      </c>
      <c r="AP343" s="2" t="s">
        <v>1903</v>
      </c>
      <c r="AQ343" s="2" t="s">
        <v>155</v>
      </c>
      <c r="AR343" s="2" t="s">
        <v>81</v>
      </c>
      <c r="AS343" s="2">
        <v>627</v>
      </c>
      <c r="AT343" s="2">
        <v>29</v>
      </c>
      <c r="AU343" s="2" t="s">
        <v>432</v>
      </c>
      <c r="AV343" s="2">
        <v>39.99</v>
      </c>
      <c r="AW343" s="2">
        <v>0</v>
      </c>
      <c r="AX343" s="3">
        <v>42248.342361111114</v>
      </c>
      <c r="AY343" s="2" t="s">
        <v>83</v>
      </c>
      <c r="AZ343" s="4">
        <v>42156</v>
      </c>
      <c r="BA343" s="5">
        <v>0.34236111111111112</v>
      </c>
      <c r="BB343" s="2">
        <v>2015</v>
      </c>
      <c r="BC343" s="2" t="s">
        <v>474</v>
      </c>
      <c r="BD343" s="2">
        <v>1</v>
      </c>
      <c r="BE343" s="4">
        <v>42248</v>
      </c>
      <c r="BF343" s="5">
        <v>0.34236111111111112</v>
      </c>
      <c r="BG343" s="2" t="str" cm="1">
        <f t="array" ref="BG343">_xlfn.IFS(BF343&lt;TIMEVALUE("06:00"),"Night", BF343&gt;=TIMEVALUE("21:00"),"Night",BF343&gt;=TIMEVALUE("17:00"),"Evening",BF343&gt;=TIMEVALUE("12:00"),"Afternoon", BF343&gt;=TIMEVALUE("06:00"),"Morning")</f>
        <v>Morning</v>
      </c>
      <c r="BH343" s="2">
        <v>2015</v>
      </c>
      <c r="BI343" s="2" t="s">
        <v>552</v>
      </c>
      <c r="BJ343" s="2">
        <v>1</v>
      </c>
    </row>
    <row r="344" spans="1:62" x14ac:dyDescent="0.3">
      <c r="A344" s="2" t="s">
        <v>86</v>
      </c>
      <c r="B344" s="2">
        <v>4</v>
      </c>
      <c r="C344" s="2">
        <v>4</v>
      </c>
      <c r="D344" s="2">
        <v>21.42</v>
      </c>
      <c r="E344" s="2">
        <v>90</v>
      </c>
      <c r="F344" s="2" t="s">
        <v>100</v>
      </c>
      <c r="G344" s="2" t="s">
        <v>64</v>
      </c>
      <c r="H344" s="2">
        <v>24</v>
      </c>
      <c r="I344" s="2" t="s">
        <v>435</v>
      </c>
      <c r="J344" s="2" t="s">
        <v>1904</v>
      </c>
      <c r="K344" s="2" t="s">
        <v>102</v>
      </c>
      <c r="L344" s="2" t="s">
        <v>414</v>
      </c>
      <c r="M344" s="2">
        <v>9634</v>
      </c>
      <c r="N344" s="2" t="s">
        <v>1905</v>
      </c>
      <c r="O344" s="2" t="s">
        <v>124</v>
      </c>
      <c r="P344" s="2" t="s">
        <v>1163</v>
      </c>
      <c r="Q344" s="2" t="s">
        <v>1906</v>
      </c>
      <c r="R344" s="2">
        <v>8302</v>
      </c>
      <c r="S344" s="2">
        <v>5</v>
      </c>
      <c r="T344" s="2" t="s">
        <v>427</v>
      </c>
      <c r="U344" s="2">
        <v>39.426036799999999</v>
      </c>
      <c r="V344" s="2">
        <v>-75.239852900000002</v>
      </c>
      <c r="W344" s="2" t="s">
        <v>582</v>
      </c>
      <c r="X344" s="2" t="s">
        <v>1907</v>
      </c>
      <c r="Y344" s="2" t="s">
        <v>632</v>
      </c>
      <c r="Z344" s="2">
        <v>9634</v>
      </c>
      <c r="AA344" s="3">
        <v>42796.218055555553</v>
      </c>
      <c r="AB344" s="2">
        <v>52353</v>
      </c>
      <c r="AC344" s="2">
        <v>502</v>
      </c>
      <c r="AD344" s="2">
        <v>10</v>
      </c>
      <c r="AE344" s="2">
        <v>0.1</v>
      </c>
      <c r="AF344" s="2" t="str" cm="1">
        <f t="array" ref="AF344">_xlfn.IFS(AE344=0, "No Discount ", AE344&lt;=0.08,"Low Discount", AE344&lt;=0.16,"Medium Discount", AE344&gt;0.16, "High Discount")</f>
        <v>Medium Discount</v>
      </c>
      <c r="AG344" s="2">
        <v>130831</v>
      </c>
      <c r="AH344" s="2">
        <v>50</v>
      </c>
      <c r="AI344" s="2">
        <v>0.24</v>
      </c>
      <c r="AJ344" s="2" t="str" cm="1">
        <f t="array" ref="AJ344">_xlfn.IFS(AI344&lt;=0, "No Profit", AI344&lt;=0.16,"Low Profit",AI344&lt;=0.32,"Medium Profit",AI344&gt;0.32,"High Profit")</f>
        <v>Medium Profit</v>
      </c>
      <c r="AK344" s="2">
        <v>2</v>
      </c>
      <c r="AL344" s="2">
        <v>100</v>
      </c>
      <c r="AM344" s="2">
        <v>90</v>
      </c>
      <c r="AN344" s="2">
        <v>21.42</v>
      </c>
      <c r="AO344" s="2" t="s">
        <v>607</v>
      </c>
      <c r="AP344" s="2" t="s">
        <v>1908</v>
      </c>
      <c r="AQ344" s="2" t="s">
        <v>155</v>
      </c>
      <c r="AR344" s="2" t="s">
        <v>81</v>
      </c>
      <c r="AS344" s="2">
        <v>502</v>
      </c>
      <c r="AT344" s="2">
        <v>24</v>
      </c>
      <c r="AU344" s="2" t="s">
        <v>442</v>
      </c>
      <c r="AV344" s="2">
        <v>50</v>
      </c>
      <c r="AW344" s="2">
        <v>0</v>
      </c>
      <c r="AX344" s="3">
        <v>42918.218055555553</v>
      </c>
      <c r="AY344" s="2" t="s">
        <v>83</v>
      </c>
      <c r="AZ344" s="4">
        <v>42796</v>
      </c>
      <c r="BA344" s="5">
        <v>0.21805555555555556</v>
      </c>
      <c r="BB344" s="2">
        <v>2017</v>
      </c>
      <c r="BC344" s="2" t="s">
        <v>85</v>
      </c>
      <c r="BD344" s="2">
        <v>2</v>
      </c>
      <c r="BE344" s="4">
        <v>42918</v>
      </c>
      <c r="BF344" s="5">
        <v>0.21805555555555556</v>
      </c>
      <c r="BG344" s="2" t="str" cm="1">
        <f t="array" ref="BG344">_xlfn.IFS(BF344&lt;TIMEVALUE("06:00"),"Night", BF344&gt;=TIMEVALUE("21:00"),"Night",BF344&gt;=TIMEVALUE("17:00"),"Evening",BF344&gt;=TIMEVALUE("12:00"),"Afternoon", BF344&gt;=TIMEVALUE("06:00"),"Morning")</f>
        <v>Night</v>
      </c>
      <c r="BH344" s="2">
        <v>2017</v>
      </c>
      <c r="BI344" s="2" t="s">
        <v>533</v>
      </c>
      <c r="BJ344" s="2">
        <v>2</v>
      </c>
    </row>
    <row r="345" spans="1:62" x14ac:dyDescent="0.3">
      <c r="A345" s="2" t="s">
        <v>86</v>
      </c>
      <c r="B345" s="2">
        <v>5</v>
      </c>
      <c r="C345" s="2">
        <v>4</v>
      </c>
      <c r="D345" s="2">
        <v>28.17</v>
      </c>
      <c r="E345" s="2">
        <v>90</v>
      </c>
      <c r="F345" s="2" t="s">
        <v>87</v>
      </c>
      <c r="G345" s="2" t="s">
        <v>88</v>
      </c>
      <c r="H345" s="2">
        <v>24</v>
      </c>
      <c r="I345" s="2" t="s">
        <v>435</v>
      </c>
      <c r="J345" s="2" t="s">
        <v>1666</v>
      </c>
      <c r="K345" s="2" t="s">
        <v>102</v>
      </c>
      <c r="L345" s="2" t="s">
        <v>1909</v>
      </c>
      <c r="M345" s="2">
        <v>8010</v>
      </c>
      <c r="N345" s="2" t="s">
        <v>425</v>
      </c>
      <c r="O345" s="2" t="s">
        <v>124</v>
      </c>
      <c r="P345" s="2" t="s">
        <v>1668</v>
      </c>
      <c r="Q345" s="2" t="s">
        <v>1910</v>
      </c>
      <c r="R345" s="2">
        <v>25401</v>
      </c>
      <c r="S345" s="2">
        <v>5</v>
      </c>
      <c r="T345" s="2" t="s">
        <v>427</v>
      </c>
      <c r="U345" s="2">
        <v>39.455711399999998</v>
      </c>
      <c r="V345" s="2">
        <v>-77.969177299999998</v>
      </c>
      <c r="W345" s="2" t="s">
        <v>582</v>
      </c>
      <c r="X345" s="2" t="s">
        <v>658</v>
      </c>
      <c r="Y345" s="2" t="s">
        <v>632</v>
      </c>
      <c r="Z345" s="2">
        <v>8010</v>
      </c>
      <c r="AA345" s="2" t="s">
        <v>1911</v>
      </c>
      <c r="AB345" s="2">
        <v>1784</v>
      </c>
      <c r="AC345" s="2">
        <v>502</v>
      </c>
      <c r="AD345" s="2">
        <v>10</v>
      </c>
      <c r="AE345" s="2">
        <v>0.1</v>
      </c>
      <c r="AF345" s="2" t="str" cm="1">
        <f t="array" ref="AF345">_xlfn.IFS(AE345=0, "No Discount ", AE345&lt;=0.08,"Low Discount", AE345&lt;=0.16,"Medium Discount", AE345&gt;0.16, "High Discount")</f>
        <v>Medium Discount</v>
      </c>
      <c r="AG345" s="2">
        <v>4452</v>
      </c>
      <c r="AH345" s="2">
        <v>50</v>
      </c>
      <c r="AI345" s="2">
        <v>0.31</v>
      </c>
      <c r="AJ345" s="2" t="str" cm="1">
        <f t="array" ref="AJ345">_xlfn.IFS(AI345&lt;=0, "No Profit", AI345&lt;=0.16,"Low Profit",AI345&lt;=0.32,"Medium Profit",AI345&gt;0.32,"High Profit")</f>
        <v>Medium Profit</v>
      </c>
      <c r="AK345" s="2">
        <v>2</v>
      </c>
      <c r="AL345" s="2">
        <v>100</v>
      </c>
      <c r="AM345" s="2">
        <v>90</v>
      </c>
      <c r="AN345" s="2">
        <v>28.17</v>
      </c>
      <c r="AO345" s="2" t="s">
        <v>607</v>
      </c>
      <c r="AP345" s="2" t="s">
        <v>658</v>
      </c>
      <c r="AQ345" s="2" t="s">
        <v>155</v>
      </c>
      <c r="AR345" s="2" t="s">
        <v>81</v>
      </c>
      <c r="AS345" s="2">
        <v>502</v>
      </c>
      <c r="AT345" s="2">
        <v>24</v>
      </c>
      <c r="AU345" s="2" t="s">
        <v>442</v>
      </c>
      <c r="AV345" s="2">
        <v>50</v>
      </c>
      <c r="AW345" s="2">
        <v>0</v>
      </c>
      <c r="AX345" s="3">
        <v>42006.027083333334</v>
      </c>
      <c r="AY345" s="2" t="s">
        <v>83</v>
      </c>
      <c r="AZ345" s="4">
        <v>42031</v>
      </c>
      <c r="BA345" s="5">
        <v>2.7083333333333334E-2</v>
      </c>
      <c r="BB345" s="2">
        <v>2015</v>
      </c>
      <c r="BC345" s="2" t="s">
        <v>84</v>
      </c>
      <c r="BD345" s="2">
        <v>27</v>
      </c>
      <c r="BE345" s="4">
        <v>42006</v>
      </c>
      <c r="BF345" s="5">
        <v>2.7083333333333334E-2</v>
      </c>
      <c r="BG345" s="2" t="str" cm="1">
        <f t="array" ref="BG345">_xlfn.IFS(BF345&lt;TIMEVALUE("06:00"),"Night", BF345&gt;=TIMEVALUE("21:00"),"Night",BF345&gt;=TIMEVALUE("17:00"),"Evening",BF345&gt;=TIMEVALUE("12:00"),"Afternoon", BF345&gt;=TIMEVALUE("06:00"),"Morning")</f>
        <v>Night</v>
      </c>
      <c r="BH345" s="2">
        <v>2015</v>
      </c>
      <c r="BI345" s="2" t="s">
        <v>84</v>
      </c>
      <c r="BJ345" s="2">
        <v>2</v>
      </c>
    </row>
    <row r="346" spans="1:62" x14ac:dyDescent="0.3">
      <c r="A346" s="2" t="s">
        <v>86</v>
      </c>
      <c r="B346" s="2">
        <v>3</v>
      </c>
      <c r="C346" s="2">
        <v>4</v>
      </c>
      <c r="D346" s="2">
        <v>-11.47</v>
      </c>
      <c r="E346" s="2">
        <v>70.38</v>
      </c>
      <c r="F346" s="2" t="s">
        <v>63</v>
      </c>
      <c r="G346" s="2" t="s">
        <v>64</v>
      </c>
      <c r="H346" s="2">
        <v>29</v>
      </c>
      <c r="I346" s="2" t="s">
        <v>424</v>
      </c>
      <c r="J346" s="2" t="s">
        <v>1912</v>
      </c>
      <c r="K346" s="2" t="s">
        <v>102</v>
      </c>
      <c r="L346" s="2" t="s">
        <v>1913</v>
      </c>
      <c r="M346" s="2">
        <v>3484</v>
      </c>
      <c r="N346" s="2" t="s">
        <v>1914</v>
      </c>
      <c r="O346" s="2" t="s">
        <v>124</v>
      </c>
      <c r="P346" s="2" t="s">
        <v>133</v>
      </c>
      <c r="Q346" s="2" t="s">
        <v>1915</v>
      </c>
      <c r="R346" s="2">
        <v>11706</v>
      </c>
      <c r="S346" s="2">
        <v>5</v>
      </c>
      <c r="T346" s="2" t="s">
        <v>427</v>
      </c>
      <c r="U346" s="2">
        <v>40.7403221</v>
      </c>
      <c r="V346" s="2">
        <v>-73.301139800000001</v>
      </c>
      <c r="W346" s="2" t="s">
        <v>582</v>
      </c>
      <c r="X346" s="2" t="s">
        <v>725</v>
      </c>
      <c r="Y346" s="2" t="s">
        <v>684</v>
      </c>
      <c r="Z346" s="2">
        <v>3484</v>
      </c>
      <c r="AA346" s="2" t="s">
        <v>1916</v>
      </c>
      <c r="AB346" s="2">
        <v>60317</v>
      </c>
      <c r="AC346" s="2">
        <v>627</v>
      </c>
      <c r="AD346" s="2">
        <v>9.6</v>
      </c>
      <c r="AE346" s="2">
        <v>0.12</v>
      </c>
      <c r="AF346" s="2" t="str" cm="1">
        <f t="array" ref="AF346">_xlfn.IFS(AE346=0, "No Discount ", AE346&lt;=0.08,"Low Discount", AE346&lt;=0.16,"Medium Discount", AE346&gt;0.16, "High Discount")</f>
        <v>Medium Discount</v>
      </c>
      <c r="AG346" s="2">
        <v>150929</v>
      </c>
      <c r="AH346" s="2">
        <v>39.99</v>
      </c>
      <c r="AI346" s="2">
        <v>-0.16</v>
      </c>
      <c r="AJ346" s="2" t="str" cm="1">
        <f t="array" ref="AJ346">_xlfn.IFS(AI346&lt;=0, "No Profit", AI346&lt;=0.16,"Low Profit",AI346&lt;=0.32,"Medium Profit",AI346&gt;0.32,"High Profit")</f>
        <v>No Profit</v>
      </c>
      <c r="AK346" s="2">
        <v>2</v>
      </c>
      <c r="AL346" s="2">
        <v>79.98</v>
      </c>
      <c r="AM346" s="2">
        <v>70.38</v>
      </c>
      <c r="AN346" s="2">
        <v>-11.47</v>
      </c>
      <c r="AO346" s="2" t="s">
        <v>601</v>
      </c>
      <c r="AP346" s="2" t="s">
        <v>725</v>
      </c>
      <c r="AQ346" s="2" t="s">
        <v>155</v>
      </c>
      <c r="AR346" s="2" t="s">
        <v>81</v>
      </c>
      <c r="AS346" s="2">
        <v>627</v>
      </c>
      <c r="AT346" s="2">
        <v>29</v>
      </c>
      <c r="AU346" s="2" t="s">
        <v>432</v>
      </c>
      <c r="AV346" s="2">
        <v>39.99</v>
      </c>
      <c r="AW346" s="2">
        <v>0</v>
      </c>
      <c r="AX346" s="3">
        <v>42772.473611111112</v>
      </c>
      <c r="AY346" s="2" t="s">
        <v>83</v>
      </c>
      <c r="AZ346" s="4">
        <v>42885</v>
      </c>
      <c r="BA346" s="5">
        <v>0.47361111111111109</v>
      </c>
      <c r="BB346" s="2">
        <v>2017</v>
      </c>
      <c r="BC346" s="2" t="s">
        <v>443</v>
      </c>
      <c r="BD346" s="2">
        <v>30</v>
      </c>
      <c r="BE346" s="4">
        <v>42772</v>
      </c>
      <c r="BF346" s="5">
        <v>0.47361111111111109</v>
      </c>
      <c r="BG346" s="2" t="str" cm="1">
        <f t="array" ref="BG346">_xlfn.IFS(BF346&lt;TIMEVALUE("06:00"),"Night", BF346&gt;=TIMEVALUE("21:00"),"Night",BF346&gt;=TIMEVALUE("17:00"),"Evening",BF346&gt;=TIMEVALUE("12:00"),"Afternoon", BF346&gt;=TIMEVALUE("06:00"),"Morning")</f>
        <v>Morning</v>
      </c>
      <c r="BH346" s="2">
        <v>2017</v>
      </c>
      <c r="BI346" s="2" t="s">
        <v>423</v>
      </c>
      <c r="BJ346" s="2">
        <v>6</v>
      </c>
    </row>
    <row r="347" spans="1:62" x14ac:dyDescent="0.3">
      <c r="A347" s="2" t="s">
        <v>86</v>
      </c>
      <c r="B347" s="2">
        <v>2</v>
      </c>
      <c r="C347" s="2">
        <v>4</v>
      </c>
      <c r="D347" s="2">
        <v>29.04</v>
      </c>
      <c r="E347" s="2">
        <v>88</v>
      </c>
      <c r="F347" s="2" t="s">
        <v>63</v>
      </c>
      <c r="G347" s="2" t="s">
        <v>64</v>
      </c>
      <c r="H347" s="2">
        <v>24</v>
      </c>
      <c r="I347" s="2" t="s">
        <v>435</v>
      </c>
      <c r="J347" s="2" t="s">
        <v>1917</v>
      </c>
      <c r="K347" s="2" t="s">
        <v>102</v>
      </c>
      <c r="L347" s="2" t="s">
        <v>1890</v>
      </c>
      <c r="M347" s="2">
        <v>7307</v>
      </c>
      <c r="N347" s="2" t="s">
        <v>1918</v>
      </c>
      <c r="O347" s="2" t="s">
        <v>124</v>
      </c>
      <c r="P347" s="2" t="s">
        <v>234</v>
      </c>
      <c r="Q347" s="2" t="s">
        <v>1919</v>
      </c>
      <c r="R347" s="2">
        <v>60067</v>
      </c>
      <c r="S347" s="2">
        <v>5</v>
      </c>
      <c r="T347" s="2" t="s">
        <v>427</v>
      </c>
      <c r="U347" s="2">
        <v>42.110485099999998</v>
      </c>
      <c r="V347" s="2">
        <v>-88.082366899999997</v>
      </c>
      <c r="W347" s="2" t="s">
        <v>582</v>
      </c>
      <c r="X347" s="2" t="s">
        <v>651</v>
      </c>
      <c r="Y347" s="2" t="s">
        <v>638</v>
      </c>
      <c r="Z347" s="2">
        <v>7307</v>
      </c>
      <c r="AA347" s="3">
        <v>42251.899305555555</v>
      </c>
      <c r="AB347" s="2">
        <v>6776</v>
      </c>
      <c r="AC347" s="2">
        <v>502</v>
      </c>
      <c r="AD347" s="2">
        <v>12</v>
      </c>
      <c r="AE347" s="2">
        <v>0.12</v>
      </c>
      <c r="AF347" s="2" t="str" cm="1">
        <f t="array" ref="AF347">_xlfn.IFS(AE347=0, "No Discount ", AE347&lt;=0.08,"Low Discount", AE347&lt;=0.16,"Medium Discount", AE347&gt;0.16, "High Discount")</f>
        <v>Medium Discount</v>
      </c>
      <c r="AG347" s="2">
        <v>16941</v>
      </c>
      <c r="AH347" s="2">
        <v>50</v>
      </c>
      <c r="AI347" s="2">
        <v>0.33</v>
      </c>
      <c r="AJ347" s="2" t="str" cm="1">
        <f t="array" ref="AJ347">_xlfn.IFS(AI347&lt;=0, "No Profit", AI347&lt;=0.16,"Low Profit",AI347&lt;=0.32,"Medium Profit",AI347&gt;0.32,"High Profit")</f>
        <v>High Profit</v>
      </c>
      <c r="AK347" s="2">
        <v>2</v>
      </c>
      <c r="AL347" s="2">
        <v>100</v>
      </c>
      <c r="AM347" s="2">
        <v>88</v>
      </c>
      <c r="AN347" s="2">
        <v>29.04</v>
      </c>
      <c r="AO347" s="2" t="s">
        <v>586</v>
      </c>
      <c r="AP347" s="2" t="s">
        <v>651</v>
      </c>
      <c r="AQ347" s="2" t="s">
        <v>155</v>
      </c>
      <c r="AR347" s="2" t="s">
        <v>81</v>
      </c>
      <c r="AS347" s="2">
        <v>502</v>
      </c>
      <c r="AT347" s="2">
        <v>24</v>
      </c>
      <c r="AU347" s="2" t="s">
        <v>442</v>
      </c>
      <c r="AV347" s="2">
        <v>50</v>
      </c>
      <c r="AW347" s="2">
        <v>0</v>
      </c>
      <c r="AX347" s="3">
        <v>42312.899305555555</v>
      </c>
      <c r="AY347" s="2" t="s">
        <v>83</v>
      </c>
      <c r="AZ347" s="4">
        <v>42251</v>
      </c>
      <c r="BA347" s="5">
        <v>0.89930555555555558</v>
      </c>
      <c r="BB347" s="2">
        <v>2015</v>
      </c>
      <c r="BC347" s="2" t="s">
        <v>552</v>
      </c>
      <c r="BD347" s="2">
        <v>4</v>
      </c>
      <c r="BE347" s="4">
        <v>42312</v>
      </c>
      <c r="BF347" s="5">
        <v>0.89930555555555558</v>
      </c>
      <c r="BG347" s="2" t="str" cm="1">
        <f t="array" ref="BG347">_xlfn.IFS(BF347&lt;TIMEVALUE("06:00"),"Night", BF347&gt;=TIMEVALUE("21:00"),"Night",BF347&gt;=TIMEVALUE("17:00"),"Evening",BF347&gt;=TIMEVALUE("12:00"),"Afternoon", BF347&gt;=TIMEVALUE("06:00"),"Morning")</f>
        <v>Night</v>
      </c>
      <c r="BH347" s="2">
        <v>2015</v>
      </c>
      <c r="BI347" s="2" t="s">
        <v>455</v>
      </c>
      <c r="BJ347" s="2">
        <v>4</v>
      </c>
    </row>
    <row r="348" spans="1:62" x14ac:dyDescent="0.3">
      <c r="A348" s="2" t="s">
        <v>86</v>
      </c>
      <c r="B348" s="2">
        <v>3</v>
      </c>
      <c r="C348" s="2">
        <v>4</v>
      </c>
      <c r="D348" s="2">
        <v>23.49</v>
      </c>
      <c r="E348" s="2">
        <v>87</v>
      </c>
      <c r="F348" s="2" t="s">
        <v>63</v>
      </c>
      <c r="G348" s="2" t="s">
        <v>64</v>
      </c>
      <c r="H348" s="2">
        <v>24</v>
      </c>
      <c r="I348" s="2" t="s">
        <v>435</v>
      </c>
      <c r="J348" s="2" t="s">
        <v>1920</v>
      </c>
      <c r="K348" s="2" t="s">
        <v>102</v>
      </c>
      <c r="L348" s="2" t="s">
        <v>414</v>
      </c>
      <c r="M348" s="2">
        <v>1975</v>
      </c>
      <c r="N348" s="2" t="s">
        <v>425</v>
      </c>
      <c r="O348" s="2" t="s">
        <v>124</v>
      </c>
      <c r="P348" s="2" t="s">
        <v>380</v>
      </c>
      <c r="Q348" s="2" t="s">
        <v>1921</v>
      </c>
      <c r="R348" s="2">
        <v>30080</v>
      </c>
      <c r="S348" s="2">
        <v>5</v>
      </c>
      <c r="T348" s="2" t="s">
        <v>427</v>
      </c>
      <c r="U348" s="2">
        <v>33.082828499999998</v>
      </c>
      <c r="V348" s="2">
        <v>-82.999870299999998</v>
      </c>
      <c r="W348" s="2" t="s">
        <v>582</v>
      </c>
      <c r="X348" s="2" t="s">
        <v>768</v>
      </c>
      <c r="Y348" s="2" t="s">
        <v>584</v>
      </c>
      <c r="Z348" s="2">
        <v>1975</v>
      </c>
      <c r="AA348" s="3">
        <v>42188.484722222223</v>
      </c>
      <c r="AB348" s="2">
        <v>4487</v>
      </c>
      <c r="AC348" s="2">
        <v>502</v>
      </c>
      <c r="AD348" s="2">
        <v>13</v>
      </c>
      <c r="AE348" s="2">
        <v>0.13</v>
      </c>
      <c r="AF348" s="2" t="str" cm="1">
        <f t="array" ref="AF348">_xlfn.IFS(AE348=0, "No Discount ", AE348&lt;=0.08,"Low Discount", AE348&lt;=0.16,"Medium Discount", AE348&gt;0.16, "High Discount")</f>
        <v>Medium Discount</v>
      </c>
      <c r="AG348" s="2">
        <v>11226</v>
      </c>
      <c r="AH348" s="2">
        <v>50</v>
      </c>
      <c r="AI348" s="2">
        <v>0.27</v>
      </c>
      <c r="AJ348" s="2" t="str" cm="1">
        <f t="array" ref="AJ348">_xlfn.IFS(AI348&lt;=0, "No Profit", AI348&lt;=0.16,"Low Profit",AI348&lt;=0.32,"Medium Profit",AI348&gt;0.32,"High Profit")</f>
        <v>Medium Profit</v>
      </c>
      <c r="AK348" s="2">
        <v>2</v>
      </c>
      <c r="AL348" s="2">
        <v>100</v>
      </c>
      <c r="AM348" s="2">
        <v>87</v>
      </c>
      <c r="AN348" s="2">
        <v>23.49</v>
      </c>
      <c r="AO348" s="2" t="s">
        <v>586</v>
      </c>
      <c r="AP348" s="2" t="s">
        <v>584</v>
      </c>
      <c r="AQ348" s="2" t="s">
        <v>155</v>
      </c>
      <c r="AR348" s="2" t="s">
        <v>81</v>
      </c>
      <c r="AS348" s="2">
        <v>502</v>
      </c>
      <c r="AT348" s="2">
        <v>24</v>
      </c>
      <c r="AU348" s="2" t="s">
        <v>442</v>
      </c>
      <c r="AV348" s="2">
        <v>50</v>
      </c>
      <c r="AW348" s="2">
        <v>0</v>
      </c>
      <c r="AX348" s="3">
        <v>42280.484722222223</v>
      </c>
      <c r="AY348" s="2" t="s">
        <v>83</v>
      </c>
      <c r="AZ348" s="4">
        <v>42188</v>
      </c>
      <c r="BA348" s="5">
        <v>0.48472222222222222</v>
      </c>
      <c r="BB348" s="2">
        <v>2015</v>
      </c>
      <c r="BC348" s="2" t="s">
        <v>533</v>
      </c>
      <c r="BD348" s="2">
        <v>3</v>
      </c>
      <c r="BE348" s="4">
        <v>42280</v>
      </c>
      <c r="BF348" s="5">
        <v>0.48472222222222222</v>
      </c>
      <c r="BG348" s="2" t="str" cm="1">
        <f t="array" ref="BG348">_xlfn.IFS(BF348&lt;TIMEVALUE("06:00"),"Night", BF348&gt;=TIMEVALUE("21:00"),"Night",BF348&gt;=TIMEVALUE("17:00"),"Evening",BF348&gt;=TIMEVALUE("12:00"),"Afternoon", BF348&gt;=TIMEVALUE("06:00"),"Morning")</f>
        <v>Morning</v>
      </c>
      <c r="BH348" s="2">
        <v>2015</v>
      </c>
      <c r="BI348" s="2" t="s">
        <v>434</v>
      </c>
      <c r="BJ348" s="2">
        <v>3</v>
      </c>
    </row>
    <row r="349" spans="1:62" x14ac:dyDescent="0.3">
      <c r="A349" s="2" t="s">
        <v>86</v>
      </c>
      <c r="B349" s="2">
        <v>2</v>
      </c>
      <c r="C349" s="2">
        <v>4</v>
      </c>
      <c r="D349" s="2">
        <v>19.13</v>
      </c>
      <c r="E349" s="2">
        <v>85</v>
      </c>
      <c r="F349" s="2" t="s">
        <v>63</v>
      </c>
      <c r="G349" s="2" t="s">
        <v>64</v>
      </c>
      <c r="H349" s="2">
        <v>24</v>
      </c>
      <c r="I349" s="2" t="s">
        <v>435</v>
      </c>
      <c r="J349" s="2" t="s">
        <v>1922</v>
      </c>
      <c r="K349" s="2" t="s">
        <v>102</v>
      </c>
      <c r="L349" s="2" t="s">
        <v>845</v>
      </c>
      <c r="M349" s="2">
        <v>629</v>
      </c>
      <c r="N349" s="2" t="s">
        <v>1923</v>
      </c>
      <c r="O349" s="2" t="s">
        <v>124</v>
      </c>
      <c r="P349" s="2" t="s">
        <v>105</v>
      </c>
      <c r="Q349" s="2" t="s">
        <v>1924</v>
      </c>
      <c r="R349" s="2">
        <v>91406</v>
      </c>
      <c r="S349" s="2">
        <v>5</v>
      </c>
      <c r="T349" s="2" t="s">
        <v>427</v>
      </c>
      <c r="U349" s="2">
        <v>34.197181700000002</v>
      </c>
      <c r="V349" s="2">
        <v>-118.4865265</v>
      </c>
      <c r="W349" s="2" t="s">
        <v>582</v>
      </c>
      <c r="X349" s="2" t="s">
        <v>1925</v>
      </c>
      <c r="Y349" s="2" t="s">
        <v>584</v>
      </c>
      <c r="Z349" s="2">
        <v>629</v>
      </c>
      <c r="AA349" s="2" t="s">
        <v>1926</v>
      </c>
      <c r="AB349" s="2">
        <v>9681</v>
      </c>
      <c r="AC349" s="2">
        <v>502</v>
      </c>
      <c r="AD349" s="2">
        <v>15</v>
      </c>
      <c r="AE349" s="2">
        <v>0.15</v>
      </c>
      <c r="AF349" s="2" t="str" cm="1">
        <f t="array" ref="AF349">_xlfn.IFS(AE349=0, "No Discount ", AE349&lt;=0.08,"Low Discount", AE349&lt;=0.16,"Medium Discount", AE349&gt;0.16, "High Discount")</f>
        <v>Medium Discount</v>
      </c>
      <c r="AG349" s="2">
        <v>24177</v>
      </c>
      <c r="AH349" s="2">
        <v>50</v>
      </c>
      <c r="AI349" s="2">
        <v>0.23</v>
      </c>
      <c r="AJ349" s="2" t="str" cm="1">
        <f t="array" ref="AJ349">_xlfn.IFS(AI349&lt;=0, "No Profit", AI349&lt;=0.16,"Low Profit",AI349&lt;=0.32,"Medium Profit",AI349&gt;0.32,"High Profit")</f>
        <v>Medium Profit</v>
      </c>
      <c r="AK349" s="2">
        <v>2</v>
      </c>
      <c r="AL349" s="2">
        <v>100</v>
      </c>
      <c r="AM349" s="2">
        <v>85</v>
      </c>
      <c r="AN349" s="2">
        <v>19.13</v>
      </c>
      <c r="AO349" s="2" t="s">
        <v>586</v>
      </c>
      <c r="AP349" s="2" t="s">
        <v>1925</v>
      </c>
      <c r="AQ349" s="2" t="s">
        <v>155</v>
      </c>
      <c r="AR349" s="2" t="s">
        <v>81</v>
      </c>
      <c r="AS349" s="2">
        <v>502</v>
      </c>
      <c r="AT349" s="2">
        <v>24</v>
      </c>
      <c r="AU349" s="2" t="s">
        <v>442</v>
      </c>
      <c r="AV349" s="2">
        <v>50</v>
      </c>
      <c r="AW349" s="2">
        <v>0</v>
      </c>
      <c r="AX349" s="2" t="s">
        <v>1927</v>
      </c>
      <c r="AY349" s="2" t="s">
        <v>83</v>
      </c>
      <c r="AZ349" s="4">
        <v>42146</v>
      </c>
      <c r="BA349" s="5">
        <v>0.30555555555555558</v>
      </c>
      <c r="BB349" s="2">
        <v>2015</v>
      </c>
      <c r="BC349" s="2" t="s">
        <v>443</v>
      </c>
      <c r="BD349" s="2">
        <v>22</v>
      </c>
      <c r="BE349" s="4">
        <v>42148</v>
      </c>
      <c r="BF349" s="5">
        <v>0.30555555555555558</v>
      </c>
      <c r="BG349" s="2" t="str" cm="1">
        <f t="array" ref="BG349">_xlfn.IFS(BF349&lt;TIMEVALUE("06:00"),"Night", BF349&gt;=TIMEVALUE("21:00"),"Night",BF349&gt;=TIMEVALUE("17:00"),"Evening",BF349&gt;=TIMEVALUE("12:00"),"Afternoon", BF349&gt;=TIMEVALUE("06:00"),"Morning")</f>
        <v>Morning</v>
      </c>
      <c r="BH349" s="2">
        <v>2015</v>
      </c>
      <c r="BI349" s="2" t="s">
        <v>443</v>
      </c>
      <c r="BJ349" s="2">
        <v>24</v>
      </c>
    </row>
    <row r="350" spans="1:62" x14ac:dyDescent="0.3">
      <c r="A350" s="2" t="s">
        <v>86</v>
      </c>
      <c r="B350" s="2">
        <v>4</v>
      </c>
      <c r="C350" s="2">
        <v>4</v>
      </c>
      <c r="D350" s="2">
        <v>5.97</v>
      </c>
      <c r="E350" s="2">
        <v>66.38</v>
      </c>
      <c r="F350" s="2" t="s">
        <v>100</v>
      </c>
      <c r="G350" s="2" t="s">
        <v>64</v>
      </c>
      <c r="H350" s="2">
        <v>29</v>
      </c>
      <c r="I350" s="2" t="s">
        <v>424</v>
      </c>
      <c r="J350" s="2" t="s">
        <v>1928</v>
      </c>
      <c r="K350" s="2" t="s">
        <v>102</v>
      </c>
      <c r="L350" s="2" t="s">
        <v>1607</v>
      </c>
      <c r="M350" s="2">
        <v>11753</v>
      </c>
      <c r="N350" s="2" t="s">
        <v>1929</v>
      </c>
      <c r="O350" s="2" t="s">
        <v>124</v>
      </c>
      <c r="P350" s="2" t="s">
        <v>152</v>
      </c>
      <c r="Q350" s="2" t="s">
        <v>1930</v>
      </c>
      <c r="R350" s="2">
        <v>33055</v>
      </c>
      <c r="S350" s="2">
        <v>5</v>
      </c>
      <c r="T350" s="2" t="s">
        <v>427</v>
      </c>
      <c r="U350" s="2">
        <v>25.9487801</v>
      </c>
      <c r="V350" s="2">
        <v>-80.287078899999997</v>
      </c>
      <c r="W350" s="2" t="s">
        <v>582</v>
      </c>
      <c r="X350" s="2" t="s">
        <v>1931</v>
      </c>
      <c r="Y350" s="2" t="s">
        <v>584</v>
      </c>
      <c r="Z350" s="2">
        <v>11753</v>
      </c>
      <c r="AA350" s="3">
        <v>42922.517361111109</v>
      </c>
      <c r="AB350" s="2">
        <v>60868</v>
      </c>
      <c r="AC350" s="2">
        <v>627</v>
      </c>
      <c r="AD350" s="2">
        <v>13.6</v>
      </c>
      <c r="AE350" s="2">
        <v>0.17</v>
      </c>
      <c r="AF350" s="2" t="str" cm="1">
        <f t="array" ref="AF350">_xlfn.IFS(AE350=0, "No Discount ", AE350&lt;=0.08,"Low Discount", AE350&lt;=0.16,"Medium Discount", AE350&gt;0.16, "High Discount")</f>
        <v>High Discount</v>
      </c>
      <c r="AG350" s="2">
        <v>152307</v>
      </c>
      <c r="AH350" s="2">
        <v>39.99</v>
      </c>
      <c r="AI350" s="2">
        <v>0.09</v>
      </c>
      <c r="AJ350" s="2" t="str" cm="1">
        <f t="array" ref="AJ350">_xlfn.IFS(AI350&lt;=0, "No Profit", AI350&lt;=0.16,"Low Profit",AI350&lt;=0.32,"Medium Profit",AI350&gt;0.32,"High Profit")</f>
        <v>Low Profit</v>
      </c>
      <c r="AK350" s="2">
        <v>2</v>
      </c>
      <c r="AL350" s="2">
        <v>79.98</v>
      </c>
      <c r="AM350" s="2">
        <v>66.38</v>
      </c>
      <c r="AN350" s="2">
        <v>5.97</v>
      </c>
      <c r="AO350" s="2" t="s">
        <v>586</v>
      </c>
      <c r="AP350" s="2" t="s">
        <v>584</v>
      </c>
      <c r="AQ350" s="2" t="s">
        <v>155</v>
      </c>
      <c r="AR350" s="2" t="s">
        <v>81</v>
      </c>
      <c r="AS350" s="2">
        <v>627</v>
      </c>
      <c r="AT350" s="2">
        <v>29</v>
      </c>
      <c r="AU350" s="2" t="s">
        <v>432</v>
      </c>
      <c r="AV350" s="2">
        <v>39.99</v>
      </c>
      <c r="AW350" s="2">
        <v>0</v>
      </c>
      <c r="AX350" s="3">
        <v>43045.517361111109</v>
      </c>
      <c r="AY350" s="2" t="s">
        <v>83</v>
      </c>
      <c r="AZ350" s="4">
        <v>42922</v>
      </c>
      <c r="BA350" s="5">
        <v>0.51736111111111116</v>
      </c>
      <c r="BB350" s="2">
        <v>2017</v>
      </c>
      <c r="BC350" s="2" t="s">
        <v>533</v>
      </c>
      <c r="BD350" s="2">
        <v>6</v>
      </c>
      <c r="BE350" s="4">
        <v>43045</v>
      </c>
      <c r="BF350" s="5">
        <v>0.51736111111111116</v>
      </c>
      <c r="BG350" s="2" t="str" cm="1">
        <f t="array" ref="BG350">_xlfn.IFS(BF350&lt;TIMEVALUE("06:00"),"Night", BF350&gt;=TIMEVALUE("21:00"),"Night",BF350&gt;=TIMEVALUE("17:00"),"Evening",BF350&gt;=TIMEVALUE("12:00"),"Afternoon", BF350&gt;=TIMEVALUE("06:00"),"Morning")</f>
        <v>Afternoon</v>
      </c>
      <c r="BH350" s="2">
        <v>2017</v>
      </c>
      <c r="BI350" s="2" t="s">
        <v>455</v>
      </c>
      <c r="BJ350" s="2">
        <v>6</v>
      </c>
    </row>
    <row r="351" spans="1:62" x14ac:dyDescent="0.3">
      <c r="A351" s="2" t="s">
        <v>86</v>
      </c>
      <c r="B351" s="2">
        <v>2</v>
      </c>
      <c r="C351" s="2">
        <v>4</v>
      </c>
      <c r="D351" s="2">
        <v>7.21</v>
      </c>
      <c r="E351" s="2">
        <v>65.58</v>
      </c>
      <c r="F351" s="2" t="s">
        <v>63</v>
      </c>
      <c r="G351" s="2" t="s">
        <v>64</v>
      </c>
      <c r="H351" s="2">
        <v>26</v>
      </c>
      <c r="I351" s="2" t="s">
        <v>1132</v>
      </c>
      <c r="J351" s="2" t="s">
        <v>110</v>
      </c>
      <c r="K351" s="2" t="s">
        <v>102</v>
      </c>
      <c r="L351" s="2" t="s">
        <v>1932</v>
      </c>
      <c r="M351" s="2">
        <v>5375</v>
      </c>
      <c r="N351" s="2" t="s">
        <v>1933</v>
      </c>
      <c r="O351" s="2" t="s">
        <v>124</v>
      </c>
      <c r="P351" s="2" t="s">
        <v>105</v>
      </c>
      <c r="Q351" s="2" t="s">
        <v>1934</v>
      </c>
      <c r="R351" s="2">
        <v>90046</v>
      </c>
      <c r="S351" s="2">
        <v>5</v>
      </c>
      <c r="T351" s="2" t="s">
        <v>427</v>
      </c>
      <c r="U351" s="2">
        <v>34.099609399999999</v>
      </c>
      <c r="V351" s="2">
        <v>-118.35073850000001</v>
      </c>
      <c r="W351" s="2" t="s">
        <v>582</v>
      </c>
      <c r="X351" s="2" t="s">
        <v>835</v>
      </c>
      <c r="Y351" s="2" t="s">
        <v>591</v>
      </c>
      <c r="Z351" s="2">
        <v>5375</v>
      </c>
      <c r="AA351" s="2" t="s">
        <v>1935</v>
      </c>
      <c r="AB351" s="2">
        <v>53231</v>
      </c>
      <c r="AC351" s="2">
        <v>572</v>
      </c>
      <c r="AD351" s="2">
        <v>14.4</v>
      </c>
      <c r="AE351" s="2">
        <v>0.18</v>
      </c>
      <c r="AF351" s="2" t="str" cm="1">
        <f t="array" ref="AF351">_xlfn.IFS(AE351=0, "No Discount ", AE351&lt;=0.08,"Low Discount", AE351&lt;=0.16,"Medium Discount", AE351&gt;0.16, "High Discount")</f>
        <v>High Discount</v>
      </c>
      <c r="AG351" s="2">
        <v>133008</v>
      </c>
      <c r="AH351" s="2">
        <v>39.99</v>
      </c>
      <c r="AI351" s="2">
        <v>0.11</v>
      </c>
      <c r="AJ351" s="2" t="str" cm="1">
        <f t="array" ref="AJ351">_xlfn.IFS(AI351&lt;=0, "No Profit", AI351&lt;=0.16,"Low Profit",AI351&lt;=0.32,"Medium Profit",AI351&gt;0.32,"High Profit")</f>
        <v>Low Profit</v>
      </c>
      <c r="AK351" s="2">
        <v>2</v>
      </c>
      <c r="AL351" s="2">
        <v>79.98</v>
      </c>
      <c r="AM351" s="2">
        <v>65.58</v>
      </c>
      <c r="AN351" s="2">
        <v>7.21</v>
      </c>
      <c r="AO351" s="2" t="s">
        <v>586</v>
      </c>
      <c r="AP351" s="2" t="s">
        <v>592</v>
      </c>
      <c r="AQ351" s="2" t="s">
        <v>155</v>
      </c>
      <c r="AR351" s="2" t="s">
        <v>81</v>
      </c>
      <c r="AS351" s="2">
        <v>572</v>
      </c>
      <c r="AT351" s="2">
        <v>26</v>
      </c>
      <c r="AU351" s="2" t="s">
        <v>1936</v>
      </c>
      <c r="AV351" s="2">
        <v>39.99</v>
      </c>
      <c r="AW351" s="2">
        <v>0</v>
      </c>
      <c r="AX351" s="2" t="s">
        <v>1937</v>
      </c>
      <c r="AY351" s="2" t="s">
        <v>83</v>
      </c>
      <c r="AZ351" s="4">
        <v>42782</v>
      </c>
      <c r="BA351" s="5">
        <v>3.4722222222222224E-2</v>
      </c>
      <c r="BB351" s="2">
        <v>2017</v>
      </c>
      <c r="BC351" s="2" t="s">
        <v>423</v>
      </c>
      <c r="BD351" s="2">
        <v>16</v>
      </c>
      <c r="BE351" s="4">
        <v>42784</v>
      </c>
      <c r="BF351" s="5">
        <v>3.4722222222222224E-2</v>
      </c>
      <c r="BG351" s="2" t="str" cm="1">
        <f t="array" ref="BG351">_xlfn.IFS(BF351&lt;TIMEVALUE("06:00"),"Night", BF351&gt;=TIMEVALUE("21:00"),"Night",BF351&gt;=TIMEVALUE("17:00"),"Evening",BF351&gt;=TIMEVALUE("12:00"),"Afternoon", BF351&gt;=TIMEVALUE("06:00"),"Morning")</f>
        <v>Night</v>
      </c>
      <c r="BH351" s="2">
        <v>2017</v>
      </c>
      <c r="BI351" s="2" t="s">
        <v>423</v>
      </c>
      <c r="BJ351" s="2">
        <v>18</v>
      </c>
    </row>
    <row r="352" spans="1:62" x14ac:dyDescent="0.3">
      <c r="A352" s="2" t="s">
        <v>86</v>
      </c>
      <c r="B352" s="2">
        <v>2</v>
      </c>
      <c r="C352" s="2">
        <v>4</v>
      </c>
      <c r="D352" s="2">
        <v>21.64</v>
      </c>
      <c r="E352" s="2">
        <v>65.58</v>
      </c>
      <c r="F352" s="2" t="s">
        <v>63</v>
      </c>
      <c r="G352" s="2" t="s">
        <v>64</v>
      </c>
      <c r="H352" s="2">
        <v>29</v>
      </c>
      <c r="I352" s="2" t="s">
        <v>424</v>
      </c>
      <c r="J352" s="2" t="s">
        <v>1288</v>
      </c>
      <c r="K352" s="2" t="s">
        <v>102</v>
      </c>
      <c r="L352" s="2" t="s">
        <v>1938</v>
      </c>
      <c r="M352" s="2">
        <v>1695</v>
      </c>
      <c r="N352" s="2" t="s">
        <v>1939</v>
      </c>
      <c r="O352" s="2" t="s">
        <v>124</v>
      </c>
      <c r="P352" s="2" t="s">
        <v>1290</v>
      </c>
      <c r="Q352" s="2" t="s">
        <v>1940</v>
      </c>
      <c r="R352" s="2">
        <v>55106</v>
      </c>
      <c r="S352" s="2">
        <v>5</v>
      </c>
      <c r="T352" s="2" t="s">
        <v>427</v>
      </c>
      <c r="U352" s="2">
        <v>44.9569817</v>
      </c>
      <c r="V352" s="2">
        <v>-93.065368699999993</v>
      </c>
      <c r="W352" s="2" t="s">
        <v>582</v>
      </c>
      <c r="X352" s="2" t="s">
        <v>1941</v>
      </c>
      <c r="Y352" s="2" t="s">
        <v>632</v>
      </c>
      <c r="Z352" s="2">
        <v>1695</v>
      </c>
      <c r="AA352" s="3">
        <v>42888.838194444441</v>
      </c>
      <c r="AB352" s="2">
        <v>52601</v>
      </c>
      <c r="AC352" s="2">
        <v>627</v>
      </c>
      <c r="AD352" s="2">
        <v>14.4</v>
      </c>
      <c r="AE352" s="2">
        <v>0.18</v>
      </c>
      <c r="AF352" s="2" t="str" cm="1">
        <f t="array" ref="AF352">_xlfn.IFS(AE352=0, "No Discount ", AE352&lt;=0.08,"Low Discount", AE352&lt;=0.16,"Medium Discount", AE352&gt;0.16, "High Discount")</f>
        <v>High Discount</v>
      </c>
      <c r="AG352" s="2">
        <v>131482</v>
      </c>
      <c r="AH352" s="2">
        <v>39.99</v>
      </c>
      <c r="AI352" s="2">
        <v>0.33</v>
      </c>
      <c r="AJ352" s="2" t="str" cm="1">
        <f t="array" ref="AJ352">_xlfn.IFS(AI352&lt;=0, "No Profit", AI352&lt;=0.16,"Low Profit",AI352&lt;=0.32,"Medium Profit",AI352&gt;0.32,"High Profit")</f>
        <v>High Profit</v>
      </c>
      <c r="AK352" s="2">
        <v>2</v>
      </c>
      <c r="AL352" s="2">
        <v>79.98</v>
      </c>
      <c r="AM352" s="2">
        <v>65.58</v>
      </c>
      <c r="AN352" s="2">
        <v>21.64</v>
      </c>
      <c r="AO352" s="2" t="s">
        <v>607</v>
      </c>
      <c r="AP352" s="2" t="s">
        <v>658</v>
      </c>
      <c r="AQ352" s="2" t="s">
        <v>155</v>
      </c>
      <c r="AR352" s="2" t="s">
        <v>81</v>
      </c>
      <c r="AS352" s="2">
        <v>627</v>
      </c>
      <c r="AT352" s="2">
        <v>29</v>
      </c>
      <c r="AU352" s="2" t="s">
        <v>432</v>
      </c>
      <c r="AV352" s="2">
        <v>39.99</v>
      </c>
      <c r="AW352" s="2">
        <v>0</v>
      </c>
      <c r="AX352" s="3">
        <v>42949.838194444441</v>
      </c>
      <c r="AY352" s="2" t="s">
        <v>83</v>
      </c>
      <c r="AZ352" s="4">
        <v>42888</v>
      </c>
      <c r="BA352" s="5">
        <v>0.83819444444444446</v>
      </c>
      <c r="BB352" s="2">
        <v>2017</v>
      </c>
      <c r="BC352" s="2" t="s">
        <v>474</v>
      </c>
      <c r="BD352" s="2">
        <v>2</v>
      </c>
      <c r="BE352" s="4">
        <v>42949</v>
      </c>
      <c r="BF352" s="5">
        <v>0.83819444444444446</v>
      </c>
      <c r="BG352" s="2" t="str" cm="1">
        <f t="array" ref="BG352">_xlfn.IFS(BF352&lt;TIMEVALUE("06:00"),"Night", BF352&gt;=TIMEVALUE("21:00"),"Night",BF352&gt;=TIMEVALUE("17:00"),"Evening",BF352&gt;=TIMEVALUE("12:00"),"Afternoon", BF352&gt;=TIMEVALUE("06:00"),"Morning")</f>
        <v>Evening</v>
      </c>
      <c r="BH352" s="2">
        <v>2017</v>
      </c>
      <c r="BI352" s="2" t="s">
        <v>482</v>
      </c>
      <c r="BJ352" s="2">
        <v>2</v>
      </c>
    </row>
    <row r="353" spans="1:62" x14ac:dyDescent="0.3">
      <c r="A353" s="2" t="s">
        <v>86</v>
      </c>
      <c r="B353" s="2">
        <v>6</v>
      </c>
      <c r="C353" s="2">
        <v>4</v>
      </c>
      <c r="D353" s="2">
        <v>-9.0500000000000007</v>
      </c>
      <c r="E353" s="2">
        <v>65.58</v>
      </c>
      <c r="F353" s="2" t="s">
        <v>87</v>
      </c>
      <c r="G353" s="2" t="s">
        <v>88</v>
      </c>
      <c r="H353" s="2">
        <v>29</v>
      </c>
      <c r="I353" s="2" t="s">
        <v>424</v>
      </c>
      <c r="J353" s="2" t="s">
        <v>1942</v>
      </c>
      <c r="K353" s="2" t="s">
        <v>102</v>
      </c>
      <c r="L353" s="2" t="s">
        <v>777</v>
      </c>
      <c r="M353" s="2">
        <v>9884</v>
      </c>
      <c r="N353" s="2" t="s">
        <v>1943</v>
      </c>
      <c r="O353" s="2" t="s">
        <v>124</v>
      </c>
      <c r="P353" s="2" t="s">
        <v>1163</v>
      </c>
      <c r="Q353" s="2" t="s">
        <v>1944</v>
      </c>
      <c r="R353" s="2">
        <v>8817</v>
      </c>
      <c r="S353" s="2">
        <v>5</v>
      </c>
      <c r="T353" s="2" t="s">
        <v>427</v>
      </c>
      <c r="U353" s="2">
        <v>40.525783500000003</v>
      </c>
      <c r="V353" s="2">
        <v>-74.394218499999994</v>
      </c>
      <c r="W353" s="2" t="s">
        <v>582</v>
      </c>
      <c r="X353" s="2" t="s">
        <v>1945</v>
      </c>
      <c r="Y353" s="2" t="s">
        <v>670</v>
      </c>
      <c r="Z353" s="2">
        <v>9884</v>
      </c>
      <c r="AA353" s="3">
        <v>42280.010416666664</v>
      </c>
      <c r="AB353" s="2">
        <v>4660</v>
      </c>
      <c r="AC353" s="2">
        <v>627</v>
      </c>
      <c r="AD353" s="2">
        <v>14.4</v>
      </c>
      <c r="AE353" s="2">
        <v>0.18</v>
      </c>
      <c r="AF353" s="2" t="str" cm="1">
        <f t="array" ref="AF353">_xlfn.IFS(AE353=0, "No Discount ", AE353&lt;=0.08,"Low Discount", AE353&lt;=0.16,"Medium Discount", AE353&gt;0.16, "High Discount")</f>
        <v>High Discount</v>
      </c>
      <c r="AG353" s="2">
        <v>11689</v>
      </c>
      <c r="AH353" s="2">
        <v>39.99</v>
      </c>
      <c r="AI353" s="2">
        <v>-0.14000000000000001</v>
      </c>
      <c r="AJ353" s="2" t="str" cm="1">
        <f t="array" ref="AJ353">_xlfn.IFS(AI353&lt;=0, "No Profit", AI353&lt;=0.16,"Low Profit",AI353&lt;=0.32,"Medium Profit",AI353&gt;0.32,"High Profit")</f>
        <v>No Profit</v>
      </c>
      <c r="AK353" s="2">
        <v>2</v>
      </c>
      <c r="AL353" s="2">
        <v>79.98</v>
      </c>
      <c r="AM353" s="2">
        <v>65.58</v>
      </c>
      <c r="AN353" s="2">
        <v>-9.0500000000000007</v>
      </c>
      <c r="AO353" s="2" t="s">
        <v>607</v>
      </c>
      <c r="AP353" s="2" t="s">
        <v>1946</v>
      </c>
      <c r="AQ353" s="2" t="s">
        <v>155</v>
      </c>
      <c r="AR353" s="2" t="s">
        <v>81</v>
      </c>
      <c r="AS353" s="2">
        <v>627</v>
      </c>
      <c r="AT353" s="2">
        <v>29</v>
      </c>
      <c r="AU353" s="2" t="s">
        <v>432</v>
      </c>
      <c r="AV353" s="2">
        <v>39.99</v>
      </c>
      <c r="AW353" s="2">
        <v>0</v>
      </c>
      <c r="AX353" s="2" t="s">
        <v>1947</v>
      </c>
      <c r="AY353" s="2" t="s">
        <v>83</v>
      </c>
      <c r="AZ353" s="4">
        <v>42280</v>
      </c>
      <c r="BA353" s="5">
        <v>1.0416666666666666E-2</v>
      </c>
      <c r="BB353" s="2">
        <v>2015</v>
      </c>
      <c r="BC353" s="2" t="s">
        <v>434</v>
      </c>
      <c r="BD353" s="2">
        <v>3</v>
      </c>
      <c r="BE353" s="4">
        <v>42079</v>
      </c>
      <c r="BF353" s="5">
        <v>1.0416666666666666E-2</v>
      </c>
      <c r="BG353" s="2" t="str" cm="1">
        <f t="array" ref="BG353">_xlfn.IFS(BF353&lt;TIMEVALUE("06:00"),"Night", BF353&gt;=TIMEVALUE("21:00"),"Night",BF353&gt;=TIMEVALUE("17:00"),"Evening",BF353&gt;=TIMEVALUE("12:00"),"Afternoon", BF353&gt;=TIMEVALUE("06:00"),"Morning")</f>
        <v>Night</v>
      </c>
      <c r="BH353" s="2">
        <v>2015</v>
      </c>
      <c r="BI353" s="2" t="s">
        <v>85</v>
      </c>
      <c r="BJ353" s="2">
        <v>16</v>
      </c>
    </row>
    <row r="354" spans="1:62" x14ac:dyDescent="0.3">
      <c r="A354" s="2" t="s">
        <v>86</v>
      </c>
      <c r="B354" s="2">
        <v>5</v>
      </c>
      <c r="C354" s="2">
        <v>4</v>
      </c>
      <c r="D354" s="2">
        <v>7.22</v>
      </c>
      <c r="E354" s="2">
        <v>82</v>
      </c>
      <c r="F354" s="2" t="s">
        <v>87</v>
      </c>
      <c r="G354" s="2" t="s">
        <v>88</v>
      </c>
      <c r="H354" s="2">
        <v>24</v>
      </c>
      <c r="I354" s="2" t="s">
        <v>435</v>
      </c>
      <c r="J354" s="2" t="s">
        <v>1948</v>
      </c>
      <c r="K354" s="2" t="s">
        <v>102</v>
      </c>
      <c r="L354" s="2" t="s">
        <v>1731</v>
      </c>
      <c r="M354" s="2">
        <v>8498</v>
      </c>
      <c r="N354" s="2" t="s">
        <v>379</v>
      </c>
      <c r="O354" s="2" t="s">
        <v>124</v>
      </c>
      <c r="P354" s="2" t="s">
        <v>333</v>
      </c>
      <c r="Q354" s="2" t="s">
        <v>1949</v>
      </c>
      <c r="R354" s="2">
        <v>77520</v>
      </c>
      <c r="S354" s="2">
        <v>5</v>
      </c>
      <c r="T354" s="2" t="s">
        <v>427</v>
      </c>
      <c r="U354" s="2">
        <v>29.737014800000001</v>
      </c>
      <c r="V354" s="2">
        <v>-94.968757600000004</v>
      </c>
      <c r="W354" s="2" t="s">
        <v>582</v>
      </c>
      <c r="X354" s="2" t="s">
        <v>1950</v>
      </c>
      <c r="Y354" s="2" t="s">
        <v>632</v>
      </c>
      <c r="Z354" s="2">
        <v>8498</v>
      </c>
      <c r="AA354" s="2" t="s">
        <v>1951</v>
      </c>
      <c r="AB354" s="2">
        <v>3539</v>
      </c>
      <c r="AC354" s="2">
        <v>502</v>
      </c>
      <c r="AD354" s="2">
        <v>18</v>
      </c>
      <c r="AE354" s="2">
        <v>0.18</v>
      </c>
      <c r="AF354" s="2" t="str" cm="1">
        <f t="array" ref="AF354">_xlfn.IFS(AE354=0, "No Discount ", AE354&lt;=0.08,"Low Discount", AE354&lt;=0.16,"Medium Discount", AE354&gt;0.16, "High Discount")</f>
        <v>High Discount</v>
      </c>
      <c r="AG354" s="2">
        <v>8807</v>
      </c>
      <c r="AH354" s="2">
        <v>50</v>
      </c>
      <c r="AI354" s="2">
        <v>0.09</v>
      </c>
      <c r="AJ354" s="2" t="str" cm="1">
        <f t="array" ref="AJ354">_xlfn.IFS(AI354&lt;=0, "No Profit", AI354&lt;=0.16,"Low Profit",AI354&lt;=0.32,"Medium Profit",AI354&gt;0.32,"High Profit")</f>
        <v>Low Profit</v>
      </c>
      <c r="AK354" s="2">
        <v>2</v>
      </c>
      <c r="AL354" s="2">
        <v>100</v>
      </c>
      <c r="AM354" s="2">
        <v>82</v>
      </c>
      <c r="AN354" s="2">
        <v>7.22</v>
      </c>
      <c r="AO354" s="2" t="s">
        <v>607</v>
      </c>
      <c r="AP354" s="2" t="s">
        <v>679</v>
      </c>
      <c r="AQ354" s="2" t="s">
        <v>155</v>
      </c>
      <c r="AR354" s="2" t="s">
        <v>81</v>
      </c>
      <c r="AS354" s="2">
        <v>502</v>
      </c>
      <c r="AT354" s="2">
        <v>24</v>
      </c>
      <c r="AU354" s="2" t="s">
        <v>442</v>
      </c>
      <c r="AV354" s="2">
        <v>50</v>
      </c>
      <c r="AW354" s="2">
        <v>0</v>
      </c>
      <c r="AX354" s="2" t="s">
        <v>1952</v>
      </c>
      <c r="AY354" s="2" t="s">
        <v>83</v>
      </c>
      <c r="AZ354" s="4">
        <v>42056</v>
      </c>
      <c r="BA354" s="5">
        <v>0.64652777777777781</v>
      </c>
      <c r="BB354" s="2">
        <v>2015</v>
      </c>
      <c r="BC354" s="2" t="s">
        <v>423</v>
      </c>
      <c r="BD354" s="2">
        <v>21</v>
      </c>
      <c r="BE354" s="4">
        <v>42061</v>
      </c>
      <c r="BF354" s="5">
        <v>0.64652777777777781</v>
      </c>
      <c r="BG354" s="2" t="str" cm="1">
        <f t="array" ref="BG354">_xlfn.IFS(BF354&lt;TIMEVALUE("06:00"),"Night", BF354&gt;=TIMEVALUE("21:00"),"Night",BF354&gt;=TIMEVALUE("17:00"),"Evening",BF354&gt;=TIMEVALUE("12:00"),"Afternoon", BF354&gt;=TIMEVALUE("06:00"),"Morning")</f>
        <v>Afternoon</v>
      </c>
      <c r="BH354" s="2">
        <v>2015</v>
      </c>
      <c r="BI354" s="2" t="s">
        <v>423</v>
      </c>
      <c r="BJ354" s="2">
        <v>26</v>
      </c>
    </row>
    <row r="355" spans="1:62" x14ac:dyDescent="0.3">
      <c r="A355" s="2" t="s">
        <v>86</v>
      </c>
      <c r="B355" s="2">
        <v>2</v>
      </c>
      <c r="C355" s="2">
        <v>4</v>
      </c>
      <c r="D355" s="2">
        <v>37.6</v>
      </c>
      <c r="E355" s="2">
        <v>80</v>
      </c>
      <c r="F355" s="2" t="s">
        <v>63</v>
      </c>
      <c r="G355" s="2" t="s">
        <v>64</v>
      </c>
      <c r="H355" s="2">
        <v>24</v>
      </c>
      <c r="I355" s="2" t="s">
        <v>435</v>
      </c>
      <c r="J355" s="2" t="s">
        <v>110</v>
      </c>
      <c r="K355" s="2" t="s">
        <v>102</v>
      </c>
      <c r="L355" s="2" t="s">
        <v>1932</v>
      </c>
      <c r="M355" s="2">
        <v>5375</v>
      </c>
      <c r="N355" s="2" t="s">
        <v>1933</v>
      </c>
      <c r="O355" s="2" t="s">
        <v>124</v>
      </c>
      <c r="P355" s="2" t="s">
        <v>105</v>
      </c>
      <c r="Q355" s="2" t="s">
        <v>1934</v>
      </c>
      <c r="R355" s="2">
        <v>90046</v>
      </c>
      <c r="S355" s="2">
        <v>5</v>
      </c>
      <c r="T355" s="2" t="s">
        <v>427</v>
      </c>
      <c r="U355" s="2">
        <v>34.099609399999999</v>
      </c>
      <c r="V355" s="2">
        <v>-118.35073850000001</v>
      </c>
      <c r="W355" s="2" t="s">
        <v>582</v>
      </c>
      <c r="X355" s="2" t="s">
        <v>835</v>
      </c>
      <c r="Y355" s="2" t="s">
        <v>591</v>
      </c>
      <c r="Z355" s="2">
        <v>5375</v>
      </c>
      <c r="AA355" s="2" t="s">
        <v>1935</v>
      </c>
      <c r="AB355" s="2">
        <v>53231</v>
      </c>
      <c r="AC355" s="2">
        <v>502</v>
      </c>
      <c r="AD355" s="2">
        <v>20</v>
      </c>
      <c r="AE355" s="2">
        <v>0.2</v>
      </c>
      <c r="AF355" s="2" t="str" cm="1">
        <f t="array" ref="AF355">_xlfn.IFS(AE355=0, "No Discount ", AE355&lt;=0.08,"Low Discount", AE355&lt;=0.16,"Medium Discount", AE355&gt;0.16, "High Discount")</f>
        <v>High Discount</v>
      </c>
      <c r="AG355" s="2">
        <v>133012</v>
      </c>
      <c r="AH355" s="2">
        <v>50</v>
      </c>
      <c r="AI355" s="2">
        <v>0.47</v>
      </c>
      <c r="AJ355" s="2" t="str" cm="1">
        <f t="array" ref="AJ355">_xlfn.IFS(AI355&lt;=0, "No Profit", AI355&lt;=0.16,"Low Profit",AI355&lt;=0.32,"Medium Profit",AI355&gt;0.32,"High Profit")</f>
        <v>High Profit</v>
      </c>
      <c r="AK355" s="2">
        <v>2</v>
      </c>
      <c r="AL355" s="2">
        <v>100</v>
      </c>
      <c r="AM355" s="2">
        <v>80</v>
      </c>
      <c r="AN355" s="2">
        <v>37.6</v>
      </c>
      <c r="AO355" s="2" t="s">
        <v>586</v>
      </c>
      <c r="AP355" s="2" t="s">
        <v>592</v>
      </c>
      <c r="AQ355" s="2" t="s">
        <v>155</v>
      </c>
      <c r="AR355" s="2" t="s">
        <v>81</v>
      </c>
      <c r="AS355" s="2">
        <v>502</v>
      </c>
      <c r="AT355" s="2">
        <v>24</v>
      </c>
      <c r="AU355" s="2" t="s">
        <v>442</v>
      </c>
      <c r="AV355" s="2">
        <v>50</v>
      </c>
      <c r="AW355" s="2">
        <v>0</v>
      </c>
      <c r="AX355" s="2" t="s">
        <v>1937</v>
      </c>
      <c r="AY355" s="2" t="s">
        <v>83</v>
      </c>
      <c r="AZ355" s="4">
        <v>42782</v>
      </c>
      <c r="BA355" s="5">
        <v>3.4722222222222224E-2</v>
      </c>
      <c r="BB355" s="2">
        <v>2017</v>
      </c>
      <c r="BC355" s="2" t="s">
        <v>423</v>
      </c>
      <c r="BD355" s="2">
        <v>16</v>
      </c>
      <c r="BE355" s="4">
        <v>42784</v>
      </c>
      <c r="BF355" s="5">
        <v>3.4722222222222224E-2</v>
      </c>
      <c r="BG355" s="2" t="str" cm="1">
        <f t="array" ref="BG355">_xlfn.IFS(BF355&lt;TIMEVALUE("06:00"),"Night", BF355&gt;=TIMEVALUE("21:00"),"Night",BF355&gt;=TIMEVALUE("17:00"),"Evening",BF355&gt;=TIMEVALUE("12:00"),"Afternoon", BF355&gt;=TIMEVALUE("06:00"),"Morning")</f>
        <v>Night</v>
      </c>
      <c r="BH355" s="2">
        <v>2017</v>
      </c>
      <c r="BI355" s="2" t="s">
        <v>423</v>
      </c>
      <c r="BJ355" s="2">
        <v>18</v>
      </c>
    </row>
    <row r="356" spans="1:62" x14ac:dyDescent="0.3">
      <c r="A356" s="2" t="s">
        <v>86</v>
      </c>
      <c r="B356" s="2">
        <v>4</v>
      </c>
      <c r="C356" s="2">
        <v>4</v>
      </c>
      <c r="D356" s="2">
        <v>36.799999999999997</v>
      </c>
      <c r="E356" s="2">
        <v>80</v>
      </c>
      <c r="F356" s="2" t="s">
        <v>100</v>
      </c>
      <c r="G356" s="2" t="s">
        <v>64</v>
      </c>
      <c r="H356" s="2">
        <v>24</v>
      </c>
      <c r="I356" s="2" t="s">
        <v>435</v>
      </c>
      <c r="J356" s="2" t="s">
        <v>1953</v>
      </c>
      <c r="K356" s="2" t="s">
        <v>102</v>
      </c>
      <c r="L356" s="2" t="s">
        <v>414</v>
      </c>
      <c r="M356" s="2">
        <v>7534</v>
      </c>
      <c r="N356" s="2" t="s">
        <v>425</v>
      </c>
      <c r="O356" s="2" t="s">
        <v>124</v>
      </c>
      <c r="P356" s="2" t="s">
        <v>105</v>
      </c>
      <c r="Q356" s="2" t="s">
        <v>1954</v>
      </c>
      <c r="R356" s="2">
        <v>91342</v>
      </c>
      <c r="S356" s="2">
        <v>5</v>
      </c>
      <c r="T356" s="2" t="s">
        <v>427</v>
      </c>
      <c r="U356" s="2">
        <v>34.310199699999998</v>
      </c>
      <c r="V356" s="2">
        <v>-118.4530792</v>
      </c>
      <c r="W356" s="2" t="s">
        <v>582</v>
      </c>
      <c r="X356" s="2" t="s">
        <v>1955</v>
      </c>
      <c r="Y356" s="2" t="s">
        <v>632</v>
      </c>
      <c r="Z356" s="2">
        <v>7534</v>
      </c>
      <c r="AA356" s="3">
        <v>42889.384027777778</v>
      </c>
      <c r="AB356" s="2">
        <v>54488</v>
      </c>
      <c r="AC356" s="2">
        <v>502</v>
      </c>
      <c r="AD356" s="2">
        <v>20</v>
      </c>
      <c r="AE356" s="2">
        <v>0.2</v>
      </c>
      <c r="AF356" s="2" t="str" cm="1">
        <f t="array" ref="AF356">_xlfn.IFS(AE356=0, "No Discount ", AE356&lt;=0.08,"Low Discount", AE356&lt;=0.16,"Medium Discount", AE356&gt;0.16, "High Discount")</f>
        <v>High Discount</v>
      </c>
      <c r="AG356" s="2">
        <v>136276</v>
      </c>
      <c r="AH356" s="2">
        <v>50</v>
      </c>
      <c r="AI356" s="2">
        <v>0.46</v>
      </c>
      <c r="AJ356" s="2" t="str" cm="1">
        <f t="array" ref="AJ356">_xlfn.IFS(AI356&lt;=0, "No Profit", AI356&lt;=0.16,"Low Profit",AI356&lt;=0.32,"Medium Profit",AI356&gt;0.32,"High Profit")</f>
        <v>High Profit</v>
      </c>
      <c r="AK356" s="2">
        <v>2</v>
      </c>
      <c r="AL356" s="2">
        <v>100</v>
      </c>
      <c r="AM356" s="2">
        <v>80</v>
      </c>
      <c r="AN356" s="2">
        <v>36.799999999999997</v>
      </c>
      <c r="AO356" s="2" t="s">
        <v>607</v>
      </c>
      <c r="AP356" s="2" t="s">
        <v>658</v>
      </c>
      <c r="AQ356" s="2" t="s">
        <v>155</v>
      </c>
      <c r="AR356" s="2" t="s">
        <v>81</v>
      </c>
      <c r="AS356" s="2">
        <v>502</v>
      </c>
      <c r="AT356" s="2">
        <v>24</v>
      </c>
      <c r="AU356" s="2" t="s">
        <v>442</v>
      </c>
      <c r="AV356" s="2">
        <v>50</v>
      </c>
      <c r="AW356" s="2">
        <v>0</v>
      </c>
      <c r="AX356" s="3">
        <v>43011.384027777778</v>
      </c>
      <c r="AY356" s="2" t="s">
        <v>83</v>
      </c>
      <c r="AZ356" s="4">
        <v>42889</v>
      </c>
      <c r="BA356" s="5">
        <v>0.3840277777777778</v>
      </c>
      <c r="BB356" s="2">
        <v>2017</v>
      </c>
      <c r="BC356" s="2" t="s">
        <v>474</v>
      </c>
      <c r="BD356" s="2">
        <v>3</v>
      </c>
      <c r="BE356" s="4">
        <v>43011</v>
      </c>
      <c r="BF356" s="5">
        <v>0.3840277777777778</v>
      </c>
      <c r="BG356" s="2" t="str" cm="1">
        <f t="array" ref="BG356">_xlfn.IFS(BF356&lt;TIMEVALUE("06:00"),"Night", BF356&gt;=TIMEVALUE("21:00"),"Night",BF356&gt;=TIMEVALUE("17:00"),"Evening",BF356&gt;=TIMEVALUE("12:00"),"Afternoon", BF356&gt;=TIMEVALUE("06:00"),"Morning")</f>
        <v>Morning</v>
      </c>
      <c r="BH356" s="2">
        <v>2017</v>
      </c>
      <c r="BI356" s="2" t="s">
        <v>434</v>
      </c>
      <c r="BJ356" s="2">
        <v>3</v>
      </c>
    </row>
    <row r="357" spans="1:62" x14ac:dyDescent="0.3">
      <c r="A357" s="2" t="s">
        <v>86</v>
      </c>
      <c r="B357" s="2">
        <v>2</v>
      </c>
      <c r="C357" s="2">
        <v>4</v>
      </c>
      <c r="D357" s="2">
        <v>16.2</v>
      </c>
      <c r="E357" s="2">
        <v>59.99</v>
      </c>
      <c r="F357" s="2" t="s">
        <v>63</v>
      </c>
      <c r="G357" s="2" t="s">
        <v>64</v>
      </c>
      <c r="H357" s="2">
        <v>29</v>
      </c>
      <c r="I357" s="2" t="s">
        <v>424</v>
      </c>
      <c r="J357" s="2" t="s">
        <v>1917</v>
      </c>
      <c r="K357" s="2" t="s">
        <v>102</v>
      </c>
      <c r="L357" s="2" t="s">
        <v>1890</v>
      </c>
      <c r="M357" s="2">
        <v>7307</v>
      </c>
      <c r="N357" s="2" t="s">
        <v>1918</v>
      </c>
      <c r="O357" s="2" t="s">
        <v>124</v>
      </c>
      <c r="P357" s="2" t="s">
        <v>234</v>
      </c>
      <c r="Q357" s="2" t="s">
        <v>1919</v>
      </c>
      <c r="R357" s="2">
        <v>60067</v>
      </c>
      <c r="S357" s="2">
        <v>5</v>
      </c>
      <c r="T357" s="2" t="s">
        <v>427</v>
      </c>
      <c r="U357" s="2">
        <v>42.110485099999998</v>
      </c>
      <c r="V357" s="2">
        <v>-88.082366899999997</v>
      </c>
      <c r="W357" s="2" t="s">
        <v>582</v>
      </c>
      <c r="X357" s="2" t="s">
        <v>651</v>
      </c>
      <c r="Y357" s="2" t="s">
        <v>638</v>
      </c>
      <c r="Z357" s="2">
        <v>7307</v>
      </c>
      <c r="AA357" s="3">
        <v>42251.899305555555</v>
      </c>
      <c r="AB357" s="2">
        <v>6776</v>
      </c>
      <c r="AC357" s="2">
        <v>627</v>
      </c>
      <c r="AD357" s="2">
        <v>20</v>
      </c>
      <c r="AE357" s="2">
        <v>0.25</v>
      </c>
      <c r="AF357" s="2" t="str" cm="1">
        <f t="array" ref="AF357">_xlfn.IFS(AE357=0, "No Discount ", AE357&lt;=0.08,"Low Discount", AE357&lt;=0.16,"Medium Discount", AE357&gt;0.16, "High Discount")</f>
        <v>High Discount</v>
      </c>
      <c r="AG357" s="2">
        <v>16942</v>
      </c>
      <c r="AH357" s="2">
        <v>39.99</v>
      </c>
      <c r="AI357" s="2">
        <v>0.27</v>
      </c>
      <c r="AJ357" s="2" t="str" cm="1">
        <f t="array" ref="AJ357">_xlfn.IFS(AI357&lt;=0, "No Profit", AI357&lt;=0.16,"Low Profit",AI357&lt;=0.32,"Medium Profit",AI357&gt;0.32,"High Profit")</f>
        <v>Medium Profit</v>
      </c>
      <c r="AK357" s="2">
        <v>2</v>
      </c>
      <c r="AL357" s="2">
        <v>79.98</v>
      </c>
      <c r="AM357" s="2">
        <v>59.99</v>
      </c>
      <c r="AN357" s="2">
        <v>16.2</v>
      </c>
      <c r="AO357" s="2" t="s">
        <v>586</v>
      </c>
      <c r="AP357" s="2" t="s">
        <v>651</v>
      </c>
      <c r="AQ357" s="2" t="s">
        <v>155</v>
      </c>
      <c r="AR357" s="2" t="s">
        <v>81</v>
      </c>
      <c r="AS357" s="2">
        <v>627</v>
      </c>
      <c r="AT357" s="2">
        <v>29</v>
      </c>
      <c r="AU357" s="2" t="s">
        <v>432</v>
      </c>
      <c r="AV357" s="2">
        <v>39.99</v>
      </c>
      <c r="AW357" s="2">
        <v>0</v>
      </c>
      <c r="AX357" s="3">
        <v>42312.899305555555</v>
      </c>
      <c r="AY357" s="2" t="s">
        <v>83</v>
      </c>
      <c r="AZ357" s="4">
        <v>42251</v>
      </c>
      <c r="BA357" s="5">
        <v>0.89930555555555558</v>
      </c>
      <c r="BB357" s="2">
        <v>2015</v>
      </c>
      <c r="BC357" s="2" t="s">
        <v>552</v>
      </c>
      <c r="BD357" s="2">
        <v>4</v>
      </c>
      <c r="BE357" s="4">
        <v>42312</v>
      </c>
      <c r="BF357" s="5">
        <v>0.89930555555555558</v>
      </c>
      <c r="BG357" s="2" t="str" cm="1">
        <f t="array" ref="BG357">_xlfn.IFS(BF357&lt;TIMEVALUE("06:00"),"Night", BF357&gt;=TIMEVALUE("21:00"),"Night",BF357&gt;=TIMEVALUE("17:00"),"Evening",BF357&gt;=TIMEVALUE("12:00"),"Afternoon", BF357&gt;=TIMEVALUE("06:00"),"Morning")</f>
        <v>Night</v>
      </c>
      <c r="BH357" s="2">
        <v>2015</v>
      </c>
      <c r="BI357" s="2" t="s">
        <v>455</v>
      </c>
      <c r="BJ357" s="2">
        <v>4</v>
      </c>
    </row>
    <row r="358" spans="1:62" x14ac:dyDescent="0.3">
      <c r="A358" s="2" t="s">
        <v>86</v>
      </c>
      <c r="B358" s="2">
        <v>5</v>
      </c>
      <c r="C358" s="2">
        <v>4</v>
      </c>
      <c r="D358" s="2">
        <v>27.59</v>
      </c>
      <c r="E358" s="2">
        <v>59.99</v>
      </c>
      <c r="F358" s="2" t="s">
        <v>87</v>
      </c>
      <c r="G358" s="2" t="s">
        <v>88</v>
      </c>
      <c r="H358" s="2">
        <v>29</v>
      </c>
      <c r="I358" s="2" t="s">
        <v>424</v>
      </c>
      <c r="J358" s="2" t="s">
        <v>1363</v>
      </c>
      <c r="K358" s="2" t="s">
        <v>102</v>
      </c>
      <c r="L358" s="2" t="s">
        <v>414</v>
      </c>
      <c r="M358" s="2">
        <v>123</v>
      </c>
      <c r="N358" s="2" t="s">
        <v>1956</v>
      </c>
      <c r="O358" s="2" t="s">
        <v>124</v>
      </c>
      <c r="P358" s="2" t="s">
        <v>1365</v>
      </c>
      <c r="Q358" s="2" t="s">
        <v>1957</v>
      </c>
      <c r="R358" s="2">
        <v>97701</v>
      </c>
      <c r="S358" s="2">
        <v>5</v>
      </c>
      <c r="T358" s="2" t="s">
        <v>427</v>
      </c>
      <c r="U358" s="2">
        <v>44.059738199999998</v>
      </c>
      <c r="V358" s="2">
        <v>-12.130937599999999</v>
      </c>
      <c r="W358" s="2" t="s">
        <v>582</v>
      </c>
      <c r="X358" s="2" t="s">
        <v>1958</v>
      </c>
      <c r="Y358" s="2" t="s">
        <v>638</v>
      </c>
      <c r="Z358" s="2">
        <v>123</v>
      </c>
      <c r="AA358" s="3">
        <v>42888.07916666667</v>
      </c>
      <c r="AB358" s="2">
        <v>52549</v>
      </c>
      <c r="AC358" s="2">
        <v>627</v>
      </c>
      <c r="AD358" s="2">
        <v>20</v>
      </c>
      <c r="AE358" s="2">
        <v>0.25</v>
      </c>
      <c r="AF358" s="2" t="str" cm="1">
        <f t="array" ref="AF358">_xlfn.IFS(AE358=0, "No Discount ", AE358&lt;=0.08,"Low Discount", AE358&lt;=0.16,"Medium Discount", AE358&gt;0.16, "High Discount")</f>
        <v>High Discount</v>
      </c>
      <c r="AG358" s="2">
        <v>131352</v>
      </c>
      <c r="AH358" s="2">
        <v>39.99</v>
      </c>
      <c r="AI358" s="2">
        <v>0.46</v>
      </c>
      <c r="AJ358" s="2" t="str" cm="1">
        <f t="array" ref="AJ358">_xlfn.IFS(AI358&lt;=0, "No Profit", AI358&lt;=0.16,"Low Profit",AI358&lt;=0.32,"Medium Profit",AI358&gt;0.32,"High Profit")</f>
        <v>High Profit</v>
      </c>
      <c r="AK358" s="2">
        <v>2</v>
      </c>
      <c r="AL358" s="2">
        <v>79.98</v>
      </c>
      <c r="AM358" s="2">
        <v>59.99</v>
      </c>
      <c r="AN358" s="2">
        <v>27.59</v>
      </c>
      <c r="AO358" s="2" t="s">
        <v>586</v>
      </c>
      <c r="AP358" s="2" t="s">
        <v>1959</v>
      </c>
      <c r="AQ358" s="2" t="s">
        <v>155</v>
      </c>
      <c r="AR358" s="2" t="s">
        <v>81</v>
      </c>
      <c r="AS358" s="2">
        <v>627</v>
      </c>
      <c r="AT358" s="2">
        <v>29</v>
      </c>
      <c r="AU358" s="2" t="s">
        <v>432</v>
      </c>
      <c r="AV358" s="2">
        <v>39.99</v>
      </c>
      <c r="AW358" s="2">
        <v>0</v>
      </c>
      <c r="AX358" s="3">
        <v>43041.07916666667</v>
      </c>
      <c r="AY358" s="2" t="s">
        <v>83</v>
      </c>
      <c r="AZ358" s="4">
        <v>42888</v>
      </c>
      <c r="BA358" s="5">
        <v>7.9166666666666663E-2</v>
      </c>
      <c r="BB358" s="2">
        <v>2017</v>
      </c>
      <c r="BC358" s="2" t="s">
        <v>474</v>
      </c>
      <c r="BD358" s="2">
        <v>2</v>
      </c>
      <c r="BE358" s="4">
        <v>43041</v>
      </c>
      <c r="BF358" s="5">
        <v>7.9166666666666663E-2</v>
      </c>
      <c r="BG358" s="2" t="str" cm="1">
        <f t="array" ref="BG358">_xlfn.IFS(BF358&lt;TIMEVALUE("06:00"),"Night", BF358&gt;=TIMEVALUE("21:00"),"Night",BF358&gt;=TIMEVALUE("17:00"),"Evening",BF358&gt;=TIMEVALUE("12:00"),"Afternoon", BF358&gt;=TIMEVALUE("06:00"),"Morning")</f>
        <v>Night</v>
      </c>
      <c r="BH358" s="2">
        <v>2017</v>
      </c>
      <c r="BI358" s="2" t="s">
        <v>455</v>
      </c>
      <c r="BJ358" s="2">
        <v>2</v>
      </c>
    </row>
    <row r="359" spans="1:62" x14ac:dyDescent="0.3">
      <c r="A359" s="2" t="s">
        <v>86</v>
      </c>
      <c r="B359" s="2">
        <v>2</v>
      </c>
      <c r="C359" s="2">
        <v>4</v>
      </c>
      <c r="D359" s="2">
        <v>12.75</v>
      </c>
      <c r="E359" s="2">
        <v>75</v>
      </c>
      <c r="F359" s="2" t="s">
        <v>63</v>
      </c>
      <c r="G359" s="2" t="s">
        <v>64</v>
      </c>
      <c r="H359" s="2">
        <v>24</v>
      </c>
      <c r="I359" s="2" t="s">
        <v>435</v>
      </c>
      <c r="J359" s="2" t="s">
        <v>1948</v>
      </c>
      <c r="K359" s="2" t="s">
        <v>102</v>
      </c>
      <c r="L359" s="2" t="s">
        <v>1731</v>
      </c>
      <c r="M359" s="2">
        <v>8498</v>
      </c>
      <c r="N359" s="2" t="s">
        <v>379</v>
      </c>
      <c r="O359" s="2" t="s">
        <v>124</v>
      </c>
      <c r="P359" s="2" t="s">
        <v>333</v>
      </c>
      <c r="Q359" s="2" t="s">
        <v>1949</v>
      </c>
      <c r="R359" s="2">
        <v>77520</v>
      </c>
      <c r="S359" s="2">
        <v>5</v>
      </c>
      <c r="T359" s="2" t="s">
        <v>427</v>
      </c>
      <c r="U359" s="2">
        <v>29.737014800000001</v>
      </c>
      <c r="V359" s="2">
        <v>-94.968757600000004</v>
      </c>
      <c r="W359" s="2" t="s">
        <v>582</v>
      </c>
      <c r="X359" s="2" t="s">
        <v>789</v>
      </c>
      <c r="Y359" s="2" t="s">
        <v>584</v>
      </c>
      <c r="Z359" s="2">
        <v>8498</v>
      </c>
      <c r="AA359" s="2" t="s">
        <v>1960</v>
      </c>
      <c r="AB359" s="2">
        <v>60361</v>
      </c>
      <c r="AC359" s="2">
        <v>502</v>
      </c>
      <c r="AD359" s="2">
        <v>25</v>
      </c>
      <c r="AE359" s="2">
        <v>0.25</v>
      </c>
      <c r="AF359" s="2" t="str" cm="1">
        <f t="array" ref="AF359">_xlfn.IFS(AE359=0, "No Discount ", AE359&lt;=0.08,"Low Discount", AE359&lt;=0.16,"Medium Discount", AE359&gt;0.16, "High Discount")</f>
        <v>High Discount</v>
      </c>
      <c r="AG359" s="2">
        <v>151061</v>
      </c>
      <c r="AH359" s="2">
        <v>50</v>
      </c>
      <c r="AI359" s="2">
        <v>0.17</v>
      </c>
      <c r="AJ359" s="2" t="str" cm="1">
        <f t="array" ref="AJ359">_xlfn.IFS(AI359&lt;=0, "No Profit", AI359&lt;=0.16,"Low Profit",AI359&lt;=0.32,"Medium Profit",AI359&gt;0.32,"High Profit")</f>
        <v>Medium Profit</v>
      </c>
      <c r="AK359" s="2">
        <v>2</v>
      </c>
      <c r="AL359" s="2">
        <v>100</v>
      </c>
      <c r="AM359" s="2">
        <v>75</v>
      </c>
      <c r="AN359" s="2">
        <v>12.75</v>
      </c>
      <c r="AO359" s="2" t="s">
        <v>586</v>
      </c>
      <c r="AP359" s="2" t="s">
        <v>584</v>
      </c>
      <c r="AQ359" s="2" t="s">
        <v>155</v>
      </c>
      <c r="AR359" s="2" t="s">
        <v>81</v>
      </c>
      <c r="AS359" s="2">
        <v>502</v>
      </c>
      <c r="AT359" s="2">
        <v>24</v>
      </c>
      <c r="AU359" s="2" t="s">
        <v>442</v>
      </c>
      <c r="AV359" s="2">
        <v>50</v>
      </c>
      <c r="AW359" s="2">
        <v>0</v>
      </c>
      <c r="AX359" s="3">
        <v>42772.115972222222</v>
      </c>
      <c r="AY359" s="2" t="s">
        <v>83</v>
      </c>
      <c r="AZ359" s="4">
        <v>42886</v>
      </c>
      <c r="BA359" s="5">
        <v>0.11597222222222223</v>
      </c>
      <c r="BB359" s="2">
        <v>2017</v>
      </c>
      <c r="BC359" s="2" t="s">
        <v>443</v>
      </c>
      <c r="BD359" s="2">
        <v>31</v>
      </c>
      <c r="BE359" s="4">
        <v>42772</v>
      </c>
      <c r="BF359" s="5">
        <v>0.11597222222222223</v>
      </c>
      <c r="BG359" s="2" t="str" cm="1">
        <f t="array" ref="BG359">_xlfn.IFS(BF359&lt;TIMEVALUE("06:00"),"Night", BF359&gt;=TIMEVALUE("21:00"),"Night",BF359&gt;=TIMEVALUE("17:00"),"Evening",BF359&gt;=TIMEVALUE("12:00"),"Afternoon", BF359&gt;=TIMEVALUE("06:00"),"Morning")</f>
        <v>Night</v>
      </c>
      <c r="BH359" s="2">
        <v>2017</v>
      </c>
      <c r="BI359" s="2" t="s">
        <v>423</v>
      </c>
      <c r="BJ359" s="2">
        <v>6</v>
      </c>
    </row>
    <row r="360" spans="1:62" x14ac:dyDescent="0.3">
      <c r="A360" s="2" t="s">
        <v>86</v>
      </c>
      <c r="B360" s="2">
        <v>6</v>
      </c>
      <c r="C360" s="2">
        <v>4</v>
      </c>
      <c r="D360" s="2">
        <v>19</v>
      </c>
      <c r="E360" s="2">
        <v>63.34</v>
      </c>
      <c r="F360" s="2" t="s">
        <v>87</v>
      </c>
      <c r="G360" s="2" t="s">
        <v>88</v>
      </c>
      <c r="H360" s="2">
        <v>37</v>
      </c>
      <c r="I360" s="2" t="s">
        <v>464</v>
      </c>
      <c r="J360" s="2" t="s">
        <v>1862</v>
      </c>
      <c r="K360" s="2" t="s">
        <v>102</v>
      </c>
      <c r="L360" s="2" t="s">
        <v>680</v>
      </c>
      <c r="M360" s="2">
        <v>9162</v>
      </c>
      <c r="N360" s="2" t="s">
        <v>1863</v>
      </c>
      <c r="O360" s="2" t="s">
        <v>124</v>
      </c>
      <c r="P360" s="2" t="s">
        <v>105</v>
      </c>
      <c r="Q360" s="2" t="s">
        <v>1864</v>
      </c>
      <c r="R360" s="2">
        <v>95240</v>
      </c>
      <c r="S360" s="2">
        <v>6</v>
      </c>
      <c r="T360" s="2" t="s">
        <v>515</v>
      </c>
      <c r="U360" s="2">
        <v>38.116024000000003</v>
      </c>
      <c r="V360" s="2">
        <v>-121.3637238</v>
      </c>
      <c r="W360" s="2" t="s">
        <v>582</v>
      </c>
      <c r="X360" s="2" t="s">
        <v>784</v>
      </c>
      <c r="Y360" s="2" t="s">
        <v>584</v>
      </c>
      <c r="Z360" s="2">
        <v>9162</v>
      </c>
      <c r="AA360" s="3">
        <v>42099.62777777778</v>
      </c>
      <c r="AB360" s="2">
        <v>8470</v>
      </c>
      <c r="AC360" s="2">
        <v>825</v>
      </c>
      <c r="AD360" s="2">
        <v>0.64</v>
      </c>
      <c r="AE360" s="2">
        <v>0.01</v>
      </c>
      <c r="AF360" s="2" t="str" cm="1">
        <f t="array" ref="AF360">_xlfn.IFS(AE360=0, "No Discount ", AE360&lt;=0.08,"Low Discount", AE360&lt;=0.16,"Medium Discount", AE360&gt;0.16, "High Discount")</f>
        <v>Low Discount</v>
      </c>
      <c r="AG360" s="2">
        <v>21145</v>
      </c>
      <c r="AH360" s="2">
        <v>31.99</v>
      </c>
      <c r="AI360" s="2">
        <v>0.3</v>
      </c>
      <c r="AJ360" s="2" t="str" cm="1">
        <f t="array" ref="AJ360">_xlfn.IFS(AI360&lt;=0, "No Profit", AI360&lt;=0.16,"Low Profit",AI360&lt;=0.32,"Medium Profit",AI360&gt;0.32,"High Profit")</f>
        <v>Medium Profit</v>
      </c>
      <c r="AK360" s="2">
        <v>2</v>
      </c>
      <c r="AL360" s="2">
        <v>63.98</v>
      </c>
      <c r="AM360" s="2">
        <v>63.34</v>
      </c>
      <c r="AN360" s="2">
        <v>19</v>
      </c>
      <c r="AO360" s="2" t="s">
        <v>586</v>
      </c>
      <c r="AP360" s="2" t="s">
        <v>784</v>
      </c>
      <c r="AQ360" s="2" t="s">
        <v>155</v>
      </c>
      <c r="AR360" s="2" t="s">
        <v>81</v>
      </c>
      <c r="AS360" s="2">
        <v>825</v>
      </c>
      <c r="AT360" s="2">
        <v>37</v>
      </c>
      <c r="AU360" s="2" t="s">
        <v>766</v>
      </c>
      <c r="AV360" s="2">
        <v>31.99</v>
      </c>
      <c r="AW360" s="2">
        <v>0</v>
      </c>
      <c r="AX360" s="3">
        <v>42282.62777777778</v>
      </c>
      <c r="AY360" s="2" t="s">
        <v>83</v>
      </c>
      <c r="AZ360" s="4">
        <v>42099</v>
      </c>
      <c r="BA360" s="5">
        <v>0.62777777777777777</v>
      </c>
      <c r="BB360" s="2">
        <v>2015</v>
      </c>
      <c r="BC360" s="2" t="s">
        <v>487</v>
      </c>
      <c r="BD360" s="2">
        <v>5</v>
      </c>
      <c r="BE360" s="4">
        <v>42282</v>
      </c>
      <c r="BF360" s="5">
        <v>0.62777777777777777</v>
      </c>
      <c r="BG360" s="2" t="str" cm="1">
        <f t="array" ref="BG360">_xlfn.IFS(BF360&lt;TIMEVALUE("06:00"),"Night", BF360&gt;=TIMEVALUE("21:00"),"Night",BF360&gt;=TIMEVALUE("17:00"),"Evening",BF360&gt;=TIMEVALUE("12:00"),"Afternoon", BF360&gt;=TIMEVALUE("06:00"),"Morning")</f>
        <v>Afternoon</v>
      </c>
      <c r="BH360" s="2">
        <v>2015</v>
      </c>
      <c r="BI360" s="2" t="s">
        <v>434</v>
      </c>
      <c r="BJ360" s="2">
        <v>5</v>
      </c>
    </row>
    <row r="361" spans="1:62" x14ac:dyDescent="0.3">
      <c r="A361" s="2" t="s">
        <v>86</v>
      </c>
      <c r="B361" s="2">
        <v>3</v>
      </c>
      <c r="C361" s="2">
        <v>4</v>
      </c>
      <c r="D361" s="2">
        <v>13.7</v>
      </c>
      <c r="E361" s="2">
        <v>47.23</v>
      </c>
      <c r="F361" s="2" t="s">
        <v>63</v>
      </c>
      <c r="G361" s="2" t="s">
        <v>64</v>
      </c>
      <c r="H361" s="2">
        <v>40</v>
      </c>
      <c r="I361" s="2" t="s">
        <v>1151</v>
      </c>
      <c r="J361" s="2" t="s">
        <v>1928</v>
      </c>
      <c r="K361" s="2" t="s">
        <v>102</v>
      </c>
      <c r="L361" s="2" t="s">
        <v>414</v>
      </c>
      <c r="M361" s="2">
        <v>8925</v>
      </c>
      <c r="N361" s="2" t="s">
        <v>1961</v>
      </c>
      <c r="O361" s="2" t="s">
        <v>124</v>
      </c>
      <c r="P361" s="2" t="s">
        <v>152</v>
      </c>
      <c r="Q361" s="2" t="s">
        <v>1962</v>
      </c>
      <c r="R361" s="2">
        <v>33055</v>
      </c>
      <c r="S361" s="2">
        <v>6</v>
      </c>
      <c r="T361" s="2" t="s">
        <v>515</v>
      </c>
      <c r="U361" s="2">
        <v>25.8980198</v>
      </c>
      <c r="V361" s="2">
        <v>-80.240203899999997</v>
      </c>
      <c r="W361" s="2" t="s">
        <v>582</v>
      </c>
      <c r="X361" s="2" t="s">
        <v>1963</v>
      </c>
      <c r="Y361" s="2" t="s">
        <v>632</v>
      </c>
      <c r="Z361" s="2">
        <v>8925</v>
      </c>
      <c r="AA361" s="2" t="s">
        <v>1964</v>
      </c>
      <c r="AB361" s="2">
        <v>5712</v>
      </c>
      <c r="AC361" s="2">
        <v>905</v>
      </c>
      <c r="AD361" s="2">
        <v>2.75</v>
      </c>
      <c r="AE361" s="2">
        <v>0.06</v>
      </c>
      <c r="AF361" s="2" t="str" cm="1">
        <f t="array" ref="AF361">_xlfn.IFS(AE361=0, "No Discount ", AE361&lt;=0.08,"Low Discount", AE361&lt;=0.16,"Medium Discount", AE361&gt;0.16, "High Discount")</f>
        <v>Low Discount</v>
      </c>
      <c r="AG361" s="2">
        <v>14229</v>
      </c>
      <c r="AH361" s="2">
        <v>24.99</v>
      </c>
      <c r="AI361" s="2">
        <v>0.28999999999999998</v>
      </c>
      <c r="AJ361" s="2" t="str" cm="1">
        <f t="array" ref="AJ361">_xlfn.IFS(AI361&lt;=0, "No Profit", AI361&lt;=0.16,"Low Profit",AI361&lt;=0.32,"Medium Profit",AI361&gt;0.32,"High Profit")</f>
        <v>Medium Profit</v>
      </c>
      <c r="AK361" s="2">
        <v>2</v>
      </c>
      <c r="AL361" s="2">
        <v>49.98</v>
      </c>
      <c r="AM361" s="2">
        <v>47.23</v>
      </c>
      <c r="AN361" s="2">
        <v>13.7</v>
      </c>
      <c r="AO361" s="2" t="s">
        <v>607</v>
      </c>
      <c r="AP361" s="2" t="s">
        <v>1965</v>
      </c>
      <c r="AQ361" s="2" t="s">
        <v>155</v>
      </c>
      <c r="AR361" s="2" t="s">
        <v>81</v>
      </c>
      <c r="AS361" s="2">
        <v>905</v>
      </c>
      <c r="AT361" s="2">
        <v>40</v>
      </c>
      <c r="AU361" s="2" t="s">
        <v>1194</v>
      </c>
      <c r="AV361" s="2">
        <v>24.99</v>
      </c>
      <c r="AW361" s="2">
        <v>0</v>
      </c>
      <c r="AX361" s="2" t="s">
        <v>1966</v>
      </c>
      <c r="AY361" s="2" t="s">
        <v>83</v>
      </c>
      <c r="AZ361" s="4">
        <v>42088</v>
      </c>
      <c r="BA361" s="5">
        <v>0.36736111111111114</v>
      </c>
      <c r="BB361" s="2">
        <v>2015</v>
      </c>
      <c r="BC361" s="2" t="s">
        <v>85</v>
      </c>
      <c r="BD361" s="2">
        <v>25</v>
      </c>
      <c r="BE361" s="4">
        <v>42091</v>
      </c>
      <c r="BF361" s="5">
        <v>0.36736111111111114</v>
      </c>
      <c r="BG361" s="2" t="str" cm="1">
        <f t="array" ref="BG361">_xlfn.IFS(BF361&lt;TIMEVALUE("06:00"),"Night", BF361&gt;=TIMEVALUE("21:00"),"Night",BF361&gt;=TIMEVALUE("17:00"),"Evening",BF361&gt;=TIMEVALUE("12:00"),"Afternoon", BF361&gt;=TIMEVALUE("06:00"),"Morning")</f>
        <v>Morning</v>
      </c>
      <c r="BH361" s="2">
        <v>2015</v>
      </c>
      <c r="BI361" s="2" t="s">
        <v>85</v>
      </c>
      <c r="BJ361" s="2">
        <v>28</v>
      </c>
    </row>
    <row r="362" spans="1:62" x14ac:dyDescent="0.3">
      <c r="A362" s="2" t="s">
        <v>86</v>
      </c>
      <c r="B362" s="2">
        <v>5</v>
      </c>
      <c r="C362" s="2">
        <v>4</v>
      </c>
      <c r="D362" s="2">
        <v>15.83</v>
      </c>
      <c r="E362" s="2">
        <v>35.979999999999997</v>
      </c>
      <c r="F362" s="2" t="s">
        <v>87</v>
      </c>
      <c r="G362" s="2" t="s">
        <v>88</v>
      </c>
      <c r="H362" s="2">
        <v>36</v>
      </c>
      <c r="I362" s="2" t="s">
        <v>1967</v>
      </c>
      <c r="J362" s="2" t="s">
        <v>1968</v>
      </c>
      <c r="K362" s="2" t="s">
        <v>102</v>
      </c>
      <c r="L362" s="2" t="s">
        <v>655</v>
      </c>
      <c r="M362" s="2">
        <v>5981</v>
      </c>
      <c r="N362" s="2" t="s">
        <v>1969</v>
      </c>
      <c r="O362" s="2" t="s">
        <v>124</v>
      </c>
      <c r="P362" s="2" t="s">
        <v>1290</v>
      </c>
      <c r="Q362" s="2" t="s">
        <v>1970</v>
      </c>
      <c r="R362" s="2">
        <v>55337</v>
      </c>
      <c r="S362" s="2">
        <v>6</v>
      </c>
      <c r="T362" s="2" t="s">
        <v>515</v>
      </c>
      <c r="U362" s="2">
        <v>44.770072900000002</v>
      </c>
      <c r="V362" s="2">
        <v>-93.284095800000003</v>
      </c>
      <c r="W362" s="2" t="s">
        <v>582</v>
      </c>
      <c r="X362" s="2" t="s">
        <v>1971</v>
      </c>
      <c r="Y362" s="2" t="s">
        <v>632</v>
      </c>
      <c r="Z362" s="2">
        <v>5981</v>
      </c>
      <c r="AA362" s="2" t="s">
        <v>1972</v>
      </c>
      <c r="AB362" s="2">
        <v>9309</v>
      </c>
      <c r="AC362" s="2">
        <v>804</v>
      </c>
      <c r="AD362" s="2">
        <v>4</v>
      </c>
      <c r="AE362" s="2">
        <v>0.1</v>
      </c>
      <c r="AF362" s="2" t="str" cm="1">
        <f t="array" ref="AF362">_xlfn.IFS(AE362=0, "No Discount ", AE362&lt;=0.08,"Low Discount", AE362&lt;=0.16,"Medium Discount", AE362&gt;0.16, "High Discount")</f>
        <v>Medium Discount</v>
      </c>
      <c r="AG362" s="2">
        <v>23226</v>
      </c>
      <c r="AH362" s="2">
        <v>19.989999999999998</v>
      </c>
      <c r="AI362" s="2">
        <v>0.44</v>
      </c>
      <c r="AJ362" s="2" t="str" cm="1">
        <f t="array" ref="AJ362">_xlfn.IFS(AI362&lt;=0, "No Profit", AI362&lt;=0.16,"Low Profit",AI362&lt;=0.32,"Medium Profit",AI362&gt;0.32,"High Profit")</f>
        <v>High Profit</v>
      </c>
      <c r="AK362" s="2">
        <v>2</v>
      </c>
      <c r="AL362" s="2">
        <v>39.979999999999997</v>
      </c>
      <c r="AM362" s="2">
        <v>35.979999999999997</v>
      </c>
      <c r="AN362" s="2">
        <v>15.83</v>
      </c>
      <c r="AO362" s="2" t="s">
        <v>607</v>
      </c>
      <c r="AP362" s="2" t="s">
        <v>723</v>
      </c>
      <c r="AQ362" s="2" t="s">
        <v>155</v>
      </c>
      <c r="AR362" s="2" t="s">
        <v>81</v>
      </c>
      <c r="AS362" s="2">
        <v>804</v>
      </c>
      <c r="AT362" s="2">
        <v>36</v>
      </c>
      <c r="AU362" s="2" t="s">
        <v>1973</v>
      </c>
      <c r="AV362" s="2">
        <v>19.989999999999998</v>
      </c>
      <c r="AW362" s="2">
        <v>0</v>
      </c>
      <c r="AX362" s="2" t="s">
        <v>1974</v>
      </c>
      <c r="AY362" s="2" t="s">
        <v>83</v>
      </c>
      <c r="AZ362" s="4">
        <v>42140</v>
      </c>
      <c r="BA362" s="5">
        <v>0.875</v>
      </c>
      <c r="BB362" s="2">
        <v>2015</v>
      </c>
      <c r="BC362" s="2" t="s">
        <v>443</v>
      </c>
      <c r="BD362" s="2">
        <v>16</v>
      </c>
      <c r="BE362" s="4">
        <v>42145</v>
      </c>
      <c r="BF362" s="5">
        <v>0.875</v>
      </c>
      <c r="BG362" s="2" t="str" cm="1">
        <f t="array" ref="BG362">_xlfn.IFS(BF362&lt;TIMEVALUE("06:00"),"Night", BF362&gt;=TIMEVALUE("21:00"),"Night",BF362&gt;=TIMEVALUE("17:00"),"Evening",BF362&gt;=TIMEVALUE("12:00"),"Afternoon", BF362&gt;=TIMEVALUE("06:00"),"Morning")</f>
        <v>Night</v>
      </c>
      <c r="BH362" s="2">
        <v>2015</v>
      </c>
      <c r="BI362" s="2" t="s">
        <v>443</v>
      </c>
      <c r="BJ362" s="2">
        <v>21</v>
      </c>
    </row>
    <row r="363" spans="1:62" x14ac:dyDescent="0.3">
      <c r="A363" s="2" t="s">
        <v>86</v>
      </c>
      <c r="B363" s="2">
        <v>6</v>
      </c>
      <c r="C363" s="2">
        <v>4</v>
      </c>
      <c r="D363" s="2">
        <v>26.44</v>
      </c>
      <c r="E363" s="2">
        <v>84.46</v>
      </c>
      <c r="F363" s="2" t="s">
        <v>87</v>
      </c>
      <c r="G363" s="2" t="s">
        <v>88</v>
      </c>
      <c r="H363" s="2">
        <v>37</v>
      </c>
      <c r="I363" s="2" t="s">
        <v>464</v>
      </c>
      <c r="J363" s="2" t="s">
        <v>1975</v>
      </c>
      <c r="K363" s="2" t="s">
        <v>102</v>
      </c>
      <c r="L363" s="2" t="s">
        <v>1491</v>
      </c>
      <c r="M363" s="2">
        <v>7347</v>
      </c>
      <c r="N363" s="2" t="s">
        <v>1976</v>
      </c>
      <c r="O363" s="2" t="s">
        <v>124</v>
      </c>
      <c r="P363" s="2" t="s">
        <v>133</v>
      </c>
      <c r="Q363" s="2" t="s">
        <v>1977</v>
      </c>
      <c r="R363" s="2">
        <v>11746</v>
      </c>
      <c r="S363" s="2">
        <v>6</v>
      </c>
      <c r="T363" s="2" t="s">
        <v>515</v>
      </c>
      <c r="U363" s="2">
        <v>40.856929800000003</v>
      </c>
      <c r="V363" s="2">
        <v>-73.396743799999996</v>
      </c>
      <c r="W363" s="2" t="s">
        <v>582</v>
      </c>
      <c r="X363" s="2" t="s">
        <v>1978</v>
      </c>
      <c r="Y363" s="2" t="s">
        <v>615</v>
      </c>
      <c r="Z363" s="2">
        <v>7347</v>
      </c>
      <c r="AA363" s="2" t="s">
        <v>1979</v>
      </c>
      <c r="AB363" s="2">
        <v>8095</v>
      </c>
      <c r="AC363" s="2">
        <v>822</v>
      </c>
      <c r="AD363" s="2">
        <v>11.52</v>
      </c>
      <c r="AE363" s="2">
        <v>0.12</v>
      </c>
      <c r="AF363" s="2" t="str" cm="1">
        <f t="array" ref="AF363">_xlfn.IFS(AE363=0, "No Discount ", AE363&lt;=0.08,"Low Discount", AE363&lt;=0.16,"Medium Discount", AE363&gt;0.16, "High Discount")</f>
        <v>Medium Discount</v>
      </c>
      <c r="AG363" s="2">
        <v>20211</v>
      </c>
      <c r="AH363" s="2">
        <v>47.99</v>
      </c>
      <c r="AI363" s="2">
        <v>0.31</v>
      </c>
      <c r="AJ363" s="2" t="str" cm="1">
        <f t="array" ref="AJ363">_xlfn.IFS(AI363&lt;=0, "No Profit", AI363&lt;=0.16,"Low Profit",AI363&lt;=0.32,"Medium Profit",AI363&gt;0.32,"High Profit")</f>
        <v>Medium Profit</v>
      </c>
      <c r="AK363" s="2">
        <v>2</v>
      </c>
      <c r="AL363" s="2">
        <v>95.98</v>
      </c>
      <c r="AM363" s="2">
        <v>84.46</v>
      </c>
      <c r="AN363" s="2">
        <v>26.44</v>
      </c>
      <c r="AO363" s="2" t="s">
        <v>607</v>
      </c>
      <c r="AP363" s="2" t="s">
        <v>1978</v>
      </c>
      <c r="AQ363" s="2" t="s">
        <v>155</v>
      </c>
      <c r="AR363" s="2" t="s">
        <v>81</v>
      </c>
      <c r="AS363" s="2">
        <v>822</v>
      </c>
      <c r="AT363" s="2">
        <v>37</v>
      </c>
      <c r="AU363" s="2" t="s">
        <v>1980</v>
      </c>
      <c r="AV363" s="2">
        <v>47.99</v>
      </c>
      <c r="AW363" s="2">
        <v>0</v>
      </c>
      <c r="AX363" s="3">
        <v>42129.15347222222</v>
      </c>
      <c r="AY363" s="2" t="s">
        <v>83</v>
      </c>
      <c r="AZ363" s="4">
        <v>42123</v>
      </c>
      <c r="BA363" s="5">
        <v>0.15347222222222223</v>
      </c>
      <c r="BB363" s="2">
        <v>2015</v>
      </c>
      <c r="BC363" s="2" t="s">
        <v>487</v>
      </c>
      <c r="BD363" s="2">
        <v>29</v>
      </c>
      <c r="BE363" s="4">
        <v>42129</v>
      </c>
      <c r="BF363" s="5">
        <v>0.15347222222222223</v>
      </c>
      <c r="BG363" s="2" t="str" cm="1">
        <f t="array" ref="BG363">_xlfn.IFS(BF363&lt;TIMEVALUE("06:00"),"Night", BF363&gt;=TIMEVALUE("21:00"),"Night",BF363&gt;=TIMEVALUE("17:00"),"Evening",BF363&gt;=TIMEVALUE("12:00"),"Afternoon", BF363&gt;=TIMEVALUE("06:00"),"Morning")</f>
        <v>Night</v>
      </c>
      <c r="BH363" s="2">
        <v>2015</v>
      </c>
      <c r="BI363" s="2" t="s">
        <v>443</v>
      </c>
      <c r="BJ363" s="2">
        <v>5</v>
      </c>
    </row>
    <row r="364" spans="1:62" x14ac:dyDescent="0.3">
      <c r="A364" s="2" t="s">
        <v>86</v>
      </c>
      <c r="B364" s="2">
        <v>3</v>
      </c>
      <c r="C364" s="2">
        <v>4</v>
      </c>
      <c r="D364" s="2">
        <v>-45.89</v>
      </c>
      <c r="E364" s="2">
        <v>262.2</v>
      </c>
      <c r="F364" s="2" t="s">
        <v>63</v>
      </c>
      <c r="G364" s="2" t="s">
        <v>64</v>
      </c>
      <c r="H364" s="2">
        <v>73</v>
      </c>
      <c r="I364" s="2" t="s">
        <v>65</v>
      </c>
      <c r="J364" s="2" t="s">
        <v>66</v>
      </c>
      <c r="K364" s="2" t="s">
        <v>67</v>
      </c>
      <c r="L364" s="2" t="s">
        <v>1981</v>
      </c>
      <c r="M364" s="2">
        <v>19445</v>
      </c>
      <c r="N364" s="2" t="s">
        <v>1982</v>
      </c>
      <c r="O364" s="2" t="s">
        <v>124</v>
      </c>
      <c r="P364" s="2" t="s">
        <v>71</v>
      </c>
      <c r="Q364" s="2" t="s">
        <v>1983</v>
      </c>
      <c r="R364" s="2">
        <v>725</v>
      </c>
      <c r="S364" s="2">
        <v>2</v>
      </c>
      <c r="T364" s="2" t="s">
        <v>73</v>
      </c>
      <c r="U364" s="2">
        <v>18.2913666</v>
      </c>
      <c r="V364" s="2">
        <v>-66.037056000000007</v>
      </c>
      <c r="W364" s="2" t="s">
        <v>74</v>
      </c>
      <c r="X364" s="2" t="s">
        <v>1984</v>
      </c>
      <c r="Y364" s="2" t="s">
        <v>93</v>
      </c>
      <c r="Z364" s="2">
        <v>19445</v>
      </c>
      <c r="AA364" s="3">
        <v>43435.832638888889</v>
      </c>
      <c r="AB364" s="2">
        <v>75892</v>
      </c>
      <c r="AC364" s="2">
        <v>1360</v>
      </c>
      <c r="AD364" s="2">
        <v>65.55</v>
      </c>
      <c r="AE364" s="2">
        <v>0.2</v>
      </c>
      <c r="AF364" s="2" t="str" cm="1">
        <f t="array" ref="AF364">_xlfn.IFS(AE364=0, "No Discount ", AE364&lt;=0.08,"Low Discount", AE364&lt;=0.16,"Medium Discount", AE364&gt;0.16, "High Discount")</f>
        <v>High Discount</v>
      </c>
      <c r="AG364" s="2">
        <v>179207</v>
      </c>
      <c r="AH364" s="2">
        <v>327.75</v>
      </c>
      <c r="AI364" s="2">
        <v>-0.18</v>
      </c>
      <c r="AJ364" s="2" t="str" cm="1">
        <f t="array" ref="AJ364">_xlfn.IFS(AI364&lt;=0, "No Profit", AI364&lt;=0.16,"Low Profit",AI364&lt;=0.32,"Medium Profit",AI364&gt;0.32,"High Profit")</f>
        <v>No Profit</v>
      </c>
      <c r="AK364" s="2">
        <v>1</v>
      </c>
      <c r="AL364" s="2">
        <v>327.75</v>
      </c>
      <c r="AM364" s="2">
        <v>262.2</v>
      </c>
      <c r="AN364" s="2">
        <v>-45.89</v>
      </c>
      <c r="AO364" s="2" t="s">
        <v>95</v>
      </c>
      <c r="AP364" s="2" t="s">
        <v>1985</v>
      </c>
      <c r="AQ364" s="2" t="s">
        <v>155</v>
      </c>
      <c r="AR364" s="2" t="s">
        <v>81</v>
      </c>
      <c r="AS364" s="2">
        <v>1360</v>
      </c>
      <c r="AT364" s="2">
        <v>73</v>
      </c>
      <c r="AU364" s="2" t="s">
        <v>82</v>
      </c>
      <c r="AV364" s="2">
        <v>327.75</v>
      </c>
      <c r="AW364" s="2">
        <v>0</v>
      </c>
      <c r="AX364" s="2" t="s">
        <v>1986</v>
      </c>
      <c r="AY364" s="2" t="s">
        <v>83</v>
      </c>
      <c r="AZ364" s="4">
        <v>43435</v>
      </c>
      <c r="BA364" s="5">
        <v>0.83263888888888893</v>
      </c>
      <c r="BB364" s="2">
        <v>2018</v>
      </c>
      <c r="BC364" s="2" t="s">
        <v>357</v>
      </c>
      <c r="BD364" s="2">
        <v>1</v>
      </c>
      <c r="BE364" s="4">
        <v>43115</v>
      </c>
      <c r="BF364" s="5">
        <v>0.83263888888888893</v>
      </c>
      <c r="BG364" s="2" t="str" cm="1">
        <f t="array" ref="BG364">_xlfn.IFS(BF364&lt;TIMEVALUE("06:00"),"Night", BF364&gt;=TIMEVALUE("21:00"),"Night",BF364&gt;=TIMEVALUE("17:00"),"Evening",BF364&gt;=TIMEVALUE("12:00"),"Afternoon", BF364&gt;=TIMEVALUE("06:00"),"Morning")</f>
        <v>Evening</v>
      </c>
      <c r="BH364" s="2">
        <v>2018</v>
      </c>
      <c r="BI364" s="2" t="s">
        <v>84</v>
      </c>
      <c r="BJ364" s="2">
        <v>15</v>
      </c>
    </row>
    <row r="365" spans="1:62" x14ac:dyDescent="0.3">
      <c r="A365" s="2" t="s">
        <v>62</v>
      </c>
      <c r="B365" s="2">
        <v>2</v>
      </c>
      <c r="C365" s="2">
        <v>4</v>
      </c>
      <c r="D365" s="2">
        <v>103.24</v>
      </c>
      <c r="E365" s="2">
        <v>245.81</v>
      </c>
      <c r="F365" s="2" t="s">
        <v>63</v>
      </c>
      <c r="G365" s="2" t="s">
        <v>64</v>
      </c>
      <c r="H365" s="2">
        <v>73</v>
      </c>
      <c r="I365" s="2" t="s">
        <v>65</v>
      </c>
      <c r="J365" s="2" t="s">
        <v>1987</v>
      </c>
      <c r="K365" s="2" t="s">
        <v>102</v>
      </c>
      <c r="L365" s="2" t="s">
        <v>1988</v>
      </c>
      <c r="M365" s="2">
        <v>19444</v>
      </c>
      <c r="N365" s="2" t="s">
        <v>1989</v>
      </c>
      <c r="O365" s="2" t="s">
        <v>124</v>
      </c>
      <c r="P365" s="2" t="s">
        <v>105</v>
      </c>
      <c r="Q365" s="2" t="s">
        <v>1990</v>
      </c>
      <c r="R365" s="2">
        <v>94087</v>
      </c>
      <c r="S365" s="2">
        <v>2</v>
      </c>
      <c r="T365" s="2" t="s">
        <v>73</v>
      </c>
      <c r="U365" s="2">
        <v>37.3446693</v>
      </c>
      <c r="V365" s="2">
        <v>-122.03566739999999</v>
      </c>
      <c r="W365" s="2" t="s">
        <v>74</v>
      </c>
      <c r="X365" s="2" t="s">
        <v>1991</v>
      </c>
      <c r="Y365" s="2" t="s">
        <v>143</v>
      </c>
      <c r="Z365" s="2">
        <v>19444</v>
      </c>
      <c r="AA365" s="3">
        <v>43435.818055555559</v>
      </c>
      <c r="AB365" s="2">
        <v>75891</v>
      </c>
      <c r="AC365" s="2">
        <v>1360</v>
      </c>
      <c r="AD365" s="2">
        <v>81.94</v>
      </c>
      <c r="AE365" s="2">
        <v>0.25</v>
      </c>
      <c r="AF365" s="2" t="str" cm="1">
        <f t="array" ref="AF365">_xlfn.IFS(AE365=0, "No Discount ", AE365&lt;=0.08,"Low Discount", AE365&lt;=0.16,"Medium Discount", AE365&gt;0.16, "High Discount")</f>
        <v>High Discount</v>
      </c>
      <c r="AG365" s="2">
        <v>179206</v>
      </c>
      <c r="AH365" s="2">
        <v>327.75</v>
      </c>
      <c r="AI365" s="2">
        <v>0.42</v>
      </c>
      <c r="AJ365" s="2" t="str" cm="1">
        <f t="array" ref="AJ365">_xlfn.IFS(AI365&lt;=0, "No Profit", AI365&lt;=0.16,"Low Profit",AI365&lt;=0.32,"Medium Profit",AI365&gt;0.32,"High Profit")</f>
        <v>High Profit</v>
      </c>
      <c r="AK365" s="2">
        <v>1</v>
      </c>
      <c r="AL365" s="2">
        <v>327.75</v>
      </c>
      <c r="AM365" s="2">
        <v>245.81</v>
      </c>
      <c r="AN365" s="2">
        <v>103.24</v>
      </c>
      <c r="AO365" s="2" t="s">
        <v>145</v>
      </c>
      <c r="AP365" s="2" t="s">
        <v>1465</v>
      </c>
      <c r="AQ365" s="2" t="s">
        <v>80</v>
      </c>
      <c r="AR365" s="2" t="s">
        <v>81</v>
      </c>
      <c r="AS365" s="2">
        <v>1360</v>
      </c>
      <c r="AT365" s="2">
        <v>73</v>
      </c>
      <c r="AU365" s="2" t="s">
        <v>82</v>
      </c>
      <c r="AV365" s="2">
        <v>327.75</v>
      </c>
      <c r="AW365" s="2">
        <v>0</v>
      </c>
      <c r="AX365" s="2" t="s">
        <v>1992</v>
      </c>
      <c r="AY365" s="2" t="s">
        <v>83</v>
      </c>
      <c r="AZ365" s="4">
        <v>43435</v>
      </c>
      <c r="BA365" s="5">
        <v>0.81805555555555554</v>
      </c>
      <c r="BB365" s="2">
        <v>2018</v>
      </c>
      <c r="BC365" s="2" t="s">
        <v>357</v>
      </c>
      <c r="BD365" s="2">
        <v>1</v>
      </c>
      <c r="BE365" s="4">
        <v>43114</v>
      </c>
      <c r="BF365" s="5">
        <v>0.81805555555555554</v>
      </c>
      <c r="BG365" s="2" t="str" cm="1">
        <f t="array" ref="BG365">_xlfn.IFS(BF365&lt;TIMEVALUE("06:00"),"Night", BF365&gt;=TIMEVALUE("21:00"),"Night",BF365&gt;=TIMEVALUE("17:00"),"Evening",BF365&gt;=TIMEVALUE("12:00"),"Afternoon", BF365&gt;=TIMEVALUE("06:00"),"Morning")</f>
        <v>Evening</v>
      </c>
      <c r="BH365" s="2">
        <v>2018</v>
      </c>
      <c r="BI365" s="2" t="s">
        <v>84</v>
      </c>
      <c r="BJ365" s="2">
        <v>14</v>
      </c>
    </row>
    <row r="366" spans="1:62" x14ac:dyDescent="0.3">
      <c r="A366" s="2" t="s">
        <v>62</v>
      </c>
      <c r="B366" s="2">
        <v>6</v>
      </c>
      <c r="C366" s="2">
        <v>2</v>
      </c>
      <c r="D366" s="2">
        <v>81.94</v>
      </c>
      <c r="E366" s="2">
        <v>327.75</v>
      </c>
      <c r="F366" s="2" t="s">
        <v>87</v>
      </c>
      <c r="G366" s="2" t="s">
        <v>88</v>
      </c>
      <c r="H366" s="2">
        <v>73</v>
      </c>
      <c r="I366" s="2" t="s">
        <v>65</v>
      </c>
      <c r="J366" s="2" t="s">
        <v>1993</v>
      </c>
      <c r="K366" s="2" t="s">
        <v>102</v>
      </c>
      <c r="L366" s="2" t="s">
        <v>1994</v>
      </c>
      <c r="M366" s="2">
        <v>19443</v>
      </c>
      <c r="N366" s="2" t="s">
        <v>1995</v>
      </c>
      <c r="O366" s="2" t="s">
        <v>124</v>
      </c>
      <c r="P366" s="2" t="s">
        <v>333</v>
      </c>
      <c r="Q366" s="2" t="s">
        <v>1996</v>
      </c>
      <c r="R366" s="2">
        <v>77478</v>
      </c>
      <c r="S366" s="2">
        <v>2</v>
      </c>
      <c r="T366" s="2" t="s">
        <v>73</v>
      </c>
      <c r="U366" s="2">
        <v>29.609605800000001</v>
      </c>
      <c r="V366" s="2">
        <v>-95.615936300000001</v>
      </c>
      <c r="W366" s="2" t="s">
        <v>74</v>
      </c>
      <c r="X366" s="2" t="s">
        <v>1991</v>
      </c>
      <c r="Y366" s="2" t="s">
        <v>143</v>
      </c>
      <c r="Z366" s="2">
        <v>19443</v>
      </c>
      <c r="AA366" s="3">
        <v>43435.803472222222</v>
      </c>
      <c r="AB366" s="2">
        <v>75890</v>
      </c>
      <c r="AC366" s="2">
        <v>1360</v>
      </c>
      <c r="AD366" s="2">
        <v>0</v>
      </c>
      <c r="AE366" s="2">
        <v>0</v>
      </c>
      <c r="AF366" s="2" t="str" cm="1">
        <f t="array" ref="AF366">_xlfn.IFS(AE366=0, "No Discount ", AE366&lt;=0.08,"Low Discount", AE366&lt;=0.16,"Medium Discount", AE366&gt;0.16, "High Discount")</f>
        <v xml:space="preserve">No Discount </v>
      </c>
      <c r="AG366" s="2">
        <v>179205</v>
      </c>
      <c r="AH366" s="2">
        <v>327.75</v>
      </c>
      <c r="AI366" s="2">
        <v>0.25</v>
      </c>
      <c r="AJ366" s="2" t="str" cm="1">
        <f t="array" ref="AJ366">_xlfn.IFS(AI366&lt;=0, "No Profit", AI366&lt;=0.16,"Low Profit",AI366&lt;=0.32,"Medium Profit",AI366&gt;0.32,"High Profit")</f>
        <v>Medium Profit</v>
      </c>
      <c r="AK366" s="2">
        <v>1</v>
      </c>
      <c r="AL366" s="2">
        <v>327.75</v>
      </c>
      <c r="AM366" s="2">
        <v>327.75</v>
      </c>
      <c r="AN366" s="2">
        <v>81.94</v>
      </c>
      <c r="AO366" s="2" t="s">
        <v>145</v>
      </c>
      <c r="AP366" s="2" t="s">
        <v>1465</v>
      </c>
      <c r="AQ366" s="2" t="s">
        <v>80</v>
      </c>
      <c r="AR366" s="2" t="s">
        <v>81</v>
      </c>
      <c r="AS366" s="2">
        <v>1360</v>
      </c>
      <c r="AT366" s="2">
        <v>73</v>
      </c>
      <c r="AU366" s="2" t="s">
        <v>82</v>
      </c>
      <c r="AV366" s="2">
        <v>327.75</v>
      </c>
      <c r="AW366" s="2">
        <v>0</v>
      </c>
      <c r="AX366" s="2" t="s">
        <v>1997</v>
      </c>
      <c r="AY366" s="2" t="s">
        <v>162</v>
      </c>
      <c r="AZ366" s="4">
        <v>43435</v>
      </c>
      <c r="BA366" s="5">
        <v>0.80347222222222225</v>
      </c>
      <c r="BB366" s="2">
        <v>2018</v>
      </c>
      <c r="BC366" s="2" t="s">
        <v>357</v>
      </c>
      <c r="BD366" s="2">
        <v>1</v>
      </c>
      <c r="BE366" s="4">
        <v>43118</v>
      </c>
      <c r="BF366" s="5">
        <v>0.80347222222222225</v>
      </c>
      <c r="BG366" s="2" t="str" cm="1">
        <f t="array" ref="BG366">_xlfn.IFS(BF366&lt;TIMEVALUE("06:00"),"Night", BF366&gt;=TIMEVALUE("21:00"),"Night",BF366&gt;=TIMEVALUE("17:00"),"Evening",BF366&gt;=TIMEVALUE("12:00"),"Afternoon", BF366&gt;=TIMEVALUE("06:00"),"Morning")</f>
        <v>Evening</v>
      </c>
      <c r="BH366" s="2">
        <v>2018</v>
      </c>
      <c r="BI366" s="2" t="s">
        <v>84</v>
      </c>
      <c r="BJ366" s="2">
        <v>18</v>
      </c>
    </row>
    <row r="367" spans="1:62" x14ac:dyDescent="0.3">
      <c r="A367" s="2" t="s">
        <v>62</v>
      </c>
      <c r="B367" s="2">
        <v>5</v>
      </c>
      <c r="C367" s="2">
        <v>4</v>
      </c>
      <c r="D367" s="2">
        <v>24.34</v>
      </c>
      <c r="E367" s="2">
        <v>324.47000000000003</v>
      </c>
      <c r="F367" s="2" t="s">
        <v>87</v>
      </c>
      <c r="G367" s="2" t="s">
        <v>88</v>
      </c>
      <c r="H367" s="2">
        <v>73</v>
      </c>
      <c r="I367" s="2" t="s">
        <v>65</v>
      </c>
      <c r="J367" s="2" t="s">
        <v>66</v>
      </c>
      <c r="K367" s="2" t="s">
        <v>67</v>
      </c>
      <c r="L367" s="2" t="s">
        <v>1998</v>
      </c>
      <c r="M367" s="2">
        <v>19442</v>
      </c>
      <c r="N367" s="2" t="s">
        <v>1097</v>
      </c>
      <c r="O367" s="2" t="s">
        <v>124</v>
      </c>
      <c r="P367" s="2" t="s">
        <v>71</v>
      </c>
      <c r="Q367" s="2" t="s">
        <v>1999</v>
      </c>
      <c r="R367" s="2">
        <v>725</v>
      </c>
      <c r="S367" s="2">
        <v>2</v>
      </c>
      <c r="T367" s="2" t="s">
        <v>73</v>
      </c>
      <c r="U367" s="2">
        <v>18.262641899999998</v>
      </c>
      <c r="V367" s="2">
        <v>-66.037056000000007</v>
      </c>
      <c r="W367" s="2" t="s">
        <v>74</v>
      </c>
      <c r="X367" s="2" t="s">
        <v>2000</v>
      </c>
      <c r="Y367" s="2" t="s">
        <v>2001</v>
      </c>
      <c r="Z367" s="2">
        <v>19442</v>
      </c>
      <c r="AA367" s="3">
        <v>43435.788888888892</v>
      </c>
      <c r="AB367" s="2">
        <v>75889</v>
      </c>
      <c r="AC367" s="2">
        <v>1360</v>
      </c>
      <c r="AD367" s="2">
        <v>3.28</v>
      </c>
      <c r="AE367" s="2">
        <v>0.01</v>
      </c>
      <c r="AF367" s="2" t="str" cm="1">
        <f t="array" ref="AF367">_xlfn.IFS(AE367=0, "No Discount ", AE367&lt;=0.08,"Low Discount", AE367&lt;=0.16,"Medium Discount", AE367&gt;0.16, "High Discount")</f>
        <v>Low Discount</v>
      </c>
      <c r="AG367" s="2">
        <v>179204</v>
      </c>
      <c r="AH367" s="2">
        <v>327.75</v>
      </c>
      <c r="AI367" s="2">
        <v>0.08</v>
      </c>
      <c r="AJ367" s="2" t="str" cm="1">
        <f t="array" ref="AJ367">_xlfn.IFS(AI367&lt;=0, "No Profit", AI367&lt;=0.16,"Low Profit",AI367&lt;=0.32,"Medium Profit",AI367&gt;0.32,"High Profit")</f>
        <v>Low Profit</v>
      </c>
      <c r="AK367" s="2">
        <v>1</v>
      </c>
      <c r="AL367" s="2">
        <v>327.75</v>
      </c>
      <c r="AM367" s="2">
        <v>324.47000000000003</v>
      </c>
      <c r="AN367" s="2">
        <v>24.34</v>
      </c>
      <c r="AO367" s="2" t="s">
        <v>95</v>
      </c>
      <c r="AP367" s="2" t="s">
        <v>2000</v>
      </c>
      <c r="AQ367" s="2" t="s">
        <v>80</v>
      </c>
      <c r="AR367" s="2" t="s">
        <v>81</v>
      </c>
      <c r="AS367" s="2">
        <v>1360</v>
      </c>
      <c r="AT367" s="2">
        <v>73</v>
      </c>
      <c r="AU367" s="2" t="s">
        <v>82</v>
      </c>
      <c r="AV367" s="2">
        <v>327.75</v>
      </c>
      <c r="AW367" s="2">
        <v>0</v>
      </c>
      <c r="AX367" s="2" t="s">
        <v>2002</v>
      </c>
      <c r="AY367" s="2" t="s">
        <v>83</v>
      </c>
      <c r="AZ367" s="4">
        <v>43435</v>
      </c>
      <c r="BA367" s="5">
        <v>0.78888888888888886</v>
      </c>
      <c r="BB367" s="2">
        <v>2018</v>
      </c>
      <c r="BC367" s="2" t="s">
        <v>357</v>
      </c>
      <c r="BD367" s="2">
        <v>1</v>
      </c>
      <c r="BE367" s="4">
        <v>43117</v>
      </c>
      <c r="BF367" s="5">
        <v>0.78888888888888886</v>
      </c>
      <c r="BG367" s="2" t="str" cm="1">
        <f t="array" ref="BG367">_xlfn.IFS(BF367&lt;TIMEVALUE("06:00"),"Night", BF367&gt;=TIMEVALUE("21:00"),"Night",BF367&gt;=TIMEVALUE("17:00"),"Evening",BF367&gt;=TIMEVALUE("12:00"),"Afternoon", BF367&gt;=TIMEVALUE("06:00"),"Morning")</f>
        <v>Evening</v>
      </c>
      <c r="BH367" s="2">
        <v>2018</v>
      </c>
      <c r="BI367" s="2" t="s">
        <v>84</v>
      </c>
      <c r="BJ367" s="2">
        <v>17</v>
      </c>
    </row>
    <row r="368" spans="1:62" x14ac:dyDescent="0.3">
      <c r="A368" s="2" t="s">
        <v>121</v>
      </c>
      <c r="B368" s="2">
        <v>4</v>
      </c>
      <c r="C368" s="2">
        <v>4</v>
      </c>
      <c r="D368" s="2">
        <v>-36.299999999999997</v>
      </c>
      <c r="E368" s="2">
        <v>321.2</v>
      </c>
      <c r="F368" s="2" t="s">
        <v>100</v>
      </c>
      <c r="G368" s="2" t="s">
        <v>64</v>
      </c>
      <c r="H368" s="2">
        <v>73</v>
      </c>
      <c r="I368" s="2" t="s">
        <v>65</v>
      </c>
      <c r="J368" s="2" t="s">
        <v>2003</v>
      </c>
      <c r="K368" s="2" t="s">
        <v>102</v>
      </c>
      <c r="L368" s="2" t="s">
        <v>2004</v>
      </c>
      <c r="M368" s="2">
        <v>19441</v>
      </c>
      <c r="N368" s="2" t="s">
        <v>1509</v>
      </c>
      <c r="O368" s="2" t="s">
        <v>124</v>
      </c>
      <c r="P368" s="2" t="s">
        <v>201</v>
      </c>
      <c r="Q368" s="2" t="s">
        <v>2005</v>
      </c>
      <c r="R368" s="2">
        <v>2135</v>
      </c>
      <c r="S368" s="2">
        <v>2</v>
      </c>
      <c r="T368" s="2" t="s">
        <v>73</v>
      </c>
      <c r="U368" s="2">
        <v>42.349628500000001</v>
      </c>
      <c r="V368" s="2">
        <v>-71.153282200000007</v>
      </c>
      <c r="W368" s="2" t="s">
        <v>74</v>
      </c>
      <c r="X368" s="2" t="s">
        <v>2000</v>
      </c>
      <c r="Y368" s="2" t="s">
        <v>2001</v>
      </c>
      <c r="Z368" s="2">
        <v>19441</v>
      </c>
      <c r="AA368" s="3">
        <v>43435.774305555555</v>
      </c>
      <c r="AB368" s="2">
        <v>75888</v>
      </c>
      <c r="AC368" s="2">
        <v>1360</v>
      </c>
      <c r="AD368" s="2">
        <v>6.56</v>
      </c>
      <c r="AE368" s="2">
        <v>0.02</v>
      </c>
      <c r="AF368" s="2" t="str" cm="1">
        <f t="array" ref="AF368">_xlfn.IFS(AE368=0, "No Discount ", AE368&lt;=0.08,"Low Discount", AE368&lt;=0.16,"Medium Discount", AE368&gt;0.16, "High Discount")</f>
        <v>Low Discount</v>
      </c>
      <c r="AG368" s="2">
        <v>179203</v>
      </c>
      <c r="AH368" s="2">
        <v>327.75</v>
      </c>
      <c r="AI368" s="2">
        <v>-0.11</v>
      </c>
      <c r="AJ368" s="2" t="str" cm="1">
        <f t="array" ref="AJ368">_xlfn.IFS(AI368&lt;=0, "No Profit", AI368&lt;=0.16,"Low Profit",AI368&lt;=0.32,"Medium Profit",AI368&gt;0.32,"High Profit")</f>
        <v>No Profit</v>
      </c>
      <c r="AK368" s="2">
        <v>1</v>
      </c>
      <c r="AL368" s="2">
        <v>327.75</v>
      </c>
      <c r="AM368" s="2">
        <v>321.2</v>
      </c>
      <c r="AN368" s="2">
        <v>-36.299999999999997</v>
      </c>
      <c r="AO368" s="2" t="s">
        <v>95</v>
      </c>
      <c r="AP368" s="2" t="s">
        <v>2000</v>
      </c>
      <c r="AQ368" s="2" t="s">
        <v>127</v>
      </c>
      <c r="AR368" s="2" t="s">
        <v>81</v>
      </c>
      <c r="AS368" s="2">
        <v>1360</v>
      </c>
      <c r="AT368" s="2">
        <v>73</v>
      </c>
      <c r="AU368" s="2" t="s">
        <v>82</v>
      </c>
      <c r="AV368" s="2">
        <v>327.75</v>
      </c>
      <c r="AW368" s="2">
        <v>0</v>
      </c>
      <c r="AX368" s="2" t="s">
        <v>2006</v>
      </c>
      <c r="AY368" s="2" t="s">
        <v>83</v>
      </c>
      <c r="AZ368" s="4">
        <v>43435</v>
      </c>
      <c r="BA368" s="5">
        <v>0.77430555555555558</v>
      </c>
      <c r="BB368" s="2">
        <v>2018</v>
      </c>
      <c r="BC368" s="2" t="s">
        <v>357</v>
      </c>
      <c r="BD368" s="2">
        <v>1</v>
      </c>
      <c r="BE368" s="4">
        <v>43116</v>
      </c>
      <c r="BF368" s="5">
        <v>0.77430555555555558</v>
      </c>
      <c r="BG368" s="2" t="str" cm="1">
        <f t="array" ref="BG368">_xlfn.IFS(BF368&lt;TIMEVALUE("06:00"),"Night", BF368&gt;=TIMEVALUE("21:00"),"Night",BF368&gt;=TIMEVALUE("17:00"),"Evening",BF368&gt;=TIMEVALUE("12:00"),"Afternoon", BF368&gt;=TIMEVALUE("06:00"),"Morning")</f>
        <v>Evening</v>
      </c>
      <c r="BH368" s="2">
        <v>2018</v>
      </c>
      <c r="BI368" s="2" t="s">
        <v>84</v>
      </c>
      <c r="BJ368" s="2">
        <v>16</v>
      </c>
    </row>
    <row r="369" spans="1:62" x14ac:dyDescent="0.3">
      <c r="A369" s="2" t="s">
        <v>62</v>
      </c>
      <c r="B369" s="2">
        <v>3</v>
      </c>
      <c r="C369" s="2">
        <v>4</v>
      </c>
      <c r="D369" s="2">
        <v>111.27</v>
      </c>
      <c r="E369" s="2">
        <v>317.92</v>
      </c>
      <c r="F369" s="2" t="s">
        <v>63</v>
      </c>
      <c r="G369" s="2" t="s">
        <v>64</v>
      </c>
      <c r="H369" s="2">
        <v>73</v>
      </c>
      <c r="I369" s="2" t="s">
        <v>65</v>
      </c>
      <c r="J369" s="2" t="s">
        <v>66</v>
      </c>
      <c r="K369" s="2" t="s">
        <v>67</v>
      </c>
      <c r="L369" s="2" t="s">
        <v>917</v>
      </c>
      <c r="M369" s="2">
        <v>19440</v>
      </c>
      <c r="N369" s="2" t="s">
        <v>1933</v>
      </c>
      <c r="O369" s="2" t="s">
        <v>124</v>
      </c>
      <c r="P369" s="2" t="s">
        <v>71</v>
      </c>
      <c r="Q369" s="2" t="s">
        <v>1664</v>
      </c>
      <c r="R369" s="2">
        <v>725</v>
      </c>
      <c r="S369" s="2">
        <v>2</v>
      </c>
      <c r="T369" s="2" t="s">
        <v>73</v>
      </c>
      <c r="U369" s="2">
        <v>18.258665100000002</v>
      </c>
      <c r="V369" s="2">
        <v>-66.037056000000007</v>
      </c>
      <c r="W369" s="2" t="s">
        <v>74</v>
      </c>
      <c r="X369" s="2" t="s">
        <v>2000</v>
      </c>
      <c r="Y369" s="2" t="s">
        <v>2001</v>
      </c>
      <c r="Z369" s="2">
        <v>19440</v>
      </c>
      <c r="AA369" s="3">
        <v>43435.759722222225</v>
      </c>
      <c r="AB369" s="2">
        <v>75887</v>
      </c>
      <c r="AC369" s="2">
        <v>1360</v>
      </c>
      <c r="AD369" s="2">
        <v>9.83</v>
      </c>
      <c r="AE369" s="2">
        <v>0.03</v>
      </c>
      <c r="AF369" s="2" t="str" cm="1">
        <f t="array" ref="AF369">_xlfn.IFS(AE369=0, "No Discount ", AE369&lt;=0.08,"Low Discount", AE369&lt;=0.16,"Medium Discount", AE369&gt;0.16, "High Discount")</f>
        <v>Low Discount</v>
      </c>
      <c r="AG369" s="2">
        <v>179202</v>
      </c>
      <c r="AH369" s="2">
        <v>327.75</v>
      </c>
      <c r="AI369" s="2">
        <v>0.35</v>
      </c>
      <c r="AJ369" s="2" t="str" cm="1">
        <f t="array" ref="AJ369">_xlfn.IFS(AI369&lt;=0, "No Profit", AI369&lt;=0.16,"Low Profit",AI369&lt;=0.32,"Medium Profit",AI369&gt;0.32,"High Profit")</f>
        <v>High Profit</v>
      </c>
      <c r="AK369" s="2">
        <v>1</v>
      </c>
      <c r="AL369" s="2">
        <v>327.75</v>
      </c>
      <c r="AM369" s="2">
        <v>317.92</v>
      </c>
      <c r="AN369" s="2">
        <v>111.27</v>
      </c>
      <c r="AO369" s="2" t="s">
        <v>95</v>
      </c>
      <c r="AP369" s="2" t="s">
        <v>2000</v>
      </c>
      <c r="AQ369" s="2" t="s">
        <v>80</v>
      </c>
      <c r="AR369" s="2" t="s">
        <v>81</v>
      </c>
      <c r="AS369" s="2">
        <v>1360</v>
      </c>
      <c r="AT369" s="2">
        <v>73</v>
      </c>
      <c r="AU369" s="2" t="s">
        <v>82</v>
      </c>
      <c r="AV369" s="2">
        <v>327.75</v>
      </c>
      <c r="AW369" s="2">
        <v>0</v>
      </c>
      <c r="AX369" s="2" t="s">
        <v>2007</v>
      </c>
      <c r="AY369" s="2" t="s">
        <v>83</v>
      </c>
      <c r="AZ369" s="4">
        <v>43435</v>
      </c>
      <c r="BA369" s="5">
        <v>0.75972222222222219</v>
      </c>
      <c r="BB369" s="2">
        <v>2018</v>
      </c>
      <c r="BC369" s="2" t="s">
        <v>357</v>
      </c>
      <c r="BD369" s="2">
        <v>1</v>
      </c>
      <c r="BE369" s="4">
        <v>43115</v>
      </c>
      <c r="BF369" s="5">
        <v>0.75972222222222219</v>
      </c>
      <c r="BG369" s="2" t="str" cm="1">
        <f t="array" ref="BG369">_xlfn.IFS(BF369&lt;TIMEVALUE("06:00"),"Night", BF369&gt;=TIMEVALUE("21:00"),"Night",BF369&gt;=TIMEVALUE("17:00"),"Evening",BF369&gt;=TIMEVALUE("12:00"),"Afternoon", BF369&gt;=TIMEVALUE("06:00"),"Morning")</f>
        <v>Evening</v>
      </c>
      <c r="BH369" s="2">
        <v>2018</v>
      </c>
      <c r="BI369" s="2" t="s">
        <v>84</v>
      </c>
      <c r="BJ369" s="2">
        <v>15</v>
      </c>
    </row>
    <row r="370" spans="1:62" x14ac:dyDescent="0.3">
      <c r="A370" s="2" t="s">
        <v>86</v>
      </c>
      <c r="B370" s="2">
        <v>2</v>
      </c>
      <c r="C370" s="2">
        <v>4</v>
      </c>
      <c r="D370" s="2">
        <v>114.21</v>
      </c>
      <c r="E370" s="2">
        <v>314.64</v>
      </c>
      <c r="F370" s="2" t="s">
        <v>129</v>
      </c>
      <c r="G370" s="2" t="s">
        <v>64</v>
      </c>
      <c r="H370" s="2">
        <v>73</v>
      </c>
      <c r="I370" s="2" t="s">
        <v>65</v>
      </c>
      <c r="J370" s="2" t="s">
        <v>1498</v>
      </c>
      <c r="K370" s="2" t="s">
        <v>102</v>
      </c>
      <c r="L370" s="2" t="s">
        <v>1036</v>
      </c>
      <c r="M370" s="2">
        <v>19439</v>
      </c>
      <c r="N370" s="2" t="s">
        <v>2008</v>
      </c>
      <c r="O370" s="2" t="s">
        <v>124</v>
      </c>
      <c r="P370" s="2" t="s">
        <v>105</v>
      </c>
      <c r="Q370" s="2" t="s">
        <v>2009</v>
      </c>
      <c r="R370" s="2">
        <v>92840</v>
      </c>
      <c r="S370" s="2">
        <v>2</v>
      </c>
      <c r="T370" s="2" t="s">
        <v>73</v>
      </c>
      <c r="U370" s="2">
        <v>33.7739525</v>
      </c>
      <c r="V370" s="2">
        <v>-117.9618988</v>
      </c>
      <c r="W370" s="2" t="s">
        <v>74</v>
      </c>
      <c r="X370" s="2" t="s">
        <v>2010</v>
      </c>
      <c r="Y370" s="2" t="s">
        <v>116</v>
      </c>
      <c r="Z370" s="2">
        <v>19439</v>
      </c>
      <c r="AA370" s="3">
        <v>43435.745138888888</v>
      </c>
      <c r="AB370" s="2">
        <v>75886</v>
      </c>
      <c r="AC370" s="2">
        <v>1360</v>
      </c>
      <c r="AD370" s="2">
        <v>13.11</v>
      </c>
      <c r="AE370" s="2">
        <v>0.04</v>
      </c>
      <c r="AF370" s="2" t="str" cm="1">
        <f t="array" ref="AF370">_xlfn.IFS(AE370=0, "No Discount ", AE370&lt;=0.08,"Low Discount", AE370&lt;=0.16,"Medium Discount", AE370&gt;0.16, "High Discount")</f>
        <v>Low Discount</v>
      </c>
      <c r="AG370" s="2">
        <v>179201</v>
      </c>
      <c r="AH370" s="2">
        <v>327.75</v>
      </c>
      <c r="AI370" s="2">
        <v>0.36</v>
      </c>
      <c r="AJ370" s="2" t="str" cm="1">
        <f t="array" ref="AJ370">_xlfn.IFS(AI370&lt;=0, "No Profit", AI370&lt;=0.16,"Low Profit",AI370&lt;=0.32,"Medium Profit",AI370&gt;0.32,"High Profit")</f>
        <v>High Profit</v>
      </c>
      <c r="AK370" s="2">
        <v>1</v>
      </c>
      <c r="AL370" s="2">
        <v>327.75</v>
      </c>
      <c r="AM370" s="2">
        <v>314.64</v>
      </c>
      <c r="AN370" s="2">
        <v>114.21</v>
      </c>
      <c r="AO370" s="2" t="s">
        <v>118</v>
      </c>
      <c r="AP370" s="2" t="s">
        <v>355</v>
      </c>
      <c r="AQ370" s="2" t="s">
        <v>137</v>
      </c>
      <c r="AR370" s="2" t="s">
        <v>81</v>
      </c>
      <c r="AS370" s="2">
        <v>1360</v>
      </c>
      <c r="AT370" s="2">
        <v>73</v>
      </c>
      <c r="AU370" s="2" t="s">
        <v>82</v>
      </c>
      <c r="AV370" s="2">
        <v>327.75</v>
      </c>
      <c r="AW370" s="2">
        <v>0</v>
      </c>
      <c r="AX370" s="2" t="s">
        <v>2011</v>
      </c>
      <c r="AY370" s="2" t="s">
        <v>83</v>
      </c>
      <c r="AZ370" s="4">
        <v>43435</v>
      </c>
      <c r="BA370" s="5">
        <v>0.74513888888888891</v>
      </c>
      <c r="BB370" s="2">
        <v>2018</v>
      </c>
      <c r="BC370" s="2" t="s">
        <v>357</v>
      </c>
      <c r="BD370" s="2">
        <v>1</v>
      </c>
      <c r="BE370" s="4">
        <v>43114</v>
      </c>
      <c r="BF370" s="5">
        <v>0.74513888888888891</v>
      </c>
      <c r="BG370" s="2" t="str" cm="1">
        <f t="array" ref="BG370">_xlfn.IFS(BF370&lt;TIMEVALUE("06:00"),"Night", BF370&gt;=TIMEVALUE("21:00"),"Night",BF370&gt;=TIMEVALUE("17:00"),"Evening",BF370&gt;=TIMEVALUE("12:00"),"Afternoon", BF370&gt;=TIMEVALUE("06:00"),"Morning")</f>
        <v>Evening</v>
      </c>
      <c r="BH370" s="2">
        <v>2018</v>
      </c>
      <c r="BI370" s="2" t="s">
        <v>84</v>
      </c>
      <c r="BJ370" s="2">
        <v>14</v>
      </c>
    </row>
    <row r="371" spans="1:62" x14ac:dyDescent="0.3">
      <c r="A371" s="2" t="s">
        <v>121</v>
      </c>
      <c r="B371" s="2">
        <v>6</v>
      </c>
      <c r="C371" s="2">
        <v>2</v>
      </c>
      <c r="D371" s="2">
        <v>-71.3</v>
      </c>
      <c r="E371" s="2">
        <v>311.36</v>
      </c>
      <c r="F371" s="2" t="s">
        <v>87</v>
      </c>
      <c r="G371" s="2" t="s">
        <v>88</v>
      </c>
      <c r="H371" s="2">
        <v>73</v>
      </c>
      <c r="I371" s="2" t="s">
        <v>65</v>
      </c>
      <c r="J371" s="2" t="s">
        <v>66</v>
      </c>
      <c r="K371" s="2" t="s">
        <v>67</v>
      </c>
      <c r="L371" s="2" t="s">
        <v>2012</v>
      </c>
      <c r="M371" s="2">
        <v>19438</v>
      </c>
      <c r="N371" s="2" t="s">
        <v>2013</v>
      </c>
      <c r="O371" s="2" t="s">
        <v>113</v>
      </c>
      <c r="P371" s="2" t="s">
        <v>71</v>
      </c>
      <c r="Q371" s="2" t="s">
        <v>2014</v>
      </c>
      <c r="R371" s="2">
        <v>725</v>
      </c>
      <c r="S371" s="2">
        <v>2</v>
      </c>
      <c r="T371" s="2" t="s">
        <v>73</v>
      </c>
      <c r="U371" s="2">
        <v>18.215097400000001</v>
      </c>
      <c r="V371" s="2">
        <v>-66.037063599999996</v>
      </c>
      <c r="W371" s="2" t="s">
        <v>74</v>
      </c>
      <c r="X371" s="2" t="s">
        <v>2015</v>
      </c>
      <c r="Y371" s="2" t="s">
        <v>76</v>
      </c>
      <c r="Z371" s="2">
        <v>19438</v>
      </c>
      <c r="AA371" s="3">
        <v>43435.730555555558</v>
      </c>
      <c r="AB371" s="2">
        <v>75885</v>
      </c>
      <c r="AC371" s="2">
        <v>1360</v>
      </c>
      <c r="AD371" s="2">
        <v>16.39</v>
      </c>
      <c r="AE371" s="2">
        <v>0.05</v>
      </c>
      <c r="AF371" s="2" t="str" cm="1">
        <f t="array" ref="AF371">_xlfn.IFS(AE371=0, "No Discount ", AE371&lt;=0.08,"Low Discount", AE371&lt;=0.16,"Medium Discount", AE371&gt;0.16, "High Discount")</f>
        <v>Low Discount</v>
      </c>
      <c r="AG371" s="2">
        <v>179200</v>
      </c>
      <c r="AH371" s="2">
        <v>327.75</v>
      </c>
      <c r="AI371" s="2">
        <v>-0.23</v>
      </c>
      <c r="AJ371" s="2" t="str" cm="1">
        <f t="array" ref="AJ371">_xlfn.IFS(AI371&lt;=0, "No Profit", AI371&lt;=0.16,"Low Profit",AI371&lt;=0.32,"Medium Profit",AI371&gt;0.32,"High Profit")</f>
        <v>No Profit</v>
      </c>
      <c r="AK371" s="2">
        <v>1</v>
      </c>
      <c r="AL371" s="2">
        <v>327.75</v>
      </c>
      <c r="AM371" s="2">
        <v>311.36</v>
      </c>
      <c r="AN371" s="2">
        <v>-71.3</v>
      </c>
      <c r="AO371" s="2" t="s">
        <v>78</v>
      </c>
      <c r="AP371" s="2" t="s">
        <v>79</v>
      </c>
      <c r="AQ371" s="2" t="s">
        <v>127</v>
      </c>
      <c r="AR371" s="2" t="s">
        <v>81</v>
      </c>
      <c r="AS371" s="2">
        <v>1360</v>
      </c>
      <c r="AT371" s="2">
        <v>73</v>
      </c>
      <c r="AU371" s="2" t="s">
        <v>82</v>
      </c>
      <c r="AV371" s="2">
        <v>327.75</v>
      </c>
      <c r="AW371" s="2">
        <v>0</v>
      </c>
      <c r="AX371" s="2" t="s">
        <v>2016</v>
      </c>
      <c r="AY371" s="2" t="s">
        <v>162</v>
      </c>
      <c r="AZ371" s="4">
        <v>43435</v>
      </c>
      <c r="BA371" s="5">
        <v>0.73055555555555551</v>
      </c>
      <c r="BB371" s="2">
        <v>2018</v>
      </c>
      <c r="BC371" s="2" t="s">
        <v>357</v>
      </c>
      <c r="BD371" s="2">
        <v>1</v>
      </c>
      <c r="BE371" s="4">
        <v>43118</v>
      </c>
      <c r="BF371" s="5">
        <v>0.73055555555555551</v>
      </c>
      <c r="BG371" s="2" t="str" cm="1">
        <f t="array" ref="BG371">_xlfn.IFS(BF371&lt;TIMEVALUE("06:00"),"Night", BF371&gt;=TIMEVALUE("21:00"),"Night",BF371&gt;=TIMEVALUE("17:00"),"Evening",BF371&gt;=TIMEVALUE("12:00"),"Afternoon", BF371&gt;=TIMEVALUE("06:00"),"Morning")</f>
        <v>Evening</v>
      </c>
      <c r="BH371" s="2">
        <v>2018</v>
      </c>
      <c r="BI371" s="2" t="s">
        <v>84</v>
      </c>
      <c r="BJ371" s="2">
        <v>18</v>
      </c>
    </row>
    <row r="372" spans="1:62" x14ac:dyDescent="0.3">
      <c r="A372" s="2" t="s">
        <v>86</v>
      </c>
      <c r="B372" s="2">
        <v>5</v>
      </c>
      <c r="C372" s="2">
        <v>4</v>
      </c>
      <c r="D372" s="2">
        <v>37.17</v>
      </c>
      <c r="E372" s="2">
        <v>309.72000000000003</v>
      </c>
      <c r="F372" s="2" t="s">
        <v>87</v>
      </c>
      <c r="G372" s="2" t="s">
        <v>88</v>
      </c>
      <c r="H372" s="2">
        <v>73</v>
      </c>
      <c r="I372" s="2" t="s">
        <v>65</v>
      </c>
      <c r="J372" s="2" t="s">
        <v>2017</v>
      </c>
      <c r="K372" s="2" t="s">
        <v>102</v>
      </c>
      <c r="L372" s="2" t="s">
        <v>68</v>
      </c>
      <c r="M372" s="2">
        <v>19437</v>
      </c>
      <c r="N372" s="2" t="s">
        <v>2018</v>
      </c>
      <c r="O372" s="2" t="s">
        <v>124</v>
      </c>
      <c r="P372" s="2" t="s">
        <v>2019</v>
      </c>
      <c r="Q372" s="2" t="s">
        <v>2020</v>
      </c>
      <c r="R372" s="2">
        <v>58501</v>
      </c>
      <c r="S372" s="2">
        <v>2</v>
      </c>
      <c r="T372" s="2" t="s">
        <v>73</v>
      </c>
      <c r="U372" s="2">
        <v>46.8118439</v>
      </c>
      <c r="V372" s="2">
        <v>-100.7877197</v>
      </c>
      <c r="W372" s="2" t="s">
        <v>74</v>
      </c>
      <c r="X372" s="2" t="s">
        <v>1316</v>
      </c>
      <c r="Y372" s="2" t="s">
        <v>116</v>
      </c>
      <c r="Z372" s="2">
        <v>19437</v>
      </c>
      <c r="AA372" s="3">
        <v>43435.71597222222</v>
      </c>
      <c r="AB372" s="2">
        <v>75884</v>
      </c>
      <c r="AC372" s="2">
        <v>1360</v>
      </c>
      <c r="AD372" s="2">
        <v>18.03</v>
      </c>
      <c r="AE372" s="2">
        <v>0.06</v>
      </c>
      <c r="AF372" s="2" t="str" cm="1">
        <f t="array" ref="AF372">_xlfn.IFS(AE372=0, "No Discount ", AE372&lt;=0.08,"Low Discount", AE372&lt;=0.16,"Medium Discount", AE372&gt;0.16, "High Discount")</f>
        <v>Low Discount</v>
      </c>
      <c r="AG372" s="2">
        <v>179199</v>
      </c>
      <c r="AH372" s="2">
        <v>327.75</v>
      </c>
      <c r="AI372" s="2">
        <v>0.12</v>
      </c>
      <c r="AJ372" s="2" t="str" cm="1">
        <f t="array" ref="AJ372">_xlfn.IFS(AI372&lt;=0, "No Profit", AI372&lt;=0.16,"Low Profit",AI372&lt;=0.32,"Medium Profit",AI372&gt;0.32,"High Profit")</f>
        <v>Low Profit</v>
      </c>
      <c r="AK372" s="2">
        <v>1</v>
      </c>
      <c r="AL372" s="2">
        <v>327.75</v>
      </c>
      <c r="AM372" s="2">
        <v>309.72000000000003</v>
      </c>
      <c r="AN372" s="2">
        <v>37.17</v>
      </c>
      <c r="AO372" s="2" t="s">
        <v>118</v>
      </c>
      <c r="AP372" s="2" t="s">
        <v>355</v>
      </c>
      <c r="AQ372" s="2" t="s">
        <v>97</v>
      </c>
      <c r="AR372" s="2" t="s">
        <v>81</v>
      </c>
      <c r="AS372" s="2">
        <v>1360</v>
      </c>
      <c r="AT372" s="2">
        <v>73</v>
      </c>
      <c r="AU372" s="2" t="s">
        <v>82</v>
      </c>
      <c r="AV372" s="2">
        <v>327.75</v>
      </c>
      <c r="AW372" s="2">
        <v>0</v>
      </c>
      <c r="AX372" s="2" t="s">
        <v>2021</v>
      </c>
      <c r="AY372" s="2" t="s">
        <v>83</v>
      </c>
      <c r="AZ372" s="4">
        <v>43435</v>
      </c>
      <c r="BA372" s="5">
        <v>0.71597222222222223</v>
      </c>
      <c r="BB372" s="2">
        <v>2018</v>
      </c>
      <c r="BC372" s="2" t="s">
        <v>357</v>
      </c>
      <c r="BD372" s="2">
        <v>1</v>
      </c>
      <c r="BE372" s="4">
        <v>43117</v>
      </c>
      <c r="BF372" s="5">
        <v>0.71597222222222223</v>
      </c>
      <c r="BG372" s="2" t="str" cm="1">
        <f t="array" ref="BG372">_xlfn.IFS(BF372&lt;TIMEVALUE("06:00"),"Night", BF372&gt;=TIMEVALUE("21:00"),"Night",BF372&gt;=TIMEVALUE("17:00"),"Evening",BF372&gt;=TIMEVALUE("12:00"),"Afternoon", BF372&gt;=TIMEVALUE("06:00"),"Morning")</f>
        <v>Evening</v>
      </c>
      <c r="BH372" s="2">
        <v>2018</v>
      </c>
      <c r="BI372" s="2" t="s">
        <v>84</v>
      </c>
      <c r="BJ372" s="2">
        <v>17</v>
      </c>
    </row>
    <row r="373" spans="1:62" x14ac:dyDescent="0.3">
      <c r="A373" s="2" t="s">
        <v>62</v>
      </c>
      <c r="B373" s="2">
        <v>2</v>
      </c>
      <c r="C373" s="2">
        <v>1</v>
      </c>
      <c r="D373" s="2">
        <v>146.31</v>
      </c>
      <c r="E373" s="2">
        <v>304.81</v>
      </c>
      <c r="F373" s="2" t="s">
        <v>87</v>
      </c>
      <c r="G373" s="2" t="s">
        <v>88</v>
      </c>
      <c r="H373" s="2">
        <v>73</v>
      </c>
      <c r="I373" s="2" t="s">
        <v>65</v>
      </c>
      <c r="J373" s="2" t="s">
        <v>66</v>
      </c>
      <c r="K373" s="2" t="s">
        <v>67</v>
      </c>
      <c r="L373" s="2" t="s">
        <v>2022</v>
      </c>
      <c r="M373" s="2">
        <v>19436</v>
      </c>
      <c r="N373" s="2" t="s">
        <v>979</v>
      </c>
      <c r="O373" s="2" t="s">
        <v>113</v>
      </c>
      <c r="P373" s="2" t="s">
        <v>71</v>
      </c>
      <c r="Q373" s="2" t="s">
        <v>2023</v>
      </c>
      <c r="R373" s="2">
        <v>725</v>
      </c>
      <c r="S373" s="2">
        <v>2</v>
      </c>
      <c r="T373" s="2" t="s">
        <v>73</v>
      </c>
      <c r="U373" s="2">
        <v>18.205985999999999</v>
      </c>
      <c r="V373" s="2">
        <v>-66.037056000000007</v>
      </c>
      <c r="W373" s="2" t="s">
        <v>74</v>
      </c>
      <c r="X373" s="2" t="s">
        <v>2024</v>
      </c>
      <c r="Y373" s="2" t="s">
        <v>143</v>
      </c>
      <c r="Z373" s="2">
        <v>19436</v>
      </c>
      <c r="AA373" s="3">
        <v>43435.701388888891</v>
      </c>
      <c r="AB373" s="2">
        <v>75883</v>
      </c>
      <c r="AC373" s="2">
        <v>1360</v>
      </c>
      <c r="AD373" s="2">
        <v>22.94</v>
      </c>
      <c r="AE373" s="2">
        <v>7.0000000000000007E-2</v>
      </c>
      <c r="AF373" s="2" t="str" cm="1">
        <f t="array" ref="AF373">_xlfn.IFS(AE373=0, "No Discount ", AE373&lt;=0.08,"Low Discount", AE373&lt;=0.16,"Medium Discount", AE373&gt;0.16, "High Discount")</f>
        <v>Low Discount</v>
      </c>
      <c r="AG373" s="2">
        <v>179198</v>
      </c>
      <c r="AH373" s="2">
        <v>327.75</v>
      </c>
      <c r="AI373" s="2">
        <v>0.48</v>
      </c>
      <c r="AJ373" s="2" t="str" cm="1">
        <f t="array" ref="AJ373">_xlfn.IFS(AI373&lt;=0, "No Profit", AI373&lt;=0.16,"Low Profit",AI373&lt;=0.32,"Medium Profit",AI373&gt;0.32,"High Profit")</f>
        <v>High Profit</v>
      </c>
      <c r="AK373" s="2">
        <v>1</v>
      </c>
      <c r="AL373" s="2">
        <v>327.75</v>
      </c>
      <c r="AM373" s="2">
        <v>304.81</v>
      </c>
      <c r="AN373" s="2">
        <v>146.31</v>
      </c>
      <c r="AO373" s="2" t="s">
        <v>145</v>
      </c>
      <c r="AP373" s="2" t="s">
        <v>2025</v>
      </c>
      <c r="AQ373" s="2" t="s">
        <v>80</v>
      </c>
      <c r="AR373" s="2" t="s">
        <v>81</v>
      </c>
      <c r="AS373" s="2">
        <v>1360</v>
      </c>
      <c r="AT373" s="2">
        <v>73</v>
      </c>
      <c r="AU373" s="2" t="s">
        <v>82</v>
      </c>
      <c r="AV373" s="2">
        <v>327.75</v>
      </c>
      <c r="AW373" s="2">
        <v>0</v>
      </c>
      <c r="AX373" s="2" t="s">
        <v>2026</v>
      </c>
      <c r="AY373" s="2" t="s">
        <v>148</v>
      </c>
      <c r="AZ373" s="4">
        <v>43435</v>
      </c>
      <c r="BA373" s="5">
        <v>0.70138888888888884</v>
      </c>
      <c r="BB373" s="2">
        <v>2018</v>
      </c>
      <c r="BC373" s="2" t="s">
        <v>357</v>
      </c>
      <c r="BD373" s="2">
        <v>1</v>
      </c>
      <c r="BE373" s="4">
        <v>43114</v>
      </c>
      <c r="BF373" s="5">
        <v>0.70138888888888884</v>
      </c>
      <c r="BG373" s="2" t="str" cm="1">
        <f t="array" ref="BG373">_xlfn.IFS(BF373&lt;TIMEVALUE("06:00"),"Night", BF373&gt;=TIMEVALUE("21:00"),"Night",BF373&gt;=TIMEVALUE("17:00"),"Evening",BF373&gt;=TIMEVALUE("12:00"),"Afternoon", BF373&gt;=TIMEVALUE("06:00"),"Morning")</f>
        <v>Afternoon</v>
      </c>
      <c r="BH373" s="2">
        <v>2018</v>
      </c>
      <c r="BI373" s="2" t="s">
        <v>84</v>
      </c>
      <c r="BJ373" s="2">
        <v>14</v>
      </c>
    </row>
    <row r="374" spans="1:62" x14ac:dyDescent="0.3">
      <c r="A374" s="2" t="s">
        <v>86</v>
      </c>
      <c r="B374" s="2">
        <v>3</v>
      </c>
      <c r="C374" s="2">
        <v>4</v>
      </c>
      <c r="D374" s="2">
        <v>74.56</v>
      </c>
      <c r="E374" s="2">
        <v>298.25</v>
      </c>
      <c r="F374" s="2" t="s">
        <v>63</v>
      </c>
      <c r="G374" s="2" t="s">
        <v>64</v>
      </c>
      <c r="H374" s="2">
        <v>73</v>
      </c>
      <c r="I374" s="2" t="s">
        <v>65</v>
      </c>
      <c r="J374" s="2" t="s">
        <v>2027</v>
      </c>
      <c r="K374" s="2" t="s">
        <v>102</v>
      </c>
      <c r="L374" s="2" t="s">
        <v>2028</v>
      </c>
      <c r="M374" s="2">
        <v>19435</v>
      </c>
      <c r="N374" s="2" t="s">
        <v>933</v>
      </c>
      <c r="O374" s="2" t="s">
        <v>70</v>
      </c>
      <c r="P374" s="2" t="s">
        <v>1102</v>
      </c>
      <c r="Q374" s="2" t="s">
        <v>2029</v>
      </c>
      <c r="R374" s="2">
        <v>20878</v>
      </c>
      <c r="S374" s="2">
        <v>2</v>
      </c>
      <c r="T374" s="2" t="s">
        <v>73</v>
      </c>
      <c r="U374" s="2">
        <v>39.141620600000003</v>
      </c>
      <c r="V374" s="2">
        <v>-77.227081299999995</v>
      </c>
      <c r="W374" s="2" t="s">
        <v>74</v>
      </c>
      <c r="X374" s="2" t="s">
        <v>2024</v>
      </c>
      <c r="Y374" s="2" t="s">
        <v>143</v>
      </c>
      <c r="Z374" s="2">
        <v>19435</v>
      </c>
      <c r="AA374" s="3">
        <v>43435.686805555553</v>
      </c>
      <c r="AB374" s="2">
        <v>75882</v>
      </c>
      <c r="AC374" s="2">
        <v>1360</v>
      </c>
      <c r="AD374" s="2">
        <v>29.5</v>
      </c>
      <c r="AE374" s="2">
        <v>0.09</v>
      </c>
      <c r="AF374" s="2" t="str" cm="1">
        <f t="array" ref="AF374">_xlfn.IFS(AE374=0, "No Discount ", AE374&lt;=0.08,"Low Discount", AE374&lt;=0.16,"Medium Discount", AE374&gt;0.16, "High Discount")</f>
        <v>Medium Discount</v>
      </c>
      <c r="AG374" s="2">
        <v>179197</v>
      </c>
      <c r="AH374" s="2">
        <v>327.75</v>
      </c>
      <c r="AI374" s="2">
        <v>0.25</v>
      </c>
      <c r="AJ374" s="2" t="str" cm="1">
        <f t="array" ref="AJ374">_xlfn.IFS(AI374&lt;=0, "No Profit", AI374&lt;=0.16,"Low Profit",AI374&lt;=0.32,"Medium Profit",AI374&gt;0.32,"High Profit")</f>
        <v>Medium Profit</v>
      </c>
      <c r="AK374" s="2">
        <v>1</v>
      </c>
      <c r="AL374" s="2">
        <v>327.75</v>
      </c>
      <c r="AM374" s="2">
        <v>298.25</v>
      </c>
      <c r="AN374" s="2">
        <v>74.56</v>
      </c>
      <c r="AO374" s="2" t="s">
        <v>145</v>
      </c>
      <c r="AP374" s="2" t="s">
        <v>2025</v>
      </c>
      <c r="AQ374" s="2" t="s">
        <v>97</v>
      </c>
      <c r="AR374" s="2" t="s">
        <v>81</v>
      </c>
      <c r="AS374" s="2">
        <v>1360</v>
      </c>
      <c r="AT374" s="2">
        <v>73</v>
      </c>
      <c r="AU374" s="2" t="s">
        <v>82</v>
      </c>
      <c r="AV374" s="2">
        <v>327.75</v>
      </c>
      <c r="AW374" s="2">
        <v>0</v>
      </c>
      <c r="AX374" s="2" t="s">
        <v>2030</v>
      </c>
      <c r="AY374" s="2" t="s">
        <v>83</v>
      </c>
      <c r="AZ374" s="4">
        <v>43435</v>
      </c>
      <c r="BA374" s="5">
        <v>0.68680555555555556</v>
      </c>
      <c r="BB374" s="2">
        <v>2018</v>
      </c>
      <c r="BC374" s="2" t="s">
        <v>357</v>
      </c>
      <c r="BD374" s="2">
        <v>1</v>
      </c>
      <c r="BE374" s="4">
        <v>43115</v>
      </c>
      <c r="BF374" s="5">
        <v>0.68680555555555556</v>
      </c>
      <c r="BG374" s="2" t="str" cm="1">
        <f t="array" ref="BG374">_xlfn.IFS(BF374&lt;TIMEVALUE("06:00"),"Night", BF374&gt;=TIMEVALUE("21:00"),"Night",BF374&gt;=TIMEVALUE("17:00"),"Evening",BF374&gt;=TIMEVALUE("12:00"),"Afternoon", BF374&gt;=TIMEVALUE("06:00"),"Morning")</f>
        <v>Afternoon</v>
      </c>
      <c r="BH374" s="2">
        <v>2018</v>
      </c>
      <c r="BI374" s="2" t="s">
        <v>84</v>
      </c>
      <c r="BJ374" s="2">
        <v>15</v>
      </c>
    </row>
    <row r="375" spans="1:62" x14ac:dyDescent="0.3">
      <c r="A375" s="2" t="s">
        <v>62</v>
      </c>
      <c r="B375" s="2">
        <v>2</v>
      </c>
      <c r="C375" s="2">
        <v>4</v>
      </c>
      <c r="D375" s="2">
        <v>59</v>
      </c>
      <c r="E375" s="2">
        <v>294.98</v>
      </c>
      <c r="F375" s="2" t="s">
        <v>63</v>
      </c>
      <c r="G375" s="2" t="s">
        <v>64</v>
      </c>
      <c r="H375" s="2">
        <v>73</v>
      </c>
      <c r="I375" s="2" t="s">
        <v>65</v>
      </c>
      <c r="J375" s="2" t="s">
        <v>66</v>
      </c>
      <c r="K375" s="2" t="s">
        <v>67</v>
      </c>
      <c r="L375" s="2" t="s">
        <v>1621</v>
      </c>
      <c r="M375" s="2">
        <v>19434</v>
      </c>
      <c r="N375" s="2" t="s">
        <v>2031</v>
      </c>
      <c r="O375" s="2" t="s">
        <v>124</v>
      </c>
      <c r="P375" s="2" t="s">
        <v>71</v>
      </c>
      <c r="Q375" s="2" t="s">
        <v>2032</v>
      </c>
      <c r="R375" s="2">
        <v>725</v>
      </c>
      <c r="S375" s="2">
        <v>2</v>
      </c>
      <c r="T375" s="2" t="s">
        <v>73</v>
      </c>
      <c r="U375" s="2">
        <v>18.203554199999999</v>
      </c>
      <c r="V375" s="2">
        <v>-66.037056000000007</v>
      </c>
      <c r="W375" s="2" t="s">
        <v>74</v>
      </c>
      <c r="X375" s="2" t="s">
        <v>2024</v>
      </c>
      <c r="Y375" s="2" t="s">
        <v>143</v>
      </c>
      <c r="Z375" s="2">
        <v>19434</v>
      </c>
      <c r="AA375" s="3">
        <v>43435.672222222223</v>
      </c>
      <c r="AB375" s="2">
        <v>75881</v>
      </c>
      <c r="AC375" s="2">
        <v>1360</v>
      </c>
      <c r="AD375" s="2">
        <v>32.78</v>
      </c>
      <c r="AE375" s="2">
        <v>0.1</v>
      </c>
      <c r="AF375" s="2" t="str" cm="1">
        <f t="array" ref="AF375">_xlfn.IFS(AE375=0, "No Discount ", AE375&lt;=0.08,"Low Discount", AE375&lt;=0.16,"Medium Discount", AE375&gt;0.16, "High Discount")</f>
        <v>Medium Discount</v>
      </c>
      <c r="AG375" s="2">
        <v>179196</v>
      </c>
      <c r="AH375" s="2">
        <v>327.75</v>
      </c>
      <c r="AI375" s="2">
        <v>0.2</v>
      </c>
      <c r="AJ375" s="2" t="str" cm="1">
        <f t="array" ref="AJ375">_xlfn.IFS(AI375&lt;=0, "No Profit", AI375&lt;=0.16,"Low Profit",AI375&lt;=0.32,"Medium Profit",AI375&gt;0.32,"High Profit")</f>
        <v>Medium Profit</v>
      </c>
      <c r="AK375" s="2">
        <v>1</v>
      </c>
      <c r="AL375" s="2">
        <v>327.75</v>
      </c>
      <c r="AM375" s="2">
        <v>294.98</v>
      </c>
      <c r="AN375" s="2">
        <v>59</v>
      </c>
      <c r="AO375" s="2" t="s">
        <v>145</v>
      </c>
      <c r="AP375" s="2" t="s">
        <v>2025</v>
      </c>
      <c r="AQ375" s="2" t="s">
        <v>80</v>
      </c>
      <c r="AR375" s="2" t="s">
        <v>81</v>
      </c>
      <c r="AS375" s="2">
        <v>1360</v>
      </c>
      <c r="AT375" s="2">
        <v>73</v>
      </c>
      <c r="AU375" s="2" t="s">
        <v>82</v>
      </c>
      <c r="AV375" s="2">
        <v>327.75</v>
      </c>
      <c r="AW375" s="2">
        <v>0</v>
      </c>
      <c r="AX375" s="2" t="s">
        <v>2033</v>
      </c>
      <c r="AY375" s="2" t="s">
        <v>83</v>
      </c>
      <c r="AZ375" s="4">
        <v>43435</v>
      </c>
      <c r="BA375" s="5">
        <v>0.67222222222222228</v>
      </c>
      <c r="BB375" s="2">
        <v>2018</v>
      </c>
      <c r="BC375" s="2" t="s">
        <v>357</v>
      </c>
      <c r="BD375" s="2">
        <v>1</v>
      </c>
      <c r="BE375" s="4">
        <v>43114</v>
      </c>
      <c r="BF375" s="5">
        <v>0.67222222222222228</v>
      </c>
      <c r="BG375" s="2" t="str" cm="1">
        <f t="array" ref="BG375">_xlfn.IFS(BF375&lt;TIMEVALUE("06:00"),"Night", BF375&gt;=TIMEVALUE("21:00"),"Night",BF375&gt;=TIMEVALUE("17:00"),"Evening",BF375&gt;=TIMEVALUE("12:00"),"Afternoon", BF375&gt;=TIMEVALUE("06:00"),"Morning")</f>
        <v>Afternoon</v>
      </c>
      <c r="BH375" s="2">
        <v>2018</v>
      </c>
      <c r="BI375" s="2" t="s">
        <v>84</v>
      </c>
      <c r="BJ375" s="2">
        <v>14</v>
      </c>
    </row>
    <row r="376" spans="1:62" x14ac:dyDescent="0.3">
      <c r="A376" s="2" t="s">
        <v>62</v>
      </c>
      <c r="B376" s="2">
        <v>6</v>
      </c>
      <c r="C376" s="2">
        <v>4</v>
      </c>
      <c r="D376" s="2">
        <v>83.64</v>
      </c>
      <c r="E376" s="2">
        <v>288.42</v>
      </c>
      <c r="F376" s="2" t="s">
        <v>87</v>
      </c>
      <c r="G376" s="2" t="s">
        <v>88</v>
      </c>
      <c r="H376" s="2">
        <v>73</v>
      </c>
      <c r="I376" s="2" t="s">
        <v>65</v>
      </c>
      <c r="J376" s="2" t="s">
        <v>2017</v>
      </c>
      <c r="K376" s="2" t="s">
        <v>102</v>
      </c>
      <c r="L376" s="2" t="s">
        <v>2034</v>
      </c>
      <c r="M376" s="2">
        <v>19433</v>
      </c>
      <c r="N376" s="2" t="s">
        <v>140</v>
      </c>
      <c r="O376" s="2" t="s">
        <v>124</v>
      </c>
      <c r="P376" s="2" t="s">
        <v>2019</v>
      </c>
      <c r="Q376" s="2" t="s">
        <v>2035</v>
      </c>
      <c r="R376" s="2">
        <v>58501</v>
      </c>
      <c r="S376" s="2">
        <v>2</v>
      </c>
      <c r="T376" s="2" t="s">
        <v>73</v>
      </c>
      <c r="U376" s="2">
        <v>46.8118439</v>
      </c>
      <c r="V376" s="2">
        <v>-100.7877197</v>
      </c>
      <c r="W376" s="2" t="s">
        <v>74</v>
      </c>
      <c r="X376" s="2" t="s">
        <v>2024</v>
      </c>
      <c r="Y376" s="2" t="s">
        <v>143</v>
      </c>
      <c r="Z376" s="2">
        <v>19433</v>
      </c>
      <c r="AA376" s="3">
        <v>43435.657638888886</v>
      </c>
      <c r="AB376" s="2">
        <v>75880</v>
      </c>
      <c r="AC376" s="2">
        <v>1360</v>
      </c>
      <c r="AD376" s="2">
        <v>39.33</v>
      </c>
      <c r="AE376" s="2">
        <v>0.12</v>
      </c>
      <c r="AF376" s="2" t="str" cm="1">
        <f t="array" ref="AF376">_xlfn.IFS(AE376=0, "No Discount ", AE376&lt;=0.08,"Low Discount", AE376&lt;=0.16,"Medium Discount", AE376&gt;0.16, "High Discount")</f>
        <v>Medium Discount</v>
      </c>
      <c r="AG376" s="2">
        <v>179195</v>
      </c>
      <c r="AH376" s="2">
        <v>327.75</v>
      </c>
      <c r="AI376" s="2">
        <v>0.28999999999999998</v>
      </c>
      <c r="AJ376" s="2" t="str" cm="1">
        <f t="array" ref="AJ376">_xlfn.IFS(AI376&lt;=0, "No Profit", AI376&lt;=0.16,"Low Profit",AI376&lt;=0.32,"Medium Profit",AI376&gt;0.32,"High Profit")</f>
        <v>Medium Profit</v>
      </c>
      <c r="AK376" s="2">
        <v>1</v>
      </c>
      <c r="AL376" s="2">
        <v>327.75</v>
      </c>
      <c r="AM376" s="2">
        <v>288.42</v>
      </c>
      <c r="AN376" s="2">
        <v>83.64</v>
      </c>
      <c r="AO376" s="2" t="s">
        <v>145</v>
      </c>
      <c r="AP376" s="2" t="s">
        <v>2025</v>
      </c>
      <c r="AQ376" s="2" t="s">
        <v>80</v>
      </c>
      <c r="AR376" s="2" t="s">
        <v>81</v>
      </c>
      <c r="AS376" s="2">
        <v>1360</v>
      </c>
      <c r="AT376" s="2">
        <v>73</v>
      </c>
      <c r="AU376" s="2" t="s">
        <v>82</v>
      </c>
      <c r="AV376" s="2">
        <v>327.75</v>
      </c>
      <c r="AW376" s="2">
        <v>0</v>
      </c>
      <c r="AX376" s="2" t="s">
        <v>2036</v>
      </c>
      <c r="AY376" s="2" t="s">
        <v>83</v>
      </c>
      <c r="AZ376" s="4">
        <v>43435</v>
      </c>
      <c r="BA376" s="5">
        <v>0.65763888888888888</v>
      </c>
      <c r="BB376" s="2">
        <v>2018</v>
      </c>
      <c r="BC376" s="2" t="s">
        <v>357</v>
      </c>
      <c r="BD376" s="2">
        <v>1</v>
      </c>
      <c r="BE376" s="4">
        <v>43118</v>
      </c>
      <c r="BF376" s="5">
        <v>0.65763888888888888</v>
      </c>
      <c r="BG376" s="2" t="str" cm="1">
        <f t="array" ref="BG376">_xlfn.IFS(BF376&lt;TIMEVALUE("06:00"),"Night", BF376&gt;=TIMEVALUE("21:00"),"Night",BF376&gt;=TIMEVALUE("17:00"),"Evening",BF376&gt;=TIMEVALUE("12:00"),"Afternoon", BF376&gt;=TIMEVALUE("06:00"),"Morning")</f>
        <v>Afternoon</v>
      </c>
      <c r="BH376" s="2">
        <v>2018</v>
      </c>
      <c r="BI376" s="2" t="s">
        <v>84</v>
      </c>
      <c r="BJ376" s="2">
        <v>18</v>
      </c>
    </row>
    <row r="377" spans="1:62" x14ac:dyDescent="0.3">
      <c r="A377" s="2" t="s">
        <v>86</v>
      </c>
      <c r="B377" s="2">
        <v>5</v>
      </c>
      <c r="C377" s="2">
        <v>4</v>
      </c>
      <c r="D377" s="2">
        <v>136.87</v>
      </c>
      <c r="E377" s="2">
        <v>285.14</v>
      </c>
      <c r="F377" s="2" t="s">
        <v>87</v>
      </c>
      <c r="G377" s="2" t="s">
        <v>88</v>
      </c>
      <c r="H377" s="2">
        <v>73</v>
      </c>
      <c r="I377" s="2" t="s">
        <v>65</v>
      </c>
      <c r="J377" s="2" t="s">
        <v>1212</v>
      </c>
      <c r="K377" s="2" t="s">
        <v>102</v>
      </c>
      <c r="L377" s="2" t="s">
        <v>2037</v>
      </c>
      <c r="M377" s="2">
        <v>19432</v>
      </c>
      <c r="N377" s="2" t="s">
        <v>271</v>
      </c>
      <c r="O377" s="2" t="s">
        <v>124</v>
      </c>
      <c r="P377" s="2" t="s">
        <v>1154</v>
      </c>
      <c r="Q377" s="2" t="s">
        <v>1291</v>
      </c>
      <c r="R377" s="2">
        <v>96817</v>
      </c>
      <c r="S377" s="2">
        <v>2</v>
      </c>
      <c r="T377" s="2" t="s">
        <v>73</v>
      </c>
      <c r="U377" s="2">
        <v>21.3215675</v>
      </c>
      <c r="V377" s="2">
        <v>-157.87217709999999</v>
      </c>
      <c r="W377" s="2" t="s">
        <v>74</v>
      </c>
      <c r="X377" s="2" t="s">
        <v>2038</v>
      </c>
      <c r="Y377" s="2" t="s">
        <v>93</v>
      </c>
      <c r="Z377" s="2">
        <v>19432</v>
      </c>
      <c r="AA377" s="3">
        <v>43435.643055555556</v>
      </c>
      <c r="AB377" s="2">
        <v>75879</v>
      </c>
      <c r="AC377" s="2">
        <v>1360</v>
      </c>
      <c r="AD377" s="2">
        <v>42.61</v>
      </c>
      <c r="AE377" s="2">
        <v>0.13</v>
      </c>
      <c r="AF377" s="2" t="str" cm="1">
        <f t="array" ref="AF377">_xlfn.IFS(AE377=0, "No Discount ", AE377&lt;=0.08,"Low Discount", AE377&lt;=0.16,"Medium Discount", AE377&gt;0.16, "High Discount")</f>
        <v>Medium Discount</v>
      </c>
      <c r="AG377" s="2">
        <v>179194</v>
      </c>
      <c r="AH377" s="2">
        <v>327.75</v>
      </c>
      <c r="AI377" s="2">
        <v>0.48</v>
      </c>
      <c r="AJ377" s="2" t="str" cm="1">
        <f t="array" ref="AJ377">_xlfn.IFS(AI377&lt;=0, "No Profit", AI377&lt;=0.16,"Low Profit",AI377&lt;=0.32,"Medium Profit",AI377&gt;0.32,"High Profit")</f>
        <v>High Profit</v>
      </c>
      <c r="AK377" s="2">
        <v>1</v>
      </c>
      <c r="AL377" s="2">
        <v>327.75</v>
      </c>
      <c r="AM377" s="2">
        <v>285.14</v>
      </c>
      <c r="AN377" s="2">
        <v>136.87</v>
      </c>
      <c r="AO377" s="2" t="s">
        <v>95</v>
      </c>
      <c r="AP377" s="2" t="s">
        <v>224</v>
      </c>
      <c r="AQ377" s="2" t="s">
        <v>155</v>
      </c>
      <c r="AR377" s="2" t="s">
        <v>81</v>
      </c>
      <c r="AS377" s="2">
        <v>1360</v>
      </c>
      <c r="AT377" s="2">
        <v>73</v>
      </c>
      <c r="AU377" s="2" t="s">
        <v>82</v>
      </c>
      <c r="AV377" s="2">
        <v>327.75</v>
      </c>
      <c r="AW377" s="2">
        <v>0</v>
      </c>
      <c r="AX377" s="2" t="s">
        <v>2039</v>
      </c>
      <c r="AY377" s="2" t="s">
        <v>83</v>
      </c>
      <c r="AZ377" s="4">
        <v>43435</v>
      </c>
      <c r="BA377" s="5">
        <v>0.6430555555555556</v>
      </c>
      <c r="BB377" s="2">
        <v>2018</v>
      </c>
      <c r="BC377" s="2" t="s">
        <v>357</v>
      </c>
      <c r="BD377" s="2">
        <v>1</v>
      </c>
      <c r="BE377" s="4">
        <v>43117</v>
      </c>
      <c r="BF377" s="5">
        <v>0.6430555555555556</v>
      </c>
      <c r="BG377" s="2" t="str" cm="1">
        <f t="array" ref="BG377">_xlfn.IFS(BF377&lt;TIMEVALUE("06:00"),"Night", BF377&gt;=TIMEVALUE("21:00"),"Night",BF377&gt;=TIMEVALUE("17:00"),"Evening",BF377&gt;=TIMEVALUE("12:00"),"Afternoon", BF377&gt;=TIMEVALUE("06:00"),"Morning")</f>
        <v>Afternoon</v>
      </c>
      <c r="BH377" s="2">
        <v>2018</v>
      </c>
      <c r="BI377" s="2" t="s">
        <v>84</v>
      </c>
      <c r="BJ377" s="2">
        <v>17</v>
      </c>
    </row>
    <row r="378" spans="1:62" x14ac:dyDescent="0.3">
      <c r="A378" s="2" t="s">
        <v>62</v>
      </c>
      <c r="B378" s="2">
        <v>4</v>
      </c>
      <c r="C378" s="2">
        <v>4</v>
      </c>
      <c r="D378" s="2">
        <v>20.89</v>
      </c>
      <c r="E378" s="2">
        <v>278.58999999999997</v>
      </c>
      <c r="F378" s="2" t="s">
        <v>100</v>
      </c>
      <c r="G378" s="2" t="s">
        <v>64</v>
      </c>
      <c r="H378" s="2">
        <v>73</v>
      </c>
      <c r="I378" s="2" t="s">
        <v>65</v>
      </c>
      <c r="J378" s="2" t="s">
        <v>2040</v>
      </c>
      <c r="K378" s="2" t="s">
        <v>102</v>
      </c>
      <c r="L378" s="2" t="s">
        <v>2041</v>
      </c>
      <c r="M378" s="2">
        <v>19431</v>
      </c>
      <c r="N378" s="2" t="s">
        <v>2042</v>
      </c>
      <c r="O378" s="2" t="s">
        <v>124</v>
      </c>
      <c r="P378" s="2" t="s">
        <v>380</v>
      </c>
      <c r="Q378" s="2" t="s">
        <v>2043</v>
      </c>
      <c r="R378" s="2">
        <v>30047</v>
      </c>
      <c r="S378" s="2">
        <v>2</v>
      </c>
      <c r="T378" s="2" t="s">
        <v>73</v>
      </c>
      <c r="U378" s="2">
        <v>33.902198800000001</v>
      </c>
      <c r="V378" s="2">
        <v>-84.153739900000005</v>
      </c>
      <c r="W378" s="2" t="s">
        <v>74</v>
      </c>
      <c r="X378" s="2" t="s">
        <v>2038</v>
      </c>
      <c r="Y378" s="2" t="s">
        <v>93</v>
      </c>
      <c r="Z378" s="2">
        <v>19431</v>
      </c>
      <c r="AA378" s="3">
        <v>43435.628472222219</v>
      </c>
      <c r="AB378" s="2">
        <v>75878</v>
      </c>
      <c r="AC378" s="2">
        <v>1360</v>
      </c>
      <c r="AD378" s="2">
        <v>49.16</v>
      </c>
      <c r="AE378" s="2">
        <v>0.15</v>
      </c>
      <c r="AF378" s="2" t="str" cm="1">
        <f t="array" ref="AF378">_xlfn.IFS(AE378=0, "No Discount ", AE378&lt;=0.08,"Low Discount", AE378&lt;=0.16,"Medium Discount", AE378&gt;0.16, "High Discount")</f>
        <v>Medium Discount</v>
      </c>
      <c r="AG378" s="2">
        <v>179193</v>
      </c>
      <c r="AH378" s="2">
        <v>327.75</v>
      </c>
      <c r="AI378" s="2">
        <v>0.08</v>
      </c>
      <c r="AJ378" s="2" t="str" cm="1">
        <f t="array" ref="AJ378">_xlfn.IFS(AI378&lt;=0, "No Profit", AI378&lt;=0.16,"Low Profit",AI378&lt;=0.32,"Medium Profit",AI378&gt;0.32,"High Profit")</f>
        <v>Low Profit</v>
      </c>
      <c r="AK378" s="2">
        <v>1</v>
      </c>
      <c r="AL378" s="2">
        <v>327.75</v>
      </c>
      <c r="AM378" s="2">
        <v>278.58999999999997</v>
      </c>
      <c r="AN378" s="2">
        <v>20.89</v>
      </c>
      <c r="AO378" s="2" t="s">
        <v>95</v>
      </c>
      <c r="AP378" s="2" t="s">
        <v>224</v>
      </c>
      <c r="AQ378" s="2" t="s">
        <v>80</v>
      </c>
      <c r="AR378" s="2" t="s">
        <v>81</v>
      </c>
      <c r="AS378" s="2">
        <v>1360</v>
      </c>
      <c r="AT378" s="2">
        <v>73</v>
      </c>
      <c r="AU378" s="2" t="s">
        <v>82</v>
      </c>
      <c r="AV378" s="2">
        <v>327.75</v>
      </c>
      <c r="AW378" s="2">
        <v>0</v>
      </c>
      <c r="AX378" s="2" t="s">
        <v>2044</v>
      </c>
      <c r="AY378" s="2" t="s">
        <v>83</v>
      </c>
      <c r="AZ378" s="4">
        <v>43435</v>
      </c>
      <c r="BA378" s="5">
        <v>0.62847222222222221</v>
      </c>
      <c r="BB378" s="2">
        <v>2018</v>
      </c>
      <c r="BC378" s="2" t="s">
        <v>357</v>
      </c>
      <c r="BD378" s="2">
        <v>1</v>
      </c>
      <c r="BE378" s="4">
        <v>43116</v>
      </c>
      <c r="BF378" s="5">
        <v>0.62847222222222221</v>
      </c>
      <c r="BG378" s="2" t="str" cm="1">
        <f t="array" ref="BG378">_xlfn.IFS(BF378&lt;TIMEVALUE("06:00"),"Night", BF378&gt;=TIMEVALUE("21:00"),"Night",BF378&gt;=TIMEVALUE("17:00"),"Evening",BF378&gt;=TIMEVALUE("12:00"),"Afternoon", BF378&gt;=TIMEVALUE("06:00"),"Morning")</f>
        <v>Afternoon</v>
      </c>
      <c r="BH378" s="2">
        <v>2018</v>
      </c>
      <c r="BI378" s="2" t="s">
        <v>84</v>
      </c>
      <c r="BJ378" s="2">
        <v>16</v>
      </c>
    </row>
    <row r="379" spans="1:62" x14ac:dyDescent="0.3">
      <c r="A379" s="2" t="s">
        <v>86</v>
      </c>
      <c r="B379" s="2">
        <v>3</v>
      </c>
      <c r="C379" s="2">
        <v>4</v>
      </c>
      <c r="D379" s="2">
        <v>-55.06</v>
      </c>
      <c r="E379" s="2">
        <v>275.31</v>
      </c>
      <c r="F379" s="2" t="s">
        <v>63</v>
      </c>
      <c r="G379" s="2" t="s">
        <v>64</v>
      </c>
      <c r="H379" s="2">
        <v>73</v>
      </c>
      <c r="I379" s="2" t="s">
        <v>65</v>
      </c>
      <c r="J379" s="2" t="s">
        <v>66</v>
      </c>
      <c r="K379" s="2" t="s">
        <v>67</v>
      </c>
      <c r="L379" s="2" t="s">
        <v>2045</v>
      </c>
      <c r="M379" s="2">
        <v>19430</v>
      </c>
      <c r="N379" s="2" t="s">
        <v>2046</v>
      </c>
      <c r="O379" s="2" t="s">
        <v>124</v>
      </c>
      <c r="P379" s="2" t="s">
        <v>71</v>
      </c>
      <c r="Q379" s="2" t="s">
        <v>2047</v>
      </c>
      <c r="R379" s="2">
        <v>725</v>
      </c>
      <c r="S379" s="2">
        <v>2</v>
      </c>
      <c r="T379" s="2" t="s">
        <v>73</v>
      </c>
      <c r="U379" s="2">
        <v>18.218570700000001</v>
      </c>
      <c r="V379" s="2">
        <v>-66.037056000000007</v>
      </c>
      <c r="W379" s="2" t="s">
        <v>74</v>
      </c>
      <c r="X379" s="2" t="s">
        <v>2048</v>
      </c>
      <c r="Y379" s="2" t="s">
        <v>76</v>
      </c>
      <c r="Z379" s="2">
        <v>19430</v>
      </c>
      <c r="AA379" s="3">
        <v>43435.613888888889</v>
      </c>
      <c r="AB379" s="2">
        <v>75877</v>
      </c>
      <c r="AC379" s="2">
        <v>1360</v>
      </c>
      <c r="AD379" s="2">
        <v>52.44</v>
      </c>
      <c r="AE379" s="2">
        <v>0.16</v>
      </c>
      <c r="AF379" s="2" t="str" cm="1">
        <f t="array" ref="AF379">_xlfn.IFS(AE379=0, "No Discount ", AE379&lt;=0.08,"Low Discount", AE379&lt;=0.16,"Medium Discount", AE379&gt;0.16, "High Discount")</f>
        <v>Medium Discount</v>
      </c>
      <c r="AG379" s="2">
        <v>179192</v>
      </c>
      <c r="AH379" s="2">
        <v>327.75</v>
      </c>
      <c r="AI379" s="2">
        <v>-0.2</v>
      </c>
      <c r="AJ379" s="2" t="str" cm="1">
        <f t="array" ref="AJ379">_xlfn.IFS(AI379&lt;=0, "No Profit", AI379&lt;=0.16,"Low Profit",AI379&lt;=0.32,"Medium Profit",AI379&gt;0.32,"High Profit")</f>
        <v>No Profit</v>
      </c>
      <c r="AK379" s="2">
        <v>1</v>
      </c>
      <c r="AL379" s="2">
        <v>327.75</v>
      </c>
      <c r="AM379" s="2">
        <v>275.31</v>
      </c>
      <c r="AN379" s="2">
        <v>-55.06</v>
      </c>
      <c r="AO379" s="2" t="s">
        <v>78</v>
      </c>
      <c r="AP379" s="2" t="s">
        <v>2049</v>
      </c>
      <c r="AQ379" s="2" t="s">
        <v>155</v>
      </c>
      <c r="AR379" s="2" t="s">
        <v>81</v>
      </c>
      <c r="AS379" s="2">
        <v>1360</v>
      </c>
      <c r="AT379" s="2">
        <v>73</v>
      </c>
      <c r="AU379" s="2" t="s">
        <v>82</v>
      </c>
      <c r="AV379" s="2">
        <v>327.75</v>
      </c>
      <c r="AW379" s="2">
        <v>0</v>
      </c>
      <c r="AX379" s="2" t="s">
        <v>2050</v>
      </c>
      <c r="AY379" s="2" t="s">
        <v>83</v>
      </c>
      <c r="AZ379" s="4">
        <v>43435</v>
      </c>
      <c r="BA379" s="5">
        <v>0.61388888888888893</v>
      </c>
      <c r="BB379" s="2">
        <v>2018</v>
      </c>
      <c r="BC379" s="2" t="s">
        <v>357</v>
      </c>
      <c r="BD379" s="2">
        <v>1</v>
      </c>
      <c r="BE379" s="4">
        <v>43115</v>
      </c>
      <c r="BF379" s="5">
        <v>0.61388888888888893</v>
      </c>
      <c r="BG379" s="2" t="str" cm="1">
        <f t="array" ref="BG379">_xlfn.IFS(BF379&lt;TIMEVALUE("06:00"),"Night", BF379&gt;=TIMEVALUE("21:00"),"Night",BF379&gt;=TIMEVALUE("17:00"),"Evening",BF379&gt;=TIMEVALUE("12:00"),"Afternoon", BF379&gt;=TIMEVALUE("06:00"),"Morning")</f>
        <v>Afternoon</v>
      </c>
      <c r="BH379" s="2">
        <v>2018</v>
      </c>
      <c r="BI379" s="2" t="s">
        <v>84</v>
      </c>
      <c r="BJ379" s="2">
        <v>15</v>
      </c>
    </row>
    <row r="380" spans="1:62" x14ac:dyDescent="0.3">
      <c r="A380" s="2" t="s">
        <v>86</v>
      </c>
      <c r="B380" s="2">
        <v>2</v>
      </c>
      <c r="C380" s="2">
        <v>4</v>
      </c>
      <c r="D380" s="2">
        <v>36.18</v>
      </c>
      <c r="E380" s="2">
        <v>272.02999999999997</v>
      </c>
      <c r="F380" s="2" t="s">
        <v>63</v>
      </c>
      <c r="G380" s="2" t="s">
        <v>64</v>
      </c>
      <c r="H380" s="2">
        <v>73</v>
      </c>
      <c r="I380" s="2" t="s">
        <v>65</v>
      </c>
      <c r="J380" s="2" t="s">
        <v>1606</v>
      </c>
      <c r="K380" s="2" t="s">
        <v>102</v>
      </c>
      <c r="L380" s="2" t="s">
        <v>2051</v>
      </c>
      <c r="M380" s="2">
        <v>19429</v>
      </c>
      <c r="N380" s="2" t="s">
        <v>2052</v>
      </c>
      <c r="O380" s="2" t="s">
        <v>70</v>
      </c>
      <c r="P380" s="2" t="s">
        <v>1394</v>
      </c>
      <c r="Q380" s="2" t="s">
        <v>1608</v>
      </c>
      <c r="R380" s="2">
        <v>23455</v>
      </c>
      <c r="S380" s="2">
        <v>2</v>
      </c>
      <c r="T380" s="2" t="s">
        <v>73</v>
      </c>
      <c r="U380" s="2">
        <v>36.9108315</v>
      </c>
      <c r="V380" s="2">
        <v>-76.129585300000002</v>
      </c>
      <c r="W380" s="2" t="s">
        <v>74</v>
      </c>
      <c r="X380" s="2" t="s">
        <v>2048</v>
      </c>
      <c r="Y380" s="2" t="s">
        <v>76</v>
      </c>
      <c r="Z380" s="2">
        <v>19429</v>
      </c>
      <c r="AA380" s="3">
        <v>43435.599305555559</v>
      </c>
      <c r="AB380" s="2">
        <v>75876</v>
      </c>
      <c r="AC380" s="2">
        <v>1360</v>
      </c>
      <c r="AD380" s="2">
        <v>55.72</v>
      </c>
      <c r="AE380" s="2">
        <v>0.17</v>
      </c>
      <c r="AF380" s="2" t="str" cm="1">
        <f t="array" ref="AF380">_xlfn.IFS(AE380=0, "No Discount ", AE380&lt;=0.08,"Low Discount", AE380&lt;=0.16,"Medium Discount", AE380&gt;0.16, "High Discount")</f>
        <v>High Discount</v>
      </c>
      <c r="AG380" s="2">
        <v>179191</v>
      </c>
      <c r="AH380" s="2">
        <v>327.75</v>
      </c>
      <c r="AI380" s="2">
        <v>0.13</v>
      </c>
      <c r="AJ380" s="2" t="str" cm="1">
        <f t="array" ref="AJ380">_xlfn.IFS(AI380&lt;=0, "No Profit", AI380&lt;=0.16,"Low Profit",AI380&lt;=0.32,"Medium Profit",AI380&gt;0.32,"High Profit")</f>
        <v>Low Profit</v>
      </c>
      <c r="AK380" s="2">
        <v>1</v>
      </c>
      <c r="AL380" s="2">
        <v>327.75</v>
      </c>
      <c r="AM380" s="2">
        <v>272.02999999999997</v>
      </c>
      <c r="AN380" s="2">
        <v>36.18</v>
      </c>
      <c r="AO380" s="2" t="s">
        <v>78</v>
      </c>
      <c r="AP380" s="2" t="s">
        <v>2049</v>
      </c>
      <c r="AQ380" s="2" t="s">
        <v>97</v>
      </c>
      <c r="AR380" s="2" t="s">
        <v>81</v>
      </c>
      <c r="AS380" s="2">
        <v>1360</v>
      </c>
      <c r="AT380" s="2">
        <v>73</v>
      </c>
      <c r="AU380" s="2" t="s">
        <v>82</v>
      </c>
      <c r="AV380" s="2">
        <v>327.75</v>
      </c>
      <c r="AW380" s="2">
        <v>0</v>
      </c>
      <c r="AX380" s="2" t="s">
        <v>2053</v>
      </c>
      <c r="AY380" s="2" t="s">
        <v>83</v>
      </c>
      <c r="AZ380" s="4">
        <v>43435</v>
      </c>
      <c r="BA380" s="5">
        <v>0.59930555555555554</v>
      </c>
      <c r="BB380" s="2">
        <v>2018</v>
      </c>
      <c r="BC380" s="2" t="s">
        <v>357</v>
      </c>
      <c r="BD380" s="2">
        <v>1</v>
      </c>
      <c r="BE380" s="4">
        <v>43114</v>
      </c>
      <c r="BF380" s="5">
        <v>0.59930555555555554</v>
      </c>
      <c r="BG380" s="2" t="str" cm="1">
        <f t="array" ref="BG380">_xlfn.IFS(BF380&lt;TIMEVALUE("06:00"),"Night", BF380&gt;=TIMEVALUE("21:00"),"Night",BF380&gt;=TIMEVALUE("17:00"),"Evening",BF380&gt;=TIMEVALUE("12:00"),"Afternoon", BF380&gt;=TIMEVALUE("06:00"),"Morning")</f>
        <v>Afternoon</v>
      </c>
      <c r="BH380" s="2">
        <v>2018</v>
      </c>
      <c r="BI380" s="2" t="s">
        <v>84</v>
      </c>
      <c r="BJ380" s="2">
        <v>14</v>
      </c>
    </row>
    <row r="381" spans="1:62" x14ac:dyDescent="0.3">
      <c r="A381" s="2" t="s">
        <v>121</v>
      </c>
      <c r="B381" s="2">
        <v>6</v>
      </c>
      <c r="C381" s="2">
        <v>2</v>
      </c>
      <c r="D381" s="2">
        <v>131.69</v>
      </c>
      <c r="E381" s="2">
        <v>268.76</v>
      </c>
      <c r="F381" s="2" t="s">
        <v>87</v>
      </c>
      <c r="G381" s="2" t="s">
        <v>88</v>
      </c>
      <c r="H381" s="2">
        <v>73</v>
      </c>
      <c r="I381" s="2" t="s">
        <v>65</v>
      </c>
      <c r="J381" s="2" t="s">
        <v>1569</v>
      </c>
      <c r="K381" s="2" t="s">
        <v>102</v>
      </c>
      <c r="L381" s="2" t="s">
        <v>1516</v>
      </c>
      <c r="M381" s="2">
        <v>19428</v>
      </c>
      <c r="N381" s="2" t="s">
        <v>2013</v>
      </c>
      <c r="O381" s="2" t="s">
        <v>70</v>
      </c>
      <c r="P381" s="2" t="s">
        <v>105</v>
      </c>
      <c r="Q381" s="2" t="s">
        <v>1571</v>
      </c>
      <c r="R381" s="2">
        <v>91702</v>
      </c>
      <c r="S381" s="2">
        <v>2</v>
      </c>
      <c r="T381" s="2" t="s">
        <v>73</v>
      </c>
      <c r="U381" s="2">
        <v>34.139320400000003</v>
      </c>
      <c r="V381" s="2">
        <v>-117.9074402</v>
      </c>
      <c r="W381" s="2" t="s">
        <v>74</v>
      </c>
      <c r="X381" s="2" t="s">
        <v>2048</v>
      </c>
      <c r="Y381" s="2" t="s">
        <v>76</v>
      </c>
      <c r="Z381" s="2">
        <v>19428</v>
      </c>
      <c r="AA381" s="3">
        <v>43435.584722222222</v>
      </c>
      <c r="AB381" s="2">
        <v>75875</v>
      </c>
      <c r="AC381" s="2">
        <v>1360</v>
      </c>
      <c r="AD381" s="2">
        <v>59</v>
      </c>
      <c r="AE381" s="2">
        <v>0.18</v>
      </c>
      <c r="AF381" s="2" t="str" cm="1">
        <f t="array" ref="AF381">_xlfn.IFS(AE381=0, "No Discount ", AE381&lt;=0.08,"Low Discount", AE381&lt;=0.16,"Medium Discount", AE381&gt;0.16, "High Discount")</f>
        <v>High Discount</v>
      </c>
      <c r="AG381" s="2">
        <v>179190</v>
      </c>
      <c r="AH381" s="2">
        <v>327.75</v>
      </c>
      <c r="AI381" s="2">
        <v>0.49</v>
      </c>
      <c r="AJ381" s="2" t="str" cm="1">
        <f t="array" ref="AJ381">_xlfn.IFS(AI381&lt;=0, "No Profit", AI381&lt;=0.16,"Low Profit",AI381&lt;=0.32,"Medium Profit",AI381&gt;0.32,"High Profit")</f>
        <v>High Profit</v>
      </c>
      <c r="AK381" s="2">
        <v>1</v>
      </c>
      <c r="AL381" s="2">
        <v>327.75</v>
      </c>
      <c r="AM381" s="2">
        <v>268.76</v>
      </c>
      <c r="AN381" s="2">
        <v>131.69</v>
      </c>
      <c r="AO381" s="2" t="s">
        <v>78</v>
      </c>
      <c r="AP381" s="2" t="s">
        <v>2049</v>
      </c>
      <c r="AQ381" s="2" t="s">
        <v>127</v>
      </c>
      <c r="AR381" s="2" t="s">
        <v>81</v>
      </c>
      <c r="AS381" s="2">
        <v>1360</v>
      </c>
      <c r="AT381" s="2">
        <v>73</v>
      </c>
      <c r="AU381" s="2" t="s">
        <v>82</v>
      </c>
      <c r="AV381" s="2">
        <v>327.75</v>
      </c>
      <c r="AW381" s="2">
        <v>0</v>
      </c>
      <c r="AX381" s="2" t="s">
        <v>2054</v>
      </c>
      <c r="AY381" s="2" t="s">
        <v>162</v>
      </c>
      <c r="AZ381" s="4">
        <v>43435</v>
      </c>
      <c r="BA381" s="5">
        <v>0.58472222222222225</v>
      </c>
      <c r="BB381" s="2">
        <v>2018</v>
      </c>
      <c r="BC381" s="2" t="s">
        <v>357</v>
      </c>
      <c r="BD381" s="2">
        <v>1</v>
      </c>
      <c r="BE381" s="4">
        <v>43118</v>
      </c>
      <c r="BF381" s="5">
        <v>0.58472222222222225</v>
      </c>
      <c r="BG381" s="2" t="str" cm="1">
        <f t="array" ref="BG381">_xlfn.IFS(BF381&lt;TIMEVALUE("06:00"),"Night", BF381&gt;=TIMEVALUE("21:00"),"Night",BF381&gt;=TIMEVALUE("17:00"),"Evening",BF381&gt;=TIMEVALUE("12:00"),"Afternoon", BF381&gt;=TIMEVALUE("06:00"),"Morning")</f>
        <v>Afternoon</v>
      </c>
      <c r="BH381" s="2">
        <v>2018</v>
      </c>
      <c r="BI381" s="2" t="s">
        <v>84</v>
      </c>
      <c r="BJ381" s="2">
        <v>18</v>
      </c>
    </row>
    <row r="382" spans="1:62" x14ac:dyDescent="0.3">
      <c r="A382" s="2" t="s">
        <v>121</v>
      </c>
      <c r="B382" s="2">
        <v>5</v>
      </c>
      <c r="C382" s="2">
        <v>4</v>
      </c>
      <c r="D382" s="2">
        <v>91.77</v>
      </c>
      <c r="E382" s="2">
        <v>262.2</v>
      </c>
      <c r="F382" s="2" t="s">
        <v>87</v>
      </c>
      <c r="G382" s="2" t="s">
        <v>88</v>
      </c>
      <c r="H382" s="2">
        <v>73</v>
      </c>
      <c r="I382" s="2" t="s">
        <v>65</v>
      </c>
      <c r="J382" s="2" t="s">
        <v>239</v>
      </c>
      <c r="K382" s="2" t="s">
        <v>102</v>
      </c>
      <c r="L382" s="2" t="s">
        <v>2055</v>
      </c>
      <c r="M382" s="2">
        <v>19427</v>
      </c>
      <c r="N382" s="2" t="s">
        <v>2056</v>
      </c>
      <c r="O382" s="2" t="s">
        <v>124</v>
      </c>
      <c r="P382" s="2" t="s">
        <v>105</v>
      </c>
      <c r="Q382" s="2" t="s">
        <v>2057</v>
      </c>
      <c r="R382" s="2">
        <v>90813</v>
      </c>
      <c r="S382" s="2">
        <v>2</v>
      </c>
      <c r="T382" s="2" t="s">
        <v>73</v>
      </c>
      <c r="U382" s="2">
        <v>33.782451600000002</v>
      </c>
      <c r="V382" s="2">
        <v>-118.1922455</v>
      </c>
      <c r="W382" s="2" t="s">
        <v>74</v>
      </c>
      <c r="X382" s="2" t="s">
        <v>2048</v>
      </c>
      <c r="Y382" s="2" t="s">
        <v>76</v>
      </c>
      <c r="Z382" s="2">
        <v>19427</v>
      </c>
      <c r="AA382" s="3">
        <v>43435.570138888892</v>
      </c>
      <c r="AB382" s="2">
        <v>75874</v>
      </c>
      <c r="AC382" s="2">
        <v>1360</v>
      </c>
      <c r="AD382" s="2">
        <v>65.55</v>
      </c>
      <c r="AE382" s="2">
        <v>0.2</v>
      </c>
      <c r="AF382" s="2" t="str" cm="1">
        <f t="array" ref="AF382">_xlfn.IFS(AE382=0, "No Discount ", AE382&lt;=0.08,"Low Discount", AE382&lt;=0.16,"Medium Discount", AE382&gt;0.16, "High Discount")</f>
        <v>High Discount</v>
      </c>
      <c r="AG382" s="2">
        <v>179189</v>
      </c>
      <c r="AH382" s="2">
        <v>327.75</v>
      </c>
      <c r="AI382" s="2">
        <v>0.35</v>
      </c>
      <c r="AJ382" s="2" t="str" cm="1">
        <f t="array" ref="AJ382">_xlfn.IFS(AI382&lt;=0, "No Profit", AI382&lt;=0.16,"Low Profit",AI382&lt;=0.32,"Medium Profit",AI382&gt;0.32,"High Profit")</f>
        <v>High Profit</v>
      </c>
      <c r="AK382" s="2">
        <v>1</v>
      </c>
      <c r="AL382" s="2">
        <v>327.75</v>
      </c>
      <c r="AM382" s="2">
        <v>262.2</v>
      </c>
      <c r="AN382" s="2">
        <v>91.77</v>
      </c>
      <c r="AO382" s="2" t="s">
        <v>78</v>
      </c>
      <c r="AP382" s="2" t="s">
        <v>2049</v>
      </c>
      <c r="AQ382" s="2" t="s">
        <v>127</v>
      </c>
      <c r="AR382" s="2" t="s">
        <v>81</v>
      </c>
      <c r="AS382" s="2">
        <v>1360</v>
      </c>
      <c r="AT382" s="2">
        <v>73</v>
      </c>
      <c r="AU382" s="2" t="s">
        <v>82</v>
      </c>
      <c r="AV382" s="2">
        <v>327.75</v>
      </c>
      <c r="AW382" s="2">
        <v>0</v>
      </c>
      <c r="AX382" s="2" t="s">
        <v>2058</v>
      </c>
      <c r="AY382" s="2" t="s">
        <v>83</v>
      </c>
      <c r="AZ382" s="4">
        <v>43435</v>
      </c>
      <c r="BA382" s="5">
        <v>0.57013888888888886</v>
      </c>
      <c r="BB382" s="2">
        <v>2018</v>
      </c>
      <c r="BC382" s="2" t="s">
        <v>357</v>
      </c>
      <c r="BD382" s="2">
        <v>1</v>
      </c>
      <c r="BE382" s="4">
        <v>43117</v>
      </c>
      <c r="BF382" s="5">
        <v>0.57013888888888886</v>
      </c>
      <c r="BG382" s="2" t="str" cm="1">
        <f t="array" ref="BG382">_xlfn.IFS(BF382&lt;TIMEVALUE("06:00"),"Night", BF382&gt;=TIMEVALUE("21:00"),"Night",BF382&gt;=TIMEVALUE("17:00"),"Evening",BF382&gt;=TIMEVALUE("12:00"),"Afternoon", BF382&gt;=TIMEVALUE("06:00"),"Morning")</f>
        <v>Afternoon</v>
      </c>
      <c r="BH382" s="2">
        <v>2018</v>
      </c>
      <c r="BI382" s="2" t="s">
        <v>84</v>
      </c>
      <c r="BJ382" s="2">
        <v>17</v>
      </c>
    </row>
    <row r="383" spans="1:62" x14ac:dyDescent="0.3">
      <c r="A383" s="2" t="s">
        <v>86</v>
      </c>
      <c r="B383" s="2">
        <v>4</v>
      </c>
      <c r="C383" s="2">
        <v>4</v>
      </c>
      <c r="D383" s="2">
        <v>-163.96</v>
      </c>
      <c r="E383" s="2">
        <v>245.81</v>
      </c>
      <c r="F383" s="2" t="s">
        <v>100</v>
      </c>
      <c r="G383" s="2" t="s">
        <v>64</v>
      </c>
      <c r="H383" s="2">
        <v>73</v>
      </c>
      <c r="I383" s="2" t="s">
        <v>65</v>
      </c>
      <c r="J383" s="2" t="s">
        <v>1312</v>
      </c>
      <c r="K383" s="2" t="s">
        <v>102</v>
      </c>
      <c r="L383" s="2" t="s">
        <v>2059</v>
      </c>
      <c r="M383" s="2">
        <v>19426</v>
      </c>
      <c r="N383" s="2" t="s">
        <v>2052</v>
      </c>
      <c r="O383" s="2" t="s">
        <v>70</v>
      </c>
      <c r="P383" s="2" t="s">
        <v>133</v>
      </c>
      <c r="Q383" s="2" t="s">
        <v>1833</v>
      </c>
      <c r="R383" s="2">
        <v>10458</v>
      </c>
      <c r="S383" s="2">
        <v>2</v>
      </c>
      <c r="T383" s="2" t="s">
        <v>73</v>
      </c>
      <c r="U383" s="2">
        <v>40.866180399999998</v>
      </c>
      <c r="V383" s="2">
        <v>-73.870239299999994</v>
      </c>
      <c r="W383" s="2" t="s">
        <v>74</v>
      </c>
      <c r="X383" s="2" t="s">
        <v>2060</v>
      </c>
      <c r="Y383" s="2" t="s">
        <v>93</v>
      </c>
      <c r="Z383" s="2">
        <v>19426</v>
      </c>
      <c r="AA383" s="3">
        <v>43435.555555555555</v>
      </c>
      <c r="AB383" s="2">
        <v>75873</v>
      </c>
      <c r="AC383" s="2">
        <v>1360</v>
      </c>
      <c r="AD383" s="2">
        <v>81.94</v>
      </c>
      <c r="AE383" s="2">
        <v>0.25</v>
      </c>
      <c r="AF383" s="2" t="str" cm="1">
        <f t="array" ref="AF383">_xlfn.IFS(AE383=0, "No Discount ", AE383&lt;=0.08,"Low Discount", AE383&lt;=0.16,"Medium Discount", AE383&gt;0.16, "High Discount")</f>
        <v>High Discount</v>
      </c>
      <c r="AG383" s="2">
        <v>179188</v>
      </c>
      <c r="AH383" s="2">
        <v>327.75</v>
      </c>
      <c r="AI383" s="2">
        <v>-0.67</v>
      </c>
      <c r="AJ383" s="2" t="str" cm="1">
        <f t="array" ref="AJ383">_xlfn.IFS(AI383&lt;=0, "No Profit", AI383&lt;=0.16,"Low Profit",AI383&lt;=0.32,"Medium Profit",AI383&gt;0.32,"High Profit")</f>
        <v>No Profit</v>
      </c>
      <c r="AK383" s="2">
        <v>1</v>
      </c>
      <c r="AL383" s="2">
        <v>327.75</v>
      </c>
      <c r="AM383" s="2">
        <v>245.81</v>
      </c>
      <c r="AN383" s="2">
        <v>-163.96</v>
      </c>
      <c r="AO383" s="2" t="s">
        <v>95</v>
      </c>
      <c r="AP383" s="2" t="s">
        <v>196</v>
      </c>
      <c r="AQ383" s="2" t="s">
        <v>155</v>
      </c>
      <c r="AR383" s="2" t="s">
        <v>81</v>
      </c>
      <c r="AS383" s="2">
        <v>1360</v>
      </c>
      <c r="AT383" s="2">
        <v>73</v>
      </c>
      <c r="AU383" s="2" t="s">
        <v>82</v>
      </c>
      <c r="AV383" s="2">
        <v>327.75</v>
      </c>
      <c r="AW383" s="2">
        <v>0</v>
      </c>
      <c r="AX383" s="2" t="s">
        <v>2061</v>
      </c>
      <c r="AY383" s="2" t="s">
        <v>83</v>
      </c>
      <c r="AZ383" s="4">
        <v>43435</v>
      </c>
      <c r="BA383" s="5">
        <v>0.55555555555555558</v>
      </c>
      <c r="BB383" s="2">
        <v>2018</v>
      </c>
      <c r="BC383" s="2" t="s">
        <v>357</v>
      </c>
      <c r="BD383" s="2">
        <v>1</v>
      </c>
      <c r="BE383" s="4">
        <v>43116</v>
      </c>
      <c r="BF383" s="5">
        <v>0.55555555555555558</v>
      </c>
      <c r="BG383" s="2" t="str" cm="1">
        <f t="array" ref="BG383">_xlfn.IFS(BF383&lt;TIMEVALUE("06:00"),"Night", BF383&gt;=TIMEVALUE("21:00"),"Night",BF383&gt;=TIMEVALUE("17:00"),"Evening",BF383&gt;=TIMEVALUE("12:00"),"Afternoon", BF383&gt;=TIMEVALUE("06:00"),"Morning")</f>
        <v>Afternoon</v>
      </c>
      <c r="BH383" s="2">
        <v>2018</v>
      </c>
      <c r="BI383" s="2" t="s">
        <v>84</v>
      </c>
      <c r="BJ383" s="2">
        <v>16</v>
      </c>
    </row>
    <row r="384" spans="1:62" x14ac:dyDescent="0.3">
      <c r="A384" s="2" t="s">
        <v>86</v>
      </c>
      <c r="B384" s="2">
        <v>3</v>
      </c>
      <c r="C384" s="2">
        <v>4</v>
      </c>
      <c r="D384" s="2">
        <v>144.21</v>
      </c>
      <c r="E384" s="2">
        <v>327.75</v>
      </c>
      <c r="F384" s="2" t="s">
        <v>63</v>
      </c>
      <c r="G384" s="2" t="s">
        <v>64</v>
      </c>
      <c r="H384" s="2">
        <v>73</v>
      </c>
      <c r="I384" s="2" t="s">
        <v>65</v>
      </c>
      <c r="J384" s="2" t="s">
        <v>66</v>
      </c>
      <c r="K384" s="2" t="s">
        <v>67</v>
      </c>
      <c r="L384" s="2" t="s">
        <v>2062</v>
      </c>
      <c r="M384" s="2">
        <v>19425</v>
      </c>
      <c r="N384" s="2" t="s">
        <v>2063</v>
      </c>
      <c r="O384" s="2" t="s">
        <v>70</v>
      </c>
      <c r="P384" s="2" t="s">
        <v>71</v>
      </c>
      <c r="Q384" s="2" t="s">
        <v>2064</v>
      </c>
      <c r="R384" s="2">
        <v>725</v>
      </c>
      <c r="S384" s="2">
        <v>2</v>
      </c>
      <c r="T384" s="2" t="s">
        <v>73</v>
      </c>
      <c r="U384" s="2">
        <v>18.276908899999999</v>
      </c>
      <c r="V384" s="2">
        <v>-66.037056000000007</v>
      </c>
      <c r="W384" s="2" t="s">
        <v>74</v>
      </c>
      <c r="X384" s="2" t="s">
        <v>2060</v>
      </c>
      <c r="Y384" s="2" t="s">
        <v>93</v>
      </c>
      <c r="Z384" s="2">
        <v>19425</v>
      </c>
      <c r="AA384" s="3">
        <v>43435.540972222225</v>
      </c>
      <c r="AB384" s="2">
        <v>75872</v>
      </c>
      <c r="AC384" s="2">
        <v>1360</v>
      </c>
      <c r="AD384" s="2">
        <v>0</v>
      </c>
      <c r="AE384" s="2">
        <v>0</v>
      </c>
      <c r="AF384" s="2" t="str" cm="1">
        <f t="array" ref="AF384">_xlfn.IFS(AE384=0, "No Discount ", AE384&lt;=0.08,"Low Discount", AE384&lt;=0.16,"Medium Discount", AE384&gt;0.16, "High Discount")</f>
        <v xml:space="preserve">No Discount </v>
      </c>
      <c r="AG384" s="2">
        <v>179187</v>
      </c>
      <c r="AH384" s="2">
        <v>327.75</v>
      </c>
      <c r="AI384" s="2">
        <v>0.44</v>
      </c>
      <c r="AJ384" s="2" t="str" cm="1">
        <f t="array" ref="AJ384">_xlfn.IFS(AI384&lt;=0, "No Profit", AI384&lt;=0.16,"Low Profit",AI384&lt;=0.32,"Medium Profit",AI384&gt;0.32,"High Profit")</f>
        <v>High Profit</v>
      </c>
      <c r="AK384" s="2">
        <v>1</v>
      </c>
      <c r="AL384" s="2">
        <v>327.75</v>
      </c>
      <c r="AM384" s="2">
        <v>327.75</v>
      </c>
      <c r="AN384" s="2">
        <v>144.21</v>
      </c>
      <c r="AO384" s="2" t="s">
        <v>95</v>
      </c>
      <c r="AP384" s="2" t="s">
        <v>196</v>
      </c>
      <c r="AQ384" s="2" t="s">
        <v>97</v>
      </c>
      <c r="AR384" s="2" t="s">
        <v>81</v>
      </c>
      <c r="AS384" s="2">
        <v>1360</v>
      </c>
      <c r="AT384" s="2">
        <v>73</v>
      </c>
      <c r="AU384" s="2" t="s">
        <v>82</v>
      </c>
      <c r="AV384" s="2">
        <v>327.75</v>
      </c>
      <c r="AW384" s="2">
        <v>0</v>
      </c>
      <c r="AX384" s="2" t="s">
        <v>2065</v>
      </c>
      <c r="AY384" s="2" t="s">
        <v>83</v>
      </c>
      <c r="AZ384" s="4">
        <v>43435</v>
      </c>
      <c r="BA384" s="5">
        <v>0.54097222222222219</v>
      </c>
      <c r="BB384" s="2">
        <v>2018</v>
      </c>
      <c r="BC384" s="2" t="s">
        <v>357</v>
      </c>
      <c r="BD384" s="2">
        <v>1</v>
      </c>
      <c r="BE384" s="4">
        <v>43115</v>
      </c>
      <c r="BF384" s="5">
        <v>0.54097222222222219</v>
      </c>
      <c r="BG384" s="2" t="str" cm="1">
        <f t="array" ref="BG384">_xlfn.IFS(BF384&lt;TIMEVALUE("06:00"),"Night", BF384&gt;=TIMEVALUE("21:00"),"Night",BF384&gt;=TIMEVALUE("17:00"),"Evening",BF384&gt;=TIMEVALUE("12:00"),"Afternoon", BF384&gt;=TIMEVALUE("06:00"),"Morning")</f>
        <v>Afternoon</v>
      </c>
      <c r="BH384" s="2">
        <v>2018</v>
      </c>
      <c r="BI384" s="2" t="s">
        <v>84</v>
      </c>
      <c r="BJ384" s="2">
        <v>15</v>
      </c>
    </row>
    <row r="385" spans="1:62" x14ac:dyDescent="0.3">
      <c r="A385" s="2" t="s">
        <v>62</v>
      </c>
      <c r="B385" s="2">
        <v>2</v>
      </c>
      <c r="C385" s="2">
        <v>1</v>
      </c>
      <c r="D385" s="2">
        <v>32.450000000000003</v>
      </c>
      <c r="E385" s="2">
        <v>324.47000000000003</v>
      </c>
      <c r="F385" s="2" t="s">
        <v>87</v>
      </c>
      <c r="G385" s="2" t="s">
        <v>88</v>
      </c>
      <c r="H385" s="2">
        <v>73</v>
      </c>
      <c r="I385" s="2" t="s">
        <v>65</v>
      </c>
      <c r="J385" s="2" t="s">
        <v>2066</v>
      </c>
      <c r="K385" s="2" t="s">
        <v>102</v>
      </c>
      <c r="L385" s="2" t="s">
        <v>2067</v>
      </c>
      <c r="M385" s="2">
        <v>19424</v>
      </c>
      <c r="N385" s="2" t="s">
        <v>2068</v>
      </c>
      <c r="O385" s="2" t="s">
        <v>70</v>
      </c>
      <c r="P385" s="2" t="s">
        <v>1448</v>
      </c>
      <c r="Q385" s="2" t="s">
        <v>2069</v>
      </c>
      <c r="R385" s="2">
        <v>84604</v>
      </c>
      <c r="S385" s="2">
        <v>2</v>
      </c>
      <c r="T385" s="2" t="s">
        <v>73</v>
      </c>
      <c r="U385" s="2">
        <v>40.395790099999999</v>
      </c>
      <c r="V385" s="2">
        <v>-111.54888149999999</v>
      </c>
      <c r="W385" s="2" t="s">
        <v>74</v>
      </c>
      <c r="X385" s="2" t="s">
        <v>2060</v>
      </c>
      <c r="Y385" s="2" t="s">
        <v>93</v>
      </c>
      <c r="Z385" s="2">
        <v>19424</v>
      </c>
      <c r="AA385" s="3">
        <v>43435.526388888888</v>
      </c>
      <c r="AB385" s="2">
        <v>75871</v>
      </c>
      <c r="AC385" s="2">
        <v>1360</v>
      </c>
      <c r="AD385" s="2">
        <v>3.28</v>
      </c>
      <c r="AE385" s="2">
        <v>0.01</v>
      </c>
      <c r="AF385" s="2" t="str" cm="1">
        <f t="array" ref="AF385">_xlfn.IFS(AE385=0, "No Discount ", AE385&lt;=0.08,"Low Discount", AE385&lt;=0.16,"Medium Discount", AE385&gt;0.16, "High Discount")</f>
        <v>Low Discount</v>
      </c>
      <c r="AG385" s="2">
        <v>179186</v>
      </c>
      <c r="AH385" s="2">
        <v>327.75</v>
      </c>
      <c r="AI385" s="2">
        <v>0.1</v>
      </c>
      <c r="AJ385" s="2" t="str" cm="1">
        <f t="array" ref="AJ385">_xlfn.IFS(AI385&lt;=0, "No Profit", AI385&lt;=0.16,"Low Profit",AI385&lt;=0.32,"Medium Profit",AI385&gt;0.32,"High Profit")</f>
        <v>Low Profit</v>
      </c>
      <c r="AK385" s="2">
        <v>1</v>
      </c>
      <c r="AL385" s="2">
        <v>327.75</v>
      </c>
      <c r="AM385" s="2">
        <v>324.47000000000003</v>
      </c>
      <c r="AN385" s="2">
        <v>32.450000000000003</v>
      </c>
      <c r="AO385" s="2" t="s">
        <v>95</v>
      </c>
      <c r="AP385" s="2" t="s">
        <v>196</v>
      </c>
      <c r="AQ385" s="2" t="s">
        <v>80</v>
      </c>
      <c r="AR385" s="2" t="s">
        <v>81</v>
      </c>
      <c r="AS385" s="2">
        <v>1360</v>
      </c>
      <c r="AT385" s="2">
        <v>73</v>
      </c>
      <c r="AU385" s="2" t="s">
        <v>82</v>
      </c>
      <c r="AV385" s="2">
        <v>327.75</v>
      </c>
      <c r="AW385" s="2">
        <v>0</v>
      </c>
      <c r="AX385" s="2" t="s">
        <v>2070</v>
      </c>
      <c r="AY385" s="2" t="s">
        <v>148</v>
      </c>
      <c r="AZ385" s="4">
        <v>43435</v>
      </c>
      <c r="BA385" s="5">
        <v>0.52638888888888891</v>
      </c>
      <c r="BB385" s="2">
        <v>2018</v>
      </c>
      <c r="BC385" s="2" t="s">
        <v>357</v>
      </c>
      <c r="BD385" s="2">
        <v>1</v>
      </c>
      <c r="BE385" s="4">
        <v>43114</v>
      </c>
      <c r="BF385" s="5">
        <v>0.52638888888888891</v>
      </c>
      <c r="BG385" s="2" t="str" cm="1">
        <f t="array" ref="BG385">_xlfn.IFS(BF385&lt;TIMEVALUE("06:00"),"Night", BF385&gt;=TIMEVALUE("21:00"),"Night",BF385&gt;=TIMEVALUE("17:00"),"Evening",BF385&gt;=TIMEVALUE("12:00"),"Afternoon", BF385&gt;=TIMEVALUE("06:00"),"Morning")</f>
        <v>Afternoon</v>
      </c>
      <c r="BH385" s="2">
        <v>2018</v>
      </c>
      <c r="BI385" s="2" t="s">
        <v>84</v>
      </c>
      <c r="BJ385" s="2">
        <v>14</v>
      </c>
    </row>
    <row r="386" spans="1:62" x14ac:dyDescent="0.3">
      <c r="A386" s="2" t="s">
        <v>62</v>
      </c>
      <c r="B386" s="2">
        <v>2</v>
      </c>
      <c r="C386" s="2">
        <v>1</v>
      </c>
      <c r="D386" s="2">
        <v>93.15</v>
      </c>
      <c r="E386" s="2">
        <v>321.2</v>
      </c>
      <c r="F386" s="2" t="s">
        <v>87</v>
      </c>
      <c r="G386" s="2" t="s">
        <v>88</v>
      </c>
      <c r="H386" s="2">
        <v>73</v>
      </c>
      <c r="I386" s="2" t="s">
        <v>65</v>
      </c>
      <c r="J386" s="2" t="s">
        <v>2071</v>
      </c>
      <c r="K386" s="2" t="s">
        <v>102</v>
      </c>
      <c r="L386" s="2" t="s">
        <v>2072</v>
      </c>
      <c r="M386" s="2">
        <v>19423</v>
      </c>
      <c r="N386" s="2" t="s">
        <v>2073</v>
      </c>
      <c r="O386" s="2" t="s">
        <v>70</v>
      </c>
      <c r="P386" s="2" t="s">
        <v>1765</v>
      </c>
      <c r="Q386" s="2" t="s">
        <v>2074</v>
      </c>
      <c r="R386" s="2">
        <v>38401</v>
      </c>
      <c r="S386" s="2">
        <v>2</v>
      </c>
      <c r="T386" s="2" t="s">
        <v>73</v>
      </c>
      <c r="U386" s="2">
        <v>35.569202400000002</v>
      </c>
      <c r="V386" s="2">
        <v>-87.080451999999994</v>
      </c>
      <c r="W386" s="2" t="s">
        <v>74</v>
      </c>
      <c r="X386" s="2" t="s">
        <v>2060</v>
      </c>
      <c r="Y386" s="2" t="s">
        <v>93</v>
      </c>
      <c r="Z386" s="2">
        <v>19423</v>
      </c>
      <c r="AA386" s="3">
        <v>43435.511805555558</v>
      </c>
      <c r="AB386" s="2">
        <v>75870</v>
      </c>
      <c r="AC386" s="2">
        <v>1360</v>
      </c>
      <c r="AD386" s="2">
        <v>6.56</v>
      </c>
      <c r="AE386" s="2">
        <v>0.02</v>
      </c>
      <c r="AF386" s="2" t="str" cm="1">
        <f t="array" ref="AF386">_xlfn.IFS(AE386=0, "No Discount ", AE386&lt;=0.08,"Low Discount", AE386&lt;=0.16,"Medium Discount", AE386&gt;0.16, "High Discount")</f>
        <v>Low Discount</v>
      </c>
      <c r="AG386" s="2">
        <v>179185</v>
      </c>
      <c r="AH386" s="2">
        <v>327.75</v>
      </c>
      <c r="AI386" s="2">
        <v>0.28999999999999998</v>
      </c>
      <c r="AJ386" s="2" t="str" cm="1">
        <f t="array" ref="AJ386">_xlfn.IFS(AI386&lt;=0, "No Profit", AI386&lt;=0.16,"Low Profit",AI386&lt;=0.32,"Medium Profit",AI386&gt;0.32,"High Profit")</f>
        <v>Medium Profit</v>
      </c>
      <c r="AK386" s="2">
        <v>1</v>
      </c>
      <c r="AL386" s="2">
        <v>327.75</v>
      </c>
      <c r="AM386" s="2">
        <v>321.2</v>
      </c>
      <c r="AN386" s="2">
        <v>93.15</v>
      </c>
      <c r="AO386" s="2" t="s">
        <v>95</v>
      </c>
      <c r="AP386" s="2" t="s">
        <v>196</v>
      </c>
      <c r="AQ386" s="2" t="s">
        <v>80</v>
      </c>
      <c r="AR386" s="2" t="s">
        <v>81</v>
      </c>
      <c r="AS386" s="2">
        <v>1360</v>
      </c>
      <c r="AT386" s="2">
        <v>73</v>
      </c>
      <c r="AU386" s="2" t="s">
        <v>82</v>
      </c>
      <c r="AV386" s="2">
        <v>327.75</v>
      </c>
      <c r="AW386" s="2">
        <v>0</v>
      </c>
      <c r="AX386" s="2" t="s">
        <v>2075</v>
      </c>
      <c r="AY386" s="2" t="s">
        <v>148</v>
      </c>
      <c r="AZ386" s="4">
        <v>43435</v>
      </c>
      <c r="BA386" s="5">
        <v>0.51180555555555551</v>
      </c>
      <c r="BB386" s="2">
        <v>2018</v>
      </c>
      <c r="BC386" s="2" t="s">
        <v>357</v>
      </c>
      <c r="BD386" s="2">
        <v>1</v>
      </c>
      <c r="BE386" s="4">
        <v>43114</v>
      </c>
      <c r="BF386" s="5">
        <v>0.51180555555555551</v>
      </c>
      <c r="BG386" s="2" t="str" cm="1">
        <f t="array" ref="BG386">_xlfn.IFS(BF386&lt;TIMEVALUE("06:00"),"Night", BF386&gt;=TIMEVALUE("21:00"),"Night",BF386&gt;=TIMEVALUE("17:00"),"Evening",BF386&gt;=TIMEVALUE("12:00"),"Afternoon", BF386&gt;=TIMEVALUE("06:00"),"Morning")</f>
        <v>Afternoon</v>
      </c>
      <c r="BH386" s="2">
        <v>2018</v>
      </c>
      <c r="BI386" s="2" t="s">
        <v>84</v>
      </c>
      <c r="BJ386" s="2">
        <v>14</v>
      </c>
    </row>
    <row r="387" spans="1:62" x14ac:dyDescent="0.3">
      <c r="A387" s="2" t="s">
        <v>62</v>
      </c>
      <c r="B387" s="2">
        <v>2</v>
      </c>
      <c r="C387" s="2">
        <v>1</v>
      </c>
      <c r="D387" s="2">
        <v>79.48</v>
      </c>
      <c r="E387" s="2">
        <v>317.92</v>
      </c>
      <c r="F387" s="2" t="s">
        <v>87</v>
      </c>
      <c r="G387" s="2" t="s">
        <v>88</v>
      </c>
      <c r="H387" s="2">
        <v>73</v>
      </c>
      <c r="I387" s="2" t="s">
        <v>65</v>
      </c>
      <c r="J387" s="2" t="s">
        <v>66</v>
      </c>
      <c r="K387" s="2" t="s">
        <v>67</v>
      </c>
      <c r="L387" s="2" t="s">
        <v>1491</v>
      </c>
      <c r="M387" s="2">
        <v>19422</v>
      </c>
      <c r="N387" s="2" t="s">
        <v>2076</v>
      </c>
      <c r="O387" s="2" t="s">
        <v>70</v>
      </c>
      <c r="P387" s="2" t="s">
        <v>71</v>
      </c>
      <c r="Q387" s="2" t="s">
        <v>2077</v>
      </c>
      <c r="R387" s="2">
        <v>725</v>
      </c>
      <c r="S387" s="2">
        <v>2</v>
      </c>
      <c r="T387" s="2" t="s">
        <v>73</v>
      </c>
      <c r="U387" s="2">
        <v>18.255546599999999</v>
      </c>
      <c r="V387" s="2">
        <v>-66.037056000000007</v>
      </c>
      <c r="W387" s="2" t="s">
        <v>74</v>
      </c>
      <c r="X387" s="2" t="s">
        <v>2060</v>
      </c>
      <c r="Y387" s="2" t="s">
        <v>93</v>
      </c>
      <c r="Z387" s="2">
        <v>19422</v>
      </c>
      <c r="AA387" s="3">
        <v>43435.49722222222</v>
      </c>
      <c r="AB387" s="2">
        <v>75869</v>
      </c>
      <c r="AC387" s="2">
        <v>1360</v>
      </c>
      <c r="AD387" s="2">
        <v>9.83</v>
      </c>
      <c r="AE387" s="2">
        <v>0.03</v>
      </c>
      <c r="AF387" s="2" t="str" cm="1">
        <f t="array" ref="AF387">_xlfn.IFS(AE387=0, "No Discount ", AE387&lt;=0.08,"Low Discount", AE387&lt;=0.16,"Medium Discount", AE387&gt;0.16, "High Discount")</f>
        <v>Low Discount</v>
      </c>
      <c r="AG387" s="2">
        <v>179184</v>
      </c>
      <c r="AH387" s="2">
        <v>327.75</v>
      </c>
      <c r="AI387" s="2">
        <v>0.25</v>
      </c>
      <c r="AJ387" s="2" t="str" cm="1">
        <f t="array" ref="AJ387">_xlfn.IFS(AI387&lt;=0, "No Profit", AI387&lt;=0.16,"Low Profit",AI387&lt;=0.32,"Medium Profit",AI387&gt;0.32,"High Profit")</f>
        <v>Medium Profit</v>
      </c>
      <c r="AK387" s="2">
        <v>1</v>
      </c>
      <c r="AL387" s="2">
        <v>327.75</v>
      </c>
      <c r="AM387" s="2">
        <v>317.92</v>
      </c>
      <c r="AN387" s="2">
        <v>79.48</v>
      </c>
      <c r="AO387" s="2" t="s">
        <v>95</v>
      </c>
      <c r="AP387" s="2" t="s">
        <v>196</v>
      </c>
      <c r="AQ387" s="2" t="s">
        <v>80</v>
      </c>
      <c r="AR387" s="2" t="s">
        <v>81</v>
      </c>
      <c r="AS387" s="2">
        <v>1360</v>
      </c>
      <c r="AT387" s="2">
        <v>73</v>
      </c>
      <c r="AU387" s="2" t="s">
        <v>82</v>
      </c>
      <c r="AV387" s="2">
        <v>327.75</v>
      </c>
      <c r="AW387" s="2">
        <v>0</v>
      </c>
      <c r="AX387" s="2" t="s">
        <v>2078</v>
      </c>
      <c r="AY387" s="2" t="s">
        <v>148</v>
      </c>
      <c r="AZ387" s="4">
        <v>43435</v>
      </c>
      <c r="BA387" s="5">
        <v>0.49722222222222223</v>
      </c>
      <c r="BB387" s="2">
        <v>2018</v>
      </c>
      <c r="BC387" s="2" t="s">
        <v>357</v>
      </c>
      <c r="BD387" s="2">
        <v>1</v>
      </c>
      <c r="BE387" s="4">
        <v>43114</v>
      </c>
      <c r="BF387" s="5">
        <v>0.49722222222222223</v>
      </c>
      <c r="BG387" s="2" t="str" cm="1">
        <f t="array" ref="BG387">_xlfn.IFS(BF387&lt;TIMEVALUE("06:00"),"Night", BF387&gt;=TIMEVALUE("21:00"),"Night",BF387&gt;=TIMEVALUE("17:00"),"Evening",BF387&gt;=TIMEVALUE("12:00"),"Afternoon", BF387&gt;=TIMEVALUE("06:00"),"Morning")</f>
        <v>Morning</v>
      </c>
      <c r="BH387" s="2">
        <v>2018</v>
      </c>
      <c r="BI387" s="2" t="s">
        <v>84</v>
      </c>
      <c r="BJ387" s="2">
        <v>14</v>
      </c>
    </row>
    <row r="388" spans="1:62" x14ac:dyDescent="0.3">
      <c r="A388" s="2" t="s">
        <v>86</v>
      </c>
      <c r="B388" s="2">
        <v>2</v>
      </c>
      <c r="C388" s="2">
        <v>1</v>
      </c>
      <c r="D388" s="2">
        <v>100.68</v>
      </c>
      <c r="E388" s="2">
        <v>314.64</v>
      </c>
      <c r="F388" s="2" t="s">
        <v>87</v>
      </c>
      <c r="G388" s="2" t="s">
        <v>88</v>
      </c>
      <c r="H388" s="2">
        <v>73</v>
      </c>
      <c r="I388" s="2" t="s">
        <v>65</v>
      </c>
      <c r="J388" s="2" t="s">
        <v>1658</v>
      </c>
      <c r="K388" s="2" t="s">
        <v>102</v>
      </c>
      <c r="L388" s="2" t="s">
        <v>2079</v>
      </c>
      <c r="M388" s="2">
        <v>19421</v>
      </c>
      <c r="N388" s="2" t="s">
        <v>635</v>
      </c>
      <c r="O388" s="2" t="s">
        <v>70</v>
      </c>
      <c r="P388" s="2" t="s">
        <v>105</v>
      </c>
      <c r="Q388" s="2" t="s">
        <v>1660</v>
      </c>
      <c r="R388" s="2">
        <v>95207</v>
      </c>
      <c r="S388" s="2">
        <v>2</v>
      </c>
      <c r="T388" s="2" t="s">
        <v>73</v>
      </c>
      <c r="U388" s="2">
        <v>37.926849400000002</v>
      </c>
      <c r="V388" s="2">
        <v>-121.3893127</v>
      </c>
      <c r="W388" s="2" t="s">
        <v>74</v>
      </c>
      <c r="X388" s="2" t="s">
        <v>2080</v>
      </c>
      <c r="Y388" s="2" t="s">
        <v>143</v>
      </c>
      <c r="Z388" s="2">
        <v>19421</v>
      </c>
      <c r="AA388" s="3">
        <v>43435.482638888891</v>
      </c>
      <c r="AB388" s="2">
        <v>75868</v>
      </c>
      <c r="AC388" s="2">
        <v>1360</v>
      </c>
      <c r="AD388" s="2">
        <v>13.11</v>
      </c>
      <c r="AE388" s="2">
        <v>0.04</v>
      </c>
      <c r="AF388" s="2" t="str" cm="1">
        <f t="array" ref="AF388">_xlfn.IFS(AE388=0, "No Discount ", AE388&lt;=0.08,"Low Discount", AE388&lt;=0.16,"Medium Discount", AE388&gt;0.16, "High Discount")</f>
        <v>Low Discount</v>
      </c>
      <c r="AG388" s="2">
        <v>179183</v>
      </c>
      <c r="AH388" s="2">
        <v>327.75</v>
      </c>
      <c r="AI388" s="2">
        <v>0.32</v>
      </c>
      <c r="AJ388" s="2" t="str" cm="1">
        <f t="array" ref="AJ388">_xlfn.IFS(AI388&lt;=0, "No Profit", AI388&lt;=0.16,"Low Profit",AI388&lt;=0.32,"Medium Profit",AI388&gt;0.32,"High Profit")</f>
        <v>Medium Profit</v>
      </c>
      <c r="AK388" s="2">
        <v>1</v>
      </c>
      <c r="AL388" s="2">
        <v>327.75</v>
      </c>
      <c r="AM388" s="2">
        <v>314.64</v>
      </c>
      <c r="AN388" s="2">
        <v>100.68</v>
      </c>
      <c r="AO388" s="2" t="s">
        <v>145</v>
      </c>
      <c r="AP388" s="2" t="s">
        <v>1465</v>
      </c>
      <c r="AQ388" s="2" t="s">
        <v>155</v>
      </c>
      <c r="AR388" s="2" t="s">
        <v>81</v>
      </c>
      <c r="AS388" s="2">
        <v>1360</v>
      </c>
      <c r="AT388" s="2">
        <v>73</v>
      </c>
      <c r="AU388" s="2" t="s">
        <v>82</v>
      </c>
      <c r="AV388" s="2">
        <v>327.75</v>
      </c>
      <c r="AW388" s="2">
        <v>0</v>
      </c>
      <c r="AX388" s="2" t="s">
        <v>2081</v>
      </c>
      <c r="AY388" s="2" t="s">
        <v>148</v>
      </c>
      <c r="AZ388" s="4">
        <v>43435</v>
      </c>
      <c r="BA388" s="5">
        <v>0.4826388888888889</v>
      </c>
      <c r="BB388" s="2">
        <v>2018</v>
      </c>
      <c r="BC388" s="2" t="s">
        <v>357</v>
      </c>
      <c r="BD388" s="2">
        <v>1</v>
      </c>
      <c r="BE388" s="4">
        <v>43114</v>
      </c>
      <c r="BF388" s="5">
        <v>0.4826388888888889</v>
      </c>
      <c r="BG388" s="2" t="str" cm="1">
        <f t="array" ref="BG388">_xlfn.IFS(BF388&lt;TIMEVALUE("06:00"),"Night", BF388&gt;=TIMEVALUE("21:00"),"Night",BF388&gt;=TIMEVALUE("17:00"),"Evening",BF388&gt;=TIMEVALUE("12:00"),"Afternoon", BF388&gt;=TIMEVALUE("06:00"),"Morning")</f>
        <v>Morning</v>
      </c>
      <c r="BH388" s="2">
        <v>2018</v>
      </c>
      <c r="BI388" s="2" t="s">
        <v>84</v>
      </c>
      <c r="BJ388" s="2">
        <v>14</v>
      </c>
    </row>
    <row r="389" spans="1:62" x14ac:dyDescent="0.3">
      <c r="A389" s="2" t="s">
        <v>86</v>
      </c>
      <c r="B389" s="2">
        <v>0</v>
      </c>
      <c r="C389" s="2">
        <v>0</v>
      </c>
      <c r="D389" s="2">
        <v>149.44999999999999</v>
      </c>
      <c r="E389" s="2">
        <v>311.36</v>
      </c>
      <c r="F389" s="2" t="s">
        <v>100</v>
      </c>
      <c r="G389" s="2" t="s">
        <v>64</v>
      </c>
      <c r="H389" s="2">
        <v>73</v>
      </c>
      <c r="I389" s="2" t="s">
        <v>65</v>
      </c>
      <c r="J389" s="2" t="s">
        <v>2082</v>
      </c>
      <c r="K389" s="2" t="s">
        <v>102</v>
      </c>
      <c r="L389" s="2" t="s">
        <v>1782</v>
      </c>
      <c r="M389" s="2">
        <v>19420</v>
      </c>
      <c r="N389" s="2" t="s">
        <v>2083</v>
      </c>
      <c r="O389" s="2" t="s">
        <v>113</v>
      </c>
      <c r="P389" s="2" t="s">
        <v>380</v>
      </c>
      <c r="Q389" s="2" t="s">
        <v>2084</v>
      </c>
      <c r="R389" s="2">
        <v>30062</v>
      </c>
      <c r="S389" s="2">
        <v>2</v>
      </c>
      <c r="T389" s="2" t="s">
        <v>73</v>
      </c>
      <c r="U389" s="2">
        <v>34.020614600000002</v>
      </c>
      <c r="V389" s="2">
        <v>-84.4274597</v>
      </c>
      <c r="W389" s="2" t="s">
        <v>74</v>
      </c>
      <c r="X389" s="2" t="s">
        <v>2085</v>
      </c>
      <c r="Y389" s="2" t="s">
        <v>76</v>
      </c>
      <c r="Z389" s="2">
        <v>19420</v>
      </c>
      <c r="AA389" s="3">
        <v>43435.468055555553</v>
      </c>
      <c r="AB389" s="2">
        <v>75867</v>
      </c>
      <c r="AC389" s="2">
        <v>1360</v>
      </c>
      <c r="AD389" s="2">
        <v>16.39</v>
      </c>
      <c r="AE389" s="2">
        <v>0.05</v>
      </c>
      <c r="AF389" s="2" t="str" cm="1">
        <f t="array" ref="AF389">_xlfn.IFS(AE389=0, "No Discount ", AE389&lt;=0.08,"Low Discount", AE389&lt;=0.16,"Medium Discount", AE389&gt;0.16, "High Discount")</f>
        <v>Low Discount</v>
      </c>
      <c r="AG389" s="2">
        <v>179182</v>
      </c>
      <c r="AH389" s="2">
        <v>327.75</v>
      </c>
      <c r="AI389" s="2">
        <v>0.48</v>
      </c>
      <c r="AJ389" s="2" t="str" cm="1">
        <f t="array" ref="AJ389">_xlfn.IFS(AI389&lt;=0, "No Profit", AI389&lt;=0.16,"Low Profit",AI389&lt;=0.32,"Medium Profit",AI389&gt;0.32,"High Profit")</f>
        <v>High Profit</v>
      </c>
      <c r="AK389" s="2">
        <v>1</v>
      </c>
      <c r="AL389" s="2">
        <v>327.75</v>
      </c>
      <c r="AM389" s="2">
        <v>311.36</v>
      </c>
      <c r="AN389" s="2">
        <v>149.44999999999999</v>
      </c>
      <c r="AO389" s="2" t="s">
        <v>78</v>
      </c>
      <c r="AP389" s="2" t="s">
        <v>2085</v>
      </c>
      <c r="AQ389" s="2" t="s">
        <v>97</v>
      </c>
      <c r="AR389" s="2" t="s">
        <v>81</v>
      </c>
      <c r="AS389" s="2">
        <v>1360</v>
      </c>
      <c r="AT389" s="2">
        <v>73</v>
      </c>
      <c r="AU389" s="2" t="s">
        <v>82</v>
      </c>
      <c r="AV389" s="2">
        <v>327.75</v>
      </c>
      <c r="AW389" s="2">
        <v>0</v>
      </c>
      <c r="AX389" s="3">
        <v>43435.968055555553</v>
      </c>
      <c r="AY389" s="2" t="s">
        <v>238</v>
      </c>
      <c r="AZ389" s="4">
        <v>43435</v>
      </c>
      <c r="BA389" s="5">
        <v>0.46805555555555556</v>
      </c>
      <c r="BB389" s="2">
        <v>2018</v>
      </c>
      <c r="BC389" s="2" t="s">
        <v>357</v>
      </c>
      <c r="BD389" s="2">
        <v>1</v>
      </c>
      <c r="BE389" s="4">
        <v>43435</v>
      </c>
      <c r="BF389" s="5">
        <v>0.96805555555555556</v>
      </c>
      <c r="BG389" s="2" t="str" cm="1">
        <f t="array" ref="BG389">_xlfn.IFS(BF389&lt;TIMEVALUE("06:00"),"Night", BF389&gt;=TIMEVALUE("21:00"),"Night",BF389&gt;=TIMEVALUE("17:00"),"Evening",BF389&gt;=TIMEVALUE("12:00"),"Afternoon", BF389&gt;=TIMEVALUE("06:00"),"Morning")</f>
        <v>Night</v>
      </c>
      <c r="BH389" s="2">
        <v>2018</v>
      </c>
      <c r="BI389" s="2" t="s">
        <v>357</v>
      </c>
      <c r="BJ389" s="2">
        <v>1</v>
      </c>
    </row>
    <row r="390" spans="1:62" x14ac:dyDescent="0.3">
      <c r="A390" s="2" t="s">
        <v>121</v>
      </c>
      <c r="B390" s="2">
        <v>0</v>
      </c>
      <c r="C390" s="2">
        <v>0</v>
      </c>
      <c r="D390" s="2">
        <v>80.53</v>
      </c>
      <c r="E390" s="2">
        <v>309.72000000000003</v>
      </c>
      <c r="F390" s="2" t="s">
        <v>100</v>
      </c>
      <c r="G390" s="2" t="s">
        <v>64</v>
      </c>
      <c r="H390" s="2">
        <v>73</v>
      </c>
      <c r="I390" s="2" t="s">
        <v>65</v>
      </c>
      <c r="J390" s="2" t="s">
        <v>66</v>
      </c>
      <c r="K390" s="2" t="s">
        <v>67</v>
      </c>
      <c r="L390" s="2" t="s">
        <v>2086</v>
      </c>
      <c r="M390" s="2">
        <v>19419</v>
      </c>
      <c r="N390" s="2" t="s">
        <v>2087</v>
      </c>
      <c r="O390" s="2" t="s">
        <v>113</v>
      </c>
      <c r="P390" s="2" t="s">
        <v>71</v>
      </c>
      <c r="Q390" s="2" t="s">
        <v>2088</v>
      </c>
      <c r="R390" s="2">
        <v>725</v>
      </c>
      <c r="S390" s="2">
        <v>2</v>
      </c>
      <c r="T390" s="2" t="s">
        <v>73</v>
      </c>
      <c r="U390" s="2">
        <v>18.239982600000001</v>
      </c>
      <c r="V390" s="2">
        <v>-66.037056000000007</v>
      </c>
      <c r="W390" s="2" t="s">
        <v>74</v>
      </c>
      <c r="X390" s="2" t="s">
        <v>2085</v>
      </c>
      <c r="Y390" s="2" t="s">
        <v>76</v>
      </c>
      <c r="Z390" s="2">
        <v>19419</v>
      </c>
      <c r="AA390" s="3">
        <v>43435.453472222223</v>
      </c>
      <c r="AB390" s="2">
        <v>75866</v>
      </c>
      <c r="AC390" s="2">
        <v>1360</v>
      </c>
      <c r="AD390" s="2">
        <v>18.03</v>
      </c>
      <c r="AE390" s="2">
        <v>0.06</v>
      </c>
      <c r="AF390" s="2" t="str" cm="1">
        <f t="array" ref="AF390">_xlfn.IFS(AE390=0, "No Discount ", AE390&lt;=0.08,"Low Discount", AE390&lt;=0.16,"Medium Discount", AE390&gt;0.16, "High Discount")</f>
        <v>Low Discount</v>
      </c>
      <c r="AG390" s="2">
        <v>179181</v>
      </c>
      <c r="AH390" s="2">
        <v>327.75</v>
      </c>
      <c r="AI390" s="2">
        <v>0.26</v>
      </c>
      <c r="AJ390" s="2" t="str" cm="1">
        <f t="array" ref="AJ390">_xlfn.IFS(AI390&lt;=0, "No Profit", AI390&lt;=0.16,"Low Profit",AI390&lt;=0.32,"Medium Profit",AI390&gt;0.32,"High Profit")</f>
        <v>Medium Profit</v>
      </c>
      <c r="AK390" s="2">
        <v>1</v>
      </c>
      <c r="AL390" s="2">
        <v>327.75</v>
      </c>
      <c r="AM390" s="2">
        <v>309.72000000000003</v>
      </c>
      <c r="AN390" s="2">
        <v>80.53</v>
      </c>
      <c r="AO390" s="2" t="s">
        <v>78</v>
      </c>
      <c r="AP390" s="2" t="s">
        <v>2085</v>
      </c>
      <c r="AQ390" s="2" t="s">
        <v>127</v>
      </c>
      <c r="AR390" s="2" t="s">
        <v>81</v>
      </c>
      <c r="AS390" s="2">
        <v>1360</v>
      </c>
      <c r="AT390" s="2">
        <v>73</v>
      </c>
      <c r="AU390" s="2" t="s">
        <v>82</v>
      </c>
      <c r="AV390" s="2">
        <v>327.75</v>
      </c>
      <c r="AW390" s="2">
        <v>0</v>
      </c>
      <c r="AX390" s="3">
        <v>43435.953472222223</v>
      </c>
      <c r="AY390" s="2" t="s">
        <v>238</v>
      </c>
      <c r="AZ390" s="4">
        <v>43435</v>
      </c>
      <c r="BA390" s="5">
        <v>0.45347222222222222</v>
      </c>
      <c r="BB390" s="2">
        <v>2018</v>
      </c>
      <c r="BC390" s="2" t="s">
        <v>357</v>
      </c>
      <c r="BD390" s="2">
        <v>1</v>
      </c>
      <c r="BE390" s="4">
        <v>43435</v>
      </c>
      <c r="BF390" s="5">
        <v>0.95347222222222228</v>
      </c>
      <c r="BG390" s="2" t="str" cm="1">
        <f t="array" ref="BG390">_xlfn.IFS(BF390&lt;TIMEVALUE("06:00"),"Night", BF390&gt;=TIMEVALUE("21:00"),"Night",BF390&gt;=TIMEVALUE("17:00"),"Evening",BF390&gt;=TIMEVALUE("12:00"),"Afternoon", BF390&gt;=TIMEVALUE("06:00"),"Morning")</f>
        <v>Night</v>
      </c>
      <c r="BH390" s="2">
        <v>2018</v>
      </c>
      <c r="BI390" s="2" t="s">
        <v>357</v>
      </c>
      <c r="BJ390" s="2">
        <v>1</v>
      </c>
    </row>
    <row r="391" spans="1:62" x14ac:dyDescent="0.3">
      <c r="A391" s="2" t="s">
        <v>99</v>
      </c>
      <c r="B391" s="2">
        <v>0</v>
      </c>
      <c r="C391" s="2">
        <v>0</v>
      </c>
      <c r="D391" s="2">
        <v>-34.75</v>
      </c>
      <c r="E391" s="2">
        <v>304.81</v>
      </c>
      <c r="F391" s="2" t="s">
        <v>100</v>
      </c>
      <c r="G391" s="2" t="s">
        <v>64</v>
      </c>
      <c r="H391" s="2">
        <v>73</v>
      </c>
      <c r="I391" s="2" t="s">
        <v>65</v>
      </c>
      <c r="J391" s="2" t="s">
        <v>1753</v>
      </c>
      <c r="K391" s="2" t="s">
        <v>102</v>
      </c>
      <c r="L391" s="2" t="s">
        <v>2089</v>
      </c>
      <c r="M391" s="2">
        <v>19418</v>
      </c>
      <c r="N391" s="2" t="s">
        <v>2090</v>
      </c>
      <c r="O391" s="2" t="s">
        <v>70</v>
      </c>
      <c r="P391" s="2" t="s">
        <v>294</v>
      </c>
      <c r="Q391" s="2" t="s">
        <v>2091</v>
      </c>
      <c r="R391" s="2">
        <v>49423</v>
      </c>
      <c r="S391" s="2">
        <v>2</v>
      </c>
      <c r="T391" s="2" t="s">
        <v>73</v>
      </c>
      <c r="U391" s="2">
        <v>42.831871</v>
      </c>
      <c r="V391" s="2">
        <v>-86.078521699999996</v>
      </c>
      <c r="W391" s="2" t="s">
        <v>74</v>
      </c>
      <c r="X391" s="2" t="s">
        <v>135</v>
      </c>
      <c r="Y391" s="2" t="s">
        <v>116</v>
      </c>
      <c r="Z391" s="2">
        <v>19418</v>
      </c>
      <c r="AA391" s="3">
        <v>43435.438888888886</v>
      </c>
      <c r="AB391" s="2">
        <v>75865</v>
      </c>
      <c r="AC391" s="2">
        <v>1360</v>
      </c>
      <c r="AD391" s="2">
        <v>22.94</v>
      </c>
      <c r="AE391" s="2">
        <v>7.0000000000000007E-2</v>
      </c>
      <c r="AF391" s="2" t="str" cm="1">
        <f t="array" ref="AF391">_xlfn.IFS(AE391=0, "No Discount ", AE391&lt;=0.08,"Low Discount", AE391&lt;=0.16,"Medium Discount", AE391&gt;0.16, "High Discount")</f>
        <v>Low Discount</v>
      </c>
      <c r="AG391" s="2">
        <v>179180</v>
      </c>
      <c r="AH391" s="2">
        <v>327.75</v>
      </c>
      <c r="AI391" s="2">
        <v>-0.11</v>
      </c>
      <c r="AJ391" s="2" t="str" cm="1">
        <f t="array" ref="AJ391">_xlfn.IFS(AI391&lt;=0, "No Profit", AI391&lt;=0.16,"Low Profit",AI391&lt;=0.32,"Medium Profit",AI391&gt;0.32,"High Profit")</f>
        <v>No Profit</v>
      </c>
      <c r="AK391" s="2">
        <v>1</v>
      </c>
      <c r="AL391" s="2">
        <v>327.75</v>
      </c>
      <c r="AM391" s="2">
        <v>304.81</v>
      </c>
      <c r="AN391" s="2">
        <v>-34.75</v>
      </c>
      <c r="AO391" s="2" t="s">
        <v>118</v>
      </c>
      <c r="AP391" s="2" t="s">
        <v>119</v>
      </c>
      <c r="AQ391" s="2" t="s">
        <v>108</v>
      </c>
      <c r="AR391" s="2" t="s">
        <v>81</v>
      </c>
      <c r="AS391" s="2">
        <v>1360</v>
      </c>
      <c r="AT391" s="2">
        <v>73</v>
      </c>
      <c r="AU391" s="2" t="s">
        <v>82</v>
      </c>
      <c r="AV391" s="2">
        <v>327.75</v>
      </c>
      <c r="AW391" s="2">
        <v>0</v>
      </c>
      <c r="AX391" s="3">
        <v>43435.938888888886</v>
      </c>
      <c r="AY391" s="2" t="s">
        <v>238</v>
      </c>
      <c r="AZ391" s="4">
        <v>43435</v>
      </c>
      <c r="BA391" s="5">
        <v>0.43888888888888888</v>
      </c>
      <c r="BB391" s="2">
        <v>2018</v>
      </c>
      <c r="BC391" s="2" t="s">
        <v>357</v>
      </c>
      <c r="BD391" s="2">
        <v>1</v>
      </c>
      <c r="BE391" s="4">
        <v>43435</v>
      </c>
      <c r="BF391" s="5">
        <v>0.93888888888888888</v>
      </c>
      <c r="BG391" s="2" t="str" cm="1">
        <f t="array" ref="BG391">_xlfn.IFS(BF391&lt;TIMEVALUE("06:00"),"Night", BF391&gt;=TIMEVALUE("21:00"),"Night",BF391&gt;=TIMEVALUE("17:00"),"Evening",BF391&gt;=TIMEVALUE("12:00"),"Afternoon", BF391&gt;=TIMEVALUE("06:00"),"Morning")</f>
        <v>Night</v>
      </c>
      <c r="BH391" s="2">
        <v>2018</v>
      </c>
      <c r="BI391" s="2" t="s">
        <v>357</v>
      </c>
      <c r="BJ391" s="2">
        <v>1</v>
      </c>
    </row>
    <row r="392" spans="1:62" x14ac:dyDescent="0.3">
      <c r="A392" s="2" t="s">
        <v>86</v>
      </c>
      <c r="B392" s="2">
        <v>5</v>
      </c>
      <c r="C392" s="2">
        <v>4</v>
      </c>
      <c r="D392" s="2">
        <v>146.13999999999999</v>
      </c>
      <c r="E392" s="2">
        <v>298.25</v>
      </c>
      <c r="F392" s="2" t="s">
        <v>87</v>
      </c>
      <c r="G392" s="2" t="s">
        <v>88</v>
      </c>
      <c r="H392" s="2">
        <v>73</v>
      </c>
      <c r="I392" s="2" t="s">
        <v>65</v>
      </c>
      <c r="J392" s="2" t="s">
        <v>2092</v>
      </c>
      <c r="K392" s="2" t="s">
        <v>67</v>
      </c>
      <c r="L392" s="2" t="s">
        <v>103</v>
      </c>
      <c r="M392" s="2">
        <v>19417</v>
      </c>
      <c r="N392" s="2" t="s">
        <v>1347</v>
      </c>
      <c r="O392" s="2" t="s">
        <v>113</v>
      </c>
      <c r="P392" s="2" t="s">
        <v>71</v>
      </c>
      <c r="Q392" s="2" t="s">
        <v>2093</v>
      </c>
      <c r="R392" s="2">
        <v>745</v>
      </c>
      <c r="S392" s="2">
        <v>2</v>
      </c>
      <c r="T392" s="2" t="s">
        <v>73</v>
      </c>
      <c r="U392" s="2">
        <v>42.256458299999998</v>
      </c>
      <c r="V392" s="2">
        <v>-83.416885399999998</v>
      </c>
      <c r="W392" s="2" t="s">
        <v>74</v>
      </c>
      <c r="X392" s="2" t="s">
        <v>135</v>
      </c>
      <c r="Y392" s="2" t="s">
        <v>116</v>
      </c>
      <c r="Z392" s="2">
        <v>19417</v>
      </c>
      <c r="AA392" s="3">
        <v>43435.424305555556</v>
      </c>
      <c r="AB392" s="2">
        <v>75864</v>
      </c>
      <c r="AC392" s="2">
        <v>1360</v>
      </c>
      <c r="AD392" s="2">
        <v>29.5</v>
      </c>
      <c r="AE392" s="2">
        <v>0.09</v>
      </c>
      <c r="AF392" s="2" t="str" cm="1">
        <f t="array" ref="AF392">_xlfn.IFS(AE392=0, "No Discount ", AE392&lt;=0.08,"Low Discount", AE392&lt;=0.16,"Medium Discount", AE392&gt;0.16, "High Discount")</f>
        <v>Medium Discount</v>
      </c>
      <c r="AG392" s="2">
        <v>179179</v>
      </c>
      <c r="AH392" s="2">
        <v>327.75</v>
      </c>
      <c r="AI392" s="2">
        <v>0.49</v>
      </c>
      <c r="AJ392" s="2" t="str" cm="1">
        <f t="array" ref="AJ392">_xlfn.IFS(AI392&lt;=0, "No Profit", AI392&lt;=0.16,"Low Profit",AI392&lt;=0.32,"Medium Profit",AI392&gt;0.32,"High Profit")</f>
        <v>High Profit</v>
      </c>
      <c r="AK392" s="2">
        <v>1</v>
      </c>
      <c r="AL392" s="2">
        <v>327.75</v>
      </c>
      <c r="AM392" s="2">
        <v>298.25</v>
      </c>
      <c r="AN392" s="2">
        <v>146.13999999999999</v>
      </c>
      <c r="AO392" s="2" t="s">
        <v>118</v>
      </c>
      <c r="AP392" s="2" t="s">
        <v>119</v>
      </c>
      <c r="AQ392" s="2" t="s">
        <v>97</v>
      </c>
      <c r="AR392" s="2" t="s">
        <v>81</v>
      </c>
      <c r="AS392" s="2">
        <v>1360</v>
      </c>
      <c r="AT392" s="2">
        <v>73</v>
      </c>
      <c r="AU392" s="2" t="s">
        <v>82</v>
      </c>
      <c r="AV392" s="2">
        <v>327.75</v>
      </c>
      <c r="AW392" s="2">
        <v>0</v>
      </c>
      <c r="AX392" s="2" t="s">
        <v>2094</v>
      </c>
      <c r="AY392" s="2" t="s">
        <v>83</v>
      </c>
      <c r="AZ392" s="4">
        <v>43435</v>
      </c>
      <c r="BA392" s="5">
        <v>0.42430555555555555</v>
      </c>
      <c r="BB392" s="2">
        <v>2018</v>
      </c>
      <c r="BC392" s="2" t="s">
        <v>357</v>
      </c>
      <c r="BD392" s="2">
        <v>1</v>
      </c>
      <c r="BE392" s="4">
        <v>43117</v>
      </c>
      <c r="BF392" s="5">
        <v>0.42430555555555555</v>
      </c>
      <c r="BG392" s="2" t="str" cm="1">
        <f t="array" ref="BG392">_xlfn.IFS(BF392&lt;TIMEVALUE("06:00"),"Night", BF392&gt;=TIMEVALUE("21:00"),"Night",BF392&gt;=TIMEVALUE("17:00"),"Evening",BF392&gt;=TIMEVALUE("12:00"),"Afternoon", BF392&gt;=TIMEVALUE("06:00"),"Morning")</f>
        <v>Morning</v>
      </c>
      <c r="BH392" s="2">
        <v>2018</v>
      </c>
      <c r="BI392" s="2" t="s">
        <v>84</v>
      </c>
      <c r="BJ392" s="2">
        <v>17</v>
      </c>
    </row>
    <row r="393" spans="1:62" x14ac:dyDescent="0.3">
      <c r="A393" s="2" t="s">
        <v>121</v>
      </c>
      <c r="B393" s="2">
        <v>4</v>
      </c>
      <c r="C393" s="2">
        <v>4</v>
      </c>
      <c r="D393" s="2">
        <v>22.12</v>
      </c>
      <c r="E393" s="2">
        <v>294.98</v>
      </c>
      <c r="F393" s="2" t="s">
        <v>100</v>
      </c>
      <c r="G393" s="2" t="s">
        <v>64</v>
      </c>
      <c r="H393" s="2">
        <v>73</v>
      </c>
      <c r="I393" s="2" t="s">
        <v>65</v>
      </c>
      <c r="J393" s="2" t="s">
        <v>1832</v>
      </c>
      <c r="K393" s="2" t="s">
        <v>102</v>
      </c>
      <c r="L393" s="2" t="s">
        <v>2095</v>
      </c>
      <c r="M393" s="2">
        <v>19416</v>
      </c>
      <c r="N393" s="2" t="s">
        <v>2096</v>
      </c>
      <c r="O393" s="2" t="s">
        <v>113</v>
      </c>
      <c r="P393" s="2" t="s">
        <v>133</v>
      </c>
      <c r="Q393" s="2" t="s">
        <v>2097</v>
      </c>
      <c r="R393" s="2">
        <v>11212</v>
      </c>
      <c r="S393" s="2">
        <v>2</v>
      </c>
      <c r="T393" s="2" t="s">
        <v>73</v>
      </c>
      <c r="U393" s="2">
        <v>40.660800899999998</v>
      </c>
      <c r="V393" s="2">
        <v>-73.920074499999998</v>
      </c>
      <c r="W393" s="2" t="s">
        <v>74</v>
      </c>
      <c r="X393" s="2" t="s">
        <v>135</v>
      </c>
      <c r="Y393" s="2" t="s">
        <v>116</v>
      </c>
      <c r="Z393" s="2">
        <v>19416</v>
      </c>
      <c r="AA393" s="3">
        <v>43435.409722222219</v>
      </c>
      <c r="AB393" s="2">
        <v>75863</v>
      </c>
      <c r="AC393" s="2">
        <v>1360</v>
      </c>
      <c r="AD393" s="2">
        <v>32.78</v>
      </c>
      <c r="AE393" s="2">
        <v>0.1</v>
      </c>
      <c r="AF393" s="2" t="str" cm="1">
        <f t="array" ref="AF393">_xlfn.IFS(AE393=0, "No Discount ", AE393&lt;=0.08,"Low Discount", AE393&lt;=0.16,"Medium Discount", AE393&gt;0.16, "High Discount")</f>
        <v>Medium Discount</v>
      </c>
      <c r="AG393" s="2">
        <v>179178</v>
      </c>
      <c r="AH393" s="2">
        <v>327.75</v>
      </c>
      <c r="AI393" s="2">
        <v>0.08</v>
      </c>
      <c r="AJ393" s="2" t="str" cm="1">
        <f t="array" ref="AJ393">_xlfn.IFS(AI393&lt;=0, "No Profit", AI393&lt;=0.16,"Low Profit",AI393&lt;=0.32,"Medium Profit",AI393&gt;0.32,"High Profit")</f>
        <v>Low Profit</v>
      </c>
      <c r="AK393" s="2">
        <v>1</v>
      </c>
      <c r="AL393" s="2">
        <v>327.75</v>
      </c>
      <c r="AM393" s="2">
        <v>294.98</v>
      </c>
      <c r="AN393" s="2">
        <v>22.12</v>
      </c>
      <c r="AO393" s="2" t="s">
        <v>118</v>
      </c>
      <c r="AP393" s="2" t="s">
        <v>119</v>
      </c>
      <c r="AQ393" s="2" t="s">
        <v>127</v>
      </c>
      <c r="AR393" s="2" t="s">
        <v>81</v>
      </c>
      <c r="AS393" s="2">
        <v>1360</v>
      </c>
      <c r="AT393" s="2">
        <v>73</v>
      </c>
      <c r="AU393" s="2" t="s">
        <v>82</v>
      </c>
      <c r="AV393" s="2">
        <v>327.75</v>
      </c>
      <c r="AW393" s="2">
        <v>0</v>
      </c>
      <c r="AX393" s="2" t="s">
        <v>2098</v>
      </c>
      <c r="AY393" s="2" t="s">
        <v>83</v>
      </c>
      <c r="AZ393" s="4">
        <v>43435</v>
      </c>
      <c r="BA393" s="5">
        <v>0.40972222222222221</v>
      </c>
      <c r="BB393" s="2">
        <v>2018</v>
      </c>
      <c r="BC393" s="2" t="s">
        <v>357</v>
      </c>
      <c r="BD393" s="2">
        <v>1</v>
      </c>
      <c r="BE393" s="4">
        <v>43116</v>
      </c>
      <c r="BF393" s="5">
        <v>0.40972222222222221</v>
      </c>
      <c r="BG393" s="2" t="str" cm="1">
        <f t="array" ref="BG393">_xlfn.IFS(BF393&lt;TIMEVALUE("06:00"),"Night", BF393&gt;=TIMEVALUE("21:00"),"Night",BF393&gt;=TIMEVALUE("17:00"),"Evening",BF393&gt;=TIMEVALUE("12:00"),"Afternoon", BF393&gt;=TIMEVALUE("06:00"),"Morning")</f>
        <v>Morning</v>
      </c>
      <c r="BH393" s="2">
        <v>2018</v>
      </c>
      <c r="BI393" s="2" t="s">
        <v>84</v>
      </c>
      <c r="BJ393" s="2">
        <v>16</v>
      </c>
    </row>
    <row r="394" spans="1:62" x14ac:dyDescent="0.3">
      <c r="A394" s="2" t="s">
        <v>86</v>
      </c>
      <c r="B394" s="2">
        <v>3</v>
      </c>
      <c r="C394" s="2">
        <v>4</v>
      </c>
      <c r="D394" s="2">
        <v>-447.05</v>
      </c>
      <c r="E394" s="2">
        <v>288.42</v>
      </c>
      <c r="F394" s="2" t="s">
        <v>63</v>
      </c>
      <c r="G394" s="2" t="s">
        <v>64</v>
      </c>
      <c r="H394" s="2">
        <v>73</v>
      </c>
      <c r="I394" s="2" t="s">
        <v>65</v>
      </c>
      <c r="J394" s="2" t="s">
        <v>66</v>
      </c>
      <c r="K394" s="2" t="s">
        <v>67</v>
      </c>
      <c r="L394" s="2" t="s">
        <v>2099</v>
      </c>
      <c r="M394" s="2">
        <v>19415</v>
      </c>
      <c r="N394" s="2" t="s">
        <v>2100</v>
      </c>
      <c r="O394" s="2" t="s">
        <v>70</v>
      </c>
      <c r="P394" s="2" t="s">
        <v>71</v>
      </c>
      <c r="Q394" s="2" t="s">
        <v>2101</v>
      </c>
      <c r="R394" s="2">
        <v>725</v>
      </c>
      <c r="S394" s="2">
        <v>2</v>
      </c>
      <c r="T394" s="2" t="s">
        <v>73</v>
      </c>
      <c r="U394" s="2">
        <v>18.2498951</v>
      </c>
      <c r="V394" s="2">
        <v>-66.037063599999996</v>
      </c>
      <c r="W394" s="2" t="s">
        <v>74</v>
      </c>
      <c r="X394" s="2" t="s">
        <v>2102</v>
      </c>
      <c r="Y394" s="2" t="s">
        <v>116</v>
      </c>
      <c r="Z394" s="2">
        <v>19415</v>
      </c>
      <c r="AA394" s="3">
        <v>43435.395138888889</v>
      </c>
      <c r="AB394" s="2">
        <v>75862</v>
      </c>
      <c r="AC394" s="2">
        <v>1360</v>
      </c>
      <c r="AD394" s="2">
        <v>39.33</v>
      </c>
      <c r="AE394" s="2">
        <v>0.12</v>
      </c>
      <c r="AF394" s="2" t="str" cm="1">
        <f t="array" ref="AF394">_xlfn.IFS(AE394=0, "No Discount ", AE394&lt;=0.08,"Low Discount", AE394&lt;=0.16,"Medium Discount", AE394&gt;0.16, "High Discount")</f>
        <v>Medium Discount</v>
      </c>
      <c r="AG394" s="2">
        <v>179177</v>
      </c>
      <c r="AH394" s="2">
        <v>327.75</v>
      </c>
      <c r="AI394" s="2">
        <v>-1.55</v>
      </c>
      <c r="AJ394" s="2" t="str" cm="1">
        <f t="array" ref="AJ394">_xlfn.IFS(AI394&lt;=0, "No Profit", AI394&lt;=0.16,"Low Profit",AI394&lt;=0.32,"Medium Profit",AI394&gt;0.32,"High Profit")</f>
        <v>No Profit</v>
      </c>
      <c r="AK394" s="2">
        <v>1</v>
      </c>
      <c r="AL394" s="2">
        <v>327.75</v>
      </c>
      <c r="AM394" s="2">
        <v>288.42</v>
      </c>
      <c r="AN394" s="2">
        <v>-447.05</v>
      </c>
      <c r="AO394" s="2" t="s">
        <v>118</v>
      </c>
      <c r="AP394" s="2" t="s">
        <v>119</v>
      </c>
      <c r="AQ394" s="2" t="s">
        <v>97</v>
      </c>
      <c r="AR394" s="2" t="s">
        <v>81</v>
      </c>
      <c r="AS394" s="2">
        <v>1360</v>
      </c>
      <c r="AT394" s="2">
        <v>73</v>
      </c>
      <c r="AU394" s="2" t="s">
        <v>82</v>
      </c>
      <c r="AV394" s="2">
        <v>327.75</v>
      </c>
      <c r="AW394" s="2">
        <v>0</v>
      </c>
      <c r="AX394" s="2" t="s">
        <v>2103</v>
      </c>
      <c r="AY394" s="2" t="s">
        <v>83</v>
      </c>
      <c r="AZ394" s="4">
        <v>43435</v>
      </c>
      <c r="BA394" s="5">
        <v>0.39513888888888887</v>
      </c>
      <c r="BB394" s="2">
        <v>2018</v>
      </c>
      <c r="BC394" s="2" t="s">
        <v>357</v>
      </c>
      <c r="BD394" s="2">
        <v>1</v>
      </c>
      <c r="BE394" s="4">
        <v>43115</v>
      </c>
      <c r="BF394" s="5">
        <v>0.39513888888888887</v>
      </c>
      <c r="BG394" s="2" t="str" cm="1">
        <f t="array" ref="BG394">_xlfn.IFS(BF394&lt;TIMEVALUE("06:00"),"Night", BF394&gt;=TIMEVALUE("21:00"),"Night",BF394&gt;=TIMEVALUE("17:00"),"Evening",BF394&gt;=TIMEVALUE("12:00"),"Afternoon", BF394&gt;=TIMEVALUE("06:00"),"Morning")</f>
        <v>Morning</v>
      </c>
      <c r="BH394" s="2">
        <v>2018</v>
      </c>
      <c r="BI394" s="2" t="s">
        <v>84</v>
      </c>
      <c r="BJ394" s="2">
        <v>15</v>
      </c>
    </row>
    <row r="395" spans="1:62" x14ac:dyDescent="0.3">
      <c r="A395" s="2" t="s">
        <v>62</v>
      </c>
      <c r="B395" s="2">
        <v>2</v>
      </c>
      <c r="C395" s="2">
        <v>4</v>
      </c>
      <c r="D395" s="2">
        <v>106.93</v>
      </c>
      <c r="E395" s="2">
        <v>285.14</v>
      </c>
      <c r="F395" s="2" t="s">
        <v>63</v>
      </c>
      <c r="G395" s="2" t="s">
        <v>64</v>
      </c>
      <c r="H395" s="2">
        <v>73</v>
      </c>
      <c r="I395" s="2" t="s">
        <v>65</v>
      </c>
      <c r="J395" s="2" t="s">
        <v>2104</v>
      </c>
      <c r="K395" s="2" t="s">
        <v>102</v>
      </c>
      <c r="L395" s="2" t="s">
        <v>2105</v>
      </c>
      <c r="M395" s="2">
        <v>19414</v>
      </c>
      <c r="N395" s="2" t="s">
        <v>1622</v>
      </c>
      <c r="O395" s="2" t="s">
        <v>124</v>
      </c>
      <c r="P395" s="2" t="s">
        <v>1271</v>
      </c>
      <c r="Q395" s="2" t="s">
        <v>2106</v>
      </c>
      <c r="R395" s="2">
        <v>80219</v>
      </c>
      <c r="S395" s="2">
        <v>2</v>
      </c>
      <c r="T395" s="2" t="s">
        <v>73</v>
      </c>
      <c r="U395" s="2">
        <v>39.689750699999998</v>
      </c>
      <c r="V395" s="2">
        <v>-105.0245895</v>
      </c>
      <c r="W395" s="2" t="s">
        <v>74</v>
      </c>
      <c r="X395" s="2" t="s">
        <v>2102</v>
      </c>
      <c r="Y395" s="2" t="s">
        <v>116</v>
      </c>
      <c r="Z395" s="2">
        <v>19414</v>
      </c>
      <c r="AA395" s="3">
        <v>43435.380555555559</v>
      </c>
      <c r="AB395" s="2">
        <v>75861</v>
      </c>
      <c r="AC395" s="2">
        <v>1360</v>
      </c>
      <c r="AD395" s="2">
        <v>42.61</v>
      </c>
      <c r="AE395" s="2">
        <v>0.13</v>
      </c>
      <c r="AF395" s="2" t="str" cm="1">
        <f t="array" ref="AF395">_xlfn.IFS(AE395=0, "No Discount ", AE395&lt;=0.08,"Low Discount", AE395&lt;=0.16,"Medium Discount", AE395&gt;0.16, "High Discount")</f>
        <v>Medium Discount</v>
      </c>
      <c r="AG395" s="2">
        <v>179176</v>
      </c>
      <c r="AH395" s="2">
        <v>327.75</v>
      </c>
      <c r="AI395" s="2">
        <v>0.38</v>
      </c>
      <c r="AJ395" s="2" t="str" cm="1">
        <f t="array" ref="AJ395">_xlfn.IFS(AI395&lt;=0, "No Profit", AI395&lt;=0.16,"Low Profit",AI395&lt;=0.32,"Medium Profit",AI395&gt;0.32,"High Profit")</f>
        <v>High Profit</v>
      </c>
      <c r="AK395" s="2">
        <v>1</v>
      </c>
      <c r="AL395" s="2">
        <v>327.75</v>
      </c>
      <c r="AM395" s="2">
        <v>285.14</v>
      </c>
      <c r="AN395" s="2">
        <v>106.93</v>
      </c>
      <c r="AO395" s="2" t="s">
        <v>118</v>
      </c>
      <c r="AP395" s="2" t="s">
        <v>119</v>
      </c>
      <c r="AQ395" s="2" t="s">
        <v>80</v>
      </c>
      <c r="AR395" s="2" t="s">
        <v>81</v>
      </c>
      <c r="AS395" s="2">
        <v>1360</v>
      </c>
      <c r="AT395" s="2">
        <v>73</v>
      </c>
      <c r="AU395" s="2" t="s">
        <v>82</v>
      </c>
      <c r="AV395" s="2">
        <v>327.75</v>
      </c>
      <c r="AW395" s="2">
        <v>0</v>
      </c>
      <c r="AX395" s="2" t="s">
        <v>2107</v>
      </c>
      <c r="AY395" s="2" t="s">
        <v>83</v>
      </c>
      <c r="AZ395" s="4">
        <v>43435</v>
      </c>
      <c r="BA395" s="5">
        <v>0.38055555555555554</v>
      </c>
      <c r="BB395" s="2">
        <v>2018</v>
      </c>
      <c r="BC395" s="2" t="s">
        <v>357</v>
      </c>
      <c r="BD395" s="2">
        <v>1</v>
      </c>
      <c r="BE395" s="4">
        <v>43114</v>
      </c>
      <c r="BF395" s="5">
        <v>0.38055555555555554</v>
      </c>
      <c r="BG395" s="2" t="str" cm="1">
        <f t="array" ref="BG395">_xlfn.IFS(BF395&lt;TIMEVALUE("06:00"),"Night", BF395&gt;=TIMEVALUE("21:00"),"Night",BF395&gt;=TIMEVALUE("17:00"),"Evening",BF395&gt;=TIMEVALUE("12:00"),"Afternoon", BF395&gt;=TIMEVALUE("06:00"),"Morning")</f>
        <v>Morning</v>
      </c>
      <c r="BH395" s="2">
        <v>2018</v>
      </c>
      <c r="BI395" s="2" t="s">
        <v>84</v>
      </c>
      <c r="BJ395" s="2">
        <v>14</v>
      </c>
    </row>
    <row r="396" spans="1:62" x14ac:dyDescent="0.3">
      <c r="A396" s="2" t="s">
        <v>62</v>
      </c>
      <c r="B396" s="2">
        <v>6</v>
      </c>
      <c r="C396" s="2">
        <v>4</v>
      </c>
      <c r="D396" s="2">
        <v>-459.67</v>
      </c>
      <c r="E396" s="2">
        <v>278.58999999999997</v>
      </c>
      <c r="F396" s="2" t="s">
        <v>87</v>
      </c>
      <c r="G396" s="2" t="s">
        <v>88</v>
      </c>
      <c r="H396" s="2">
        <v>73</v>
      </c>
      <c r="I396" s="2" t="s">
        <v>65</v>
      </c>
      <c r="J396" s="2" t="s">
        <v>406</v>
      </c>
      <c r="K396" s="2" t="s">
        <v>102</v>
      </c>
      <c r="L396" s="2" t="s">
        <v>2108</v>
      </c>
      <c r="M396" s="2">
        <v>19413</v>
      </c>
      <c r="N396" s="2" t="s">
        <v>2109</v>
      </c>
      <c r="O396" s="2" t="s">
        <v>124</v>
      </c>
      <c r="P396" s="2" t="s">
        <v>294</v>
      </c>
      <c r="Q396" s="2" t="s">
        <v>2110</v>
      </c>
      <c r="R396" s="2">
        <v>48180</v>
      </c>
      <c r="S396" s="2">
        <v>2</v>
      </c>
      <c r="T396" s="2" t="s">
        <v>73</v>
      </c>
      <c r="U396" s="2">
        <v>42.523654899999997</v>
      </c>
      <c r="V396" s="2">
        <v>-85.694457999999997</v>
      </c>
      <c r="W396" s="2" t="s">
        <v>74</v>
      </c>
      <c r="X396" s="2" t="s">
        <v>2102</v>
      </c>
      <c r="Y396" s="2" t="s">
        <v>116</v>
      </c>
      <c r="Z396" s="2">
        <v>19413</v>
      </c>
      <c r="AA396" s="3">
        <v>43435.365972222222</v>
      </c>
      <c r="AB396" s="2">
        <v>75860</v>
      </c>
      <c r="AC396" s="2">
        <v>1360</v>
      </c>
      <c r="AD396" s="2">
        <v>49.16</v>
      </c>
      <c r="AE396" s="2">
        <v>0.15</v>
      </c>
      <c r="AF396" s="2" t="str" cm="1">
        <f t="array" ref="AF396">_xlfn.IFS(AE396=0, "No Discount ", AE396&lt;=0.08,"Low Discount", AE396&lt;=0.16,"Medium Discount", AE396&gt;0.16, "High Discount")</f>
        <v>Medium Discount</v>
      </c>
      <c r="AG396" s="2">
        <v>179175</v>
      </c>
      <c r="AH396" s="2">
        <v>327.75</v>
      </c>
      <c r="AI396" s="2">
        <v>-1.65</v>
      </c>
      <c r="AJ396" s="2" t="str" cm="1">
        <f t="array" ref="AJ396">_xlfn.IFS(AI396&lt;=0, "No Profit", AI396&lt;=0.16,"Low Profit",AI396&lt;=0.32,"Medium Profit",AI396&gt;0.32,"High Profit")</f>
        <v>No Profit</v>
      </c>
      <c r="AK396" s="2">
        <v>1</v>
      </c>
      <c r="AL396" s="2">
        <v>327.75</v>
      </c>
      <c r="AM396" s="2">
        <v>278.58999999999997</v>
      </c>
      <c r="AN396" s="2">
        <v>-459.67</v>
      </c>
      <c r="AO396" s="2" t="s">
        <v>118</v>
      </c>
      <c r="AP396" s="2" t="s">
        <v>119</v>
      </c>
      <c r="AQ396" s="2" t="s">
        <v>80</v>
      </c>
      <c r="AR396" s="2" t="s">
        <v>81</v>
      </c>
      <c r="AS396" s="2">
        <v>1360</v>
      </c>
      <c r="AT396" s="2">
        <v>73</v>
      </c>
      <c r="AU396" s="2" t="s">
        <v>82</v>
      </c>
      <c r="AV396" s="2">
        <v>327.75</v>
      </c>
      <c r="AW396" s="2">
        <v>0</v>
      </c>
      <c r="AX396" s="2" t="s">
        <v>2111</v>
      </c>
      <c r="AY396" s="2" t="s">
        <v>83</v>
      </c>
      <c r="AZ396" s="4">
        <v>43435</v>
      </c>
      <c r="BA396" s="5">
        <v>0.3659722222222222</v>
      </c>
      <c r="BB396" s="2">
        <v>2018</v>
      </c>
      <c r="BC396" s="2" t="s">
        <v>357</v>
      </c>
      <c r="BD396" s="2">
        <v>1</v>
      </c>
      <c r="BE396" s="4">
        <v>43118</v>
      </c>
      <c r="BF396" s="5">
        <v>0.3659722222222222</v>
      </c>
      <c r="BG396" s="2" t="str" cm="1">
        <f t="array" ref="BG396">_xlfn.IFS(BF396&lt;TIMEVALUE("06:00"),"Night", BF396&gt;=TIMEVALUE("21:00"),"Night",BF396&gt;=TIMEVALUE("17:00"),"Evening",BF396&gt;=TIMEVALUE("12:00"),"Afternoon", BF396&gt;=TIMEVALUE("06:00"),"Morning")</f>
        <v>Morning</v>
      </c>
      <c r="BH396" s="2">
        <v>2018</v>
      </c>
      <c r="BI396" s="2" t="s">
        <v>84</v>
      </c>
      <c r="BJ396" s="2">
        <v>18</v>
      </c>
    </row>
    <row r="397" spans="1:62" x14ac:dyDescent="0.3">
      <c r="A397" s="2" t="s">
        <v>86</v>
      </c>
      <c r="B397" s="2">
        <v>5</v>
      </c>
      <c r="C397" s="2">
        <v>4</v>
      </c>
      <c r="D397" s="2">
        <v>-61.94</v>
      </c>
      <c r="E397" s="2">
        <v>275.31</v>
      </c>
      <c r="F397" s="2" t="s">
        <v>129</v>
      </c>
      <c r="G397" s="2" t="s">
        <v>64</v>
      </c>
      <c r="H397" s="2">
        <v>73</v>
      </c>
      <c r="I397" s="2" t="s">
        <v>65</v>
      </c>
      <c r="J397" s="2" t="s">
        <v>66</v>
      </c>
      <c r="K397" s="2" t="s">
        <v>67</v>
      </c>
      <c r="L397" s="2" t="s">
        <v>2112</v>
      </c>
      <c r="M397" s="2">
        <v>19412</v>
      </c>
      <c r="N397" s="2" t="s">
        <v>1314</v>
      </c>
      <c r="O397" s="2" t="s">
        <v>124</v>
      </c>
      <c r="P397" s="2" t="s">
        <v>71</v>
      </c>
      <c r="Q397" s="2" t="s">
        <v>2113</v>
      </c>
      <c r="R397" s="2">
        <v>725</v>
      </c>
      <c r="S397" s="2">
        <v>2</v>
      </c>
      <c r="T397" s="2" t="s">
        <v>73</v>
      </c>
      <c r="U397" s="2">
        <v>18.298829999999999</v>
      </c>
      <c r="V397" s="2">
        <v>-66.037063599999996</v>
      </c>
      <c r="W397" s="2" t="s">
        <v>74</v>
      </c>
      <c r="X397" s="2" t="s">
        <v>2114</v>
      </c>
      <c r="Y397" s="2" t="s">
        <v>143</v>
      </c>
      <c r="Z397" s="2">
        <v>19412</v>
      </c>
      <c r="AA397" s="3">
        <v>43435.351388888892</v>
      </c>
      <c r="AB397" s="2">
        <v>75859</v>
      </c>
      <c r="AC397" s="2">
        <v>1360</v>
      </c>
      <c r="AD397" s="2">
        <v>52.44</v>
      </c>
      <c r="AE397" s="2">
        <v>0.16</v>
      </c>
      <c r="AF397" s="2" t="str" cm="1">
        <f t="array" ref="AF397">_xlfn.IFS(AE397=0, "No Discount ", AE397&lt;=0.08,"Low Discount", AE397&lt;=0.16,"Medium Discount", AE397&gt;0.16, "High Discount")</f>
        <v>Medium Discount</v>
      </c>
      <c r="AG397" s="2">
        <v>179174</v>
      </c>
      <c r="AH397" s="2">
        <v>327.75</v>
      </c>
      <c r="AI397" s="2">
        <v>-0.23</v>
      </c>
      <c r="AJ397" s="2" t="str" cm="1">
        <f t="array" ref="AJ397">_xlfn.IFS(AI397&lt;=0, "No Profit", AI397&lt;=0.16,"Low Profit",AI397&lt;=0.32,"Medium Profit",AI397&gt;0.32,"High Profit")</f>
        <v>No Profit</v>
      </c>
      <c r="AK397" s="2">
        <v>1</v>
      </c>
      <c r="AL397" s="2">
        <v>327.75</v>
      </c>
      <c r="AM397" s="2">
        <v>275.31</v>
      </c>
      <c r="AN397" s="2">
        <v>-61.94</v>
      </c>
      <c r="AO397" s="2" t="s">
        <v>145</v>
      </c>
      <c r="AP397" s="2" t="s">
        <v>2115</v>
      </c>
      <c r="AQ397" s="2" t="s">
        <v>175</v>
      </c>
      <c r="AR397" s="2" t="s">
        <v>81</v>
      </c>
      <c r="AS397" s="2">
        <v>1360</v>
      </c>
      <c r="AT397" s="2">
        <v>73</v>
      </c>
      <c r="AU397" s="2" t="s">
        <v>82</v>
      </c>
      <c r="AV397" s="2">
        <v>327.75</v>
      </c>
      <c r="AW397" s="2">
        <v>0</v>
      </c>
      <c r="AX397" s="2" t="s">
        <v>2116</v>
      </c>
      <c r="AY397" s="2" t="s">
        <v>83</v>
      </c>
      <c r="AZ397" s="4">
        <v>43435</v>
      </c>
      <c r="BA397" s="5">
        <v>0.35138888888888886</v>
      </c>
      <c r="BB397" s="2">
        <v>2018</v>
      </c>
      <c r="BC397" s="2" t="s">
        <v>357</v>
      </c>
      <c r="BD397" s="2">
        <v>1</v>
      </c>
      <c r="BE397" s="4">
        <v>43117</v>
      </c>
      <c r="BF397" s="5">
        <v>0.35138888888888886</v>
      </c>
      <c r="BG397" s="2" t="str" cm="1">
        <f t="array" ref="BG397">_xlfn.IFS(BF397&lt;TIMEVALUE("06:00"),"Night", BF397&gt;=TIMEVALUE("21:00"),"Night",BF397&gt;=TIMEVALUE("17:00"),"Evening",BF397&gt;=TIMEVALUE("12:00"),"Afternoon", BF397&gt;=TIMEVALUE("06:00"),"Morning")</f>
        <v>Morning</v>
      </c>
      <c r="BH397" s="2">
        <v>2018</v>
      </c>
      <c r="BI397" s="2" t="s">
        <v>84</v>
      </c>
      <c r="BJ397" s="2">
        <v>17</v>
      </c>
    </row>
    <row r="398" spans="1:62" x14ac:dyDescent="0.3">
      <c r="A398" s="2" t="s">
        <v>62</v>
      </c>
      <c r="B398" s="2">
        <v>4</v>
      </c>
      <c r="C398" s="2">
        <v>2</v>
      </c>
      <c r="D398" s="2">
        <v>111.53</v>
      </c>
      <c r="E398" s="2">
        <v>272.02999999999997</v>
      </c>
      <c r="F398" s="2" t="s">
        <v>87</v>
      </c>
      <c r="G398" s="2" t="s">
        <v>88</v>
      </c>
      <c r="H398" s="2">
        <v>73</v>
      </c>
      <c r="I398" s="2" t="s">
        <v>65</v>
      </c>
      <c r="J398" s="2" t="s">
        <v>1460</v>
      </c>
      <c r="K398" s="2" t="s">
        <v>102</v>
      </c>
      <c r="L398" s="2" t="s">
        <v>2117</v>
      </c>
      <c r="M398" s="2">
        <v>19411</v>
      </c>
      <c r="N398" s="2" t="s">
        <v>2118</v>
      </c>
      <c r="O398" s="2" t="s">
        <v>124</v>
      </c>
      <c r="P398" s="2" t="s">
        <v>234</v>
      </c>
      <c r="Q398" s="2" t="s">
        <v>2119</v>
      </c>
      <c r="R398" s="2">
        <v>60637</v>
      </c>
      <c r="S398" s="2">
        <v>2</v>
      </c>
      <c r="T398" s="2" t="s">
        <v>73</v>
      </c>
      <c r="U398" s="2">
        <v>41.782806399999998</v>
      </c>
      <c r="V398" s="2">
        <v>-87.614646899999997</v>
      </c>
      <c r="W398" s="2" t="s">
        <v>74</v>
      </c>
      <c r="X398" s="2" t="s">
        <v>1416</v>
      </c>
      <c r="Y398" s="2" t="s">
        <v>116</v>
      </c>
      <c r="Z398" s="2">
        <v>19411</v>
      </c>
      <c r="AA398" s="3">
        <v>43435.336805555555</v>
      </c>
      <c r="AB398" s="2">
        <v>75858</v>
      </c>
      <c r="AC398" s="2">
        <v>1360</v>
      </c>
      <c r="AD398" s="2">
        <v>55.72</v>
      </c>
      <c r="AE398" s="2">
        <v>0.17</v>
      </c>
      <c r="AF398" s="2" t="str" cm="1">
        <f t="array" ref="AF398">_xlfn.IFS(AE398=0, "No Discount ", AE398&lt;=0.08,"Low Discount", AE398&lt;=0.16,"Medium Discount", AE398&gt;0.16, "High Discount")</f>
        <v>High Discount</v>
      </c>
      <c r="AG398" s="2">
        <v>179173</v>
      </c>
      <c r="AH398" s="2">
        <v>327.75</v>
      </c>
      <c r="AI398" s="2">
        <v>0.41</v>
      </c>
      <c r="AJ398" s="2" t="str" cm="1">
        <f t="array" ref="AJ398">_xlfn.IFS(AI398&lt;=0, "No Profit", AI398&lt;=0.16,"Low Profit",AI398&lt;=0.32,"Medium Profit",AI398&gt;0.32,"High Profit")</f>
        <v>High Profit</v>
      </c>
      <c r="AK398" s="2">
        <v>1</v>
      </c>
      <c r="AL398" s="2">
        <v>327.75</v>
      </c>
      <c r="AM398" s="2">
        <v>272.02999999999997</v>
      </c>
      <c r="AN398" s="2">
        <v>111.53</v>
      </c>
      <c r="AO398" s="2" t="s">
        <v>118</v>
      </c>
      <c r="AP398" s="2" t="s">
        <v>275</v>
      </c>
      <c r="AQ398" s="2" t="s">
        <v>80</v>
      </c>
      <c r="AR398" s="2" t="s">
        <v>81</v>
      </c>
      <c r="AS398" s="2">
        <v>1360</v>
      </c>
      <c r="AT398" s="2">
        <v>73</v>
      </c>
      <c r="AU398" s="2" t="s">
        <v>82</v>
      </c>
      <c r="AV398" s="2">
        <v>327.75</v>
      </c>
      <c r="AW398" s="2">
        <v>0</v>
      </c>
      <c r="AX398" s="2" t="s">
        <v>2120</v>
      </c>
      <c r="AY398" s="2" t="s">
        <v>162</v>
      </c>
      <c r="AZ398" s="4">
        <v>43435</v>
      </c>
      <c r="BA398" s="5">
        <v>0.33680555555555558</v>
      </c>
      <c r="BB398" s="2">
        <v>2018</v>
      </c>
      <c r="BC398" s="2" t="s">
        <v>357</v>
      </c>
      <c r="BD398" s="2">
        <v>1</v>
      </c>
      <c r="BE398" s="4">
        <v>43116</v>
      </c>
      <c r="BF398" s="5">
        <v>0.33680555555555558</v>
      </c>
      <c r="BG398" s="2" t="str" cm="1">
        <f t="array" ref="BG398">_xlfn.IFS(BF398&lt;TIMEVALUE("06:00"),"Night", BF398&gt;=TIMEVALUE("21:00"),"Night",BF398&gt;=TIMEVALUE("17:00"),"Evening",BF398&gt;=TIMEVALUE("12:00"),"Afternoon", BF398&gt;=TIMEVALUE("06:00"),"Morning")</f>
        <v>Morning</v>
      </c>
      <c r="BH398" s="2">
        <v>2018</v>
      </c>
      <c r="BI398" s="2" t="s">
        <v>84</v>
      </c>
      <c r="BJ398" s="2">
        <v>16</v>
      </c>
    </row>
    <row r="399" spans="1:62" x14ac:dyDescent="0.3">
      <c r="A399" s="2" t="s">
        <v>62</v>
      </c>
      <c r="B399" s="2">
        <v>3</v>
      </c>
      <c r="C399" s="2">
        <v>4</v>
      </c>
      <c r="D399" s="2">
        <v>131.69</v>
      </c>
      <c r="E399" s="2">
        <v>268.76</v>
      </c>
      <c r="F399" s="2" t="s">
        <v>63</v>
      </c>
      <c r="G399" s="2" t="s">
        <v>64</v>
      </c>
      <c r="H399" s="2">
        <v>73</v>
      </c>
      <c r="I399" s="2" t="s">
        <v>65</v>
      </c>
      <c r="J399" s="2" t="s">
        <v>66</v>
      </c>
      <c r="K399" s="2" t="s">
        <v>67</v>
      </c>
      <c r="L399" s="2" t="s">
        <v>2121</v>
      </c>
      <c r="M399" s="2">
        <v>19410</v>
      </c>
      <c r="N399" s="2" t="s">
        <v>1923</v>
      </c>
      <c r="O399" s="2" t="s">
        <v>124</v>
      </c>
      <c r="P399" s="2" t="s">
        <v>71</v>
      </c>
      <c r="Q399" s="2" t="s">
        <v>2122</v>
      </c>
      <c r="R399" s="2">
        <v>725</v>
      </c>
      <c r="S399" s="2">
        <v>2</v>
      </c>
      <c r="T399" s="2" t="s">
        <v>73</v>
      </c>
      <c r="U399" s="2">
        <v>18.292446099999999</v>
      </c>
      <c r="V399" s="2">
        <v>-66.037063599999996</v>
      </c>
      <c r="W399" s="2" t="s">
        <v>74</v>
      </c>
      <c r="X399" s="2" t="s">
        <v>1416</v>
      </c>
      <c r="Y399" s="2" t="s">
        <v>116</v>
      </c>
      <c r="Z399" s="2">
        <v>19410</v>
      </c>
      <c r="AA399" s="3">
        <v>43435.322222222225</v>
      </c>
      <c r="AB399" s="2">
        <v>75857</v>
      </c>
      <c r="AC399" s="2">
        <v>1360</v>
      </c>
      <c r="AD399" s="2">
        <v>59</v>
      </c>
      <c r="AE399" s="2">
        <v>0.18</v>
      </c>
      <c r="AF399" s="2" t="str" cm="1">
        <f t="array" ref="AF399">_xlfn.IFS(AE399=0, "No Discount ", AE399&lt;=0.08,"Low Discount", AE399&lt;=0.16,"Medium Discount", AE399&gt;0.16, "High Discount")</f>
        <v>High Discount</v>
      </c>
      <c r="AG399" s="2">
        <v>179172</v>
      </c>
      <c r="AH399" s="2">
        <v>327.75</v>
      </c>
      <c r="AI399" s="2">
        <v>0.49</v>
      </c>
      <c r="AJ399" s="2" t="str" cm="1">
        <f t="array" ref="AJ399">_xlfn.IFS(AI399&lt;=0, "No Profit", AI399&lt;=0.16,"Low Profit",AI399&lt;=0.32,"Medium Profit",AI399&gt;0.32,"High Profit")</f>
        <v>High Profit</v>
      </c>
      <c r="AK399" s="2">
        <v>1</v>
      </c>
      <c r="AL399" s="2">
        <v>327.75</v>
      </c>
      <c r="AM399" s="2">
        <v>268.76</v>
      </c>
      <c r="AN399" s="2">
        <v>131.69</v>
      </c>
      <c r="AO399" s="2" t="s">
        <v>118</v>
      </c>
      <c r="AP399" s="2" t="s">
        <v>275</v>
      </c>
      <c r="AQ399" s="2" t="s">
        <v>80</v>
      </c>
      <c r="AR399" s="2" t="s">
        <v>81</v>
      </c>
      <c r="AS399" s="2">
        <v>1360</v>
      </c>
      <c r="AT399" s="2">
        <v>73</v>
      </c>
      <c r="AU399" s="2" t="s">
        <v>82</v>
      </c>
      <c r="AV399" s="2">
        <v>327.75</v>
      </c>
      <c r="AW399" s="2">
        <v>0</v>
      </c>
      <c r="AX399" s="2" t="s">
        <v>2123</v>
      </c>
      <c r="AY399" s="2" t="s">
        <v>83</v>
      </c>
      <c r="AZ399" s="4">
        <v>43435</v>
      </c>
      <c r="BA399" s="5">
        <v>0.32222222222222224</v>
      </c>
      <c r="BB399" s="2">
        <v>2018</v>
      </c>
      <c r="BC399" s="2" t="s">
        <v>357</v>
      </c>
      <c r="BD399" s="2">
        <v>1</v>
      </c>
      <c r="BE399" s="4">
        <v>43115</v>
      </c>
      <c r="BF399" s="5">
        <v>0.32222222222222224</v>
      </c>
      <c r="BG399" s="2" t="str" cm="1">
        <f t="array" ref="BG399">_xlfn.IFS(BF399&lt;TIMEVALUE("06:00"),"Night", BF399&gt;=TIMEVALUE("21:00"),"Night",BF399&gt;=TIMEVALUE("17:00"),"Evening",BF399&gt;=TIMEVALUE("12:00"),"Afternoon", BF399&gt;=TIMEVALUE("06:00"),"Morning")</f>
        <v>Morning</v>
      </c>
      <c r="BH399" s="2">
        <v>2018</v>
      </c>
      <c r="BI399" s="2" t="s">
        <v>84</v>
      </c>
      <c r="BJ399" s="2">
        <v>15</v>
      </c>
    </row>
    <row r="400" spans="1:62" x14ac:dyDescent="0.3">
      <c r="A400" s="2" t="s">
        <v>62</v>
      </c>
      <c r="B400" s="2">
        <v>2</v>
      </c>
      <c r="C400" s="2">
        <v>2</v>
      </c>
      <c r="D400" s="2">
        <v>85.22</v>
      </c>
      <c r="E400" s="2">
        <v>262.2</v>
      </c>
      <c r="F400" s="2" t="s">
        <v>100</v>
      </c>
      <c r="G400" s="2" t="s">
        <v>64</v>
      </c>
      <c r="H400" s="2">
        <v>73</v>
      </c>
      <c r="I400" s="2" t="s">
        <v>65</v>
      </c>
      <c r="J400" s="2" t="s">
        <v>322</v>
      </c>
      <c r="K400" s="2" t="s">
        <v>102</v>
      </c>
      <c r="L400" s="2" t="s">
        <v>2124</v>
      </c>
      <c r="M400" s="2">
        <v>19409</v>
      </c>
      <c r="N400" s="2" t="s">
        <v>2125</v>
      </c>
      <c r="O400" s="2" t="s">
        <v>124</v>
      </c>
      <c r="P400" s="2" t="s">
        <v>294</v>
      </c>
      <c r="Q400" s="2" t="s">
        <v>2126</v>
      </c>
      <c r="R400" s="2">
        <v>48205</v>
      </c>
      <c r="S400" s="2">
        <v>2</v>
      </c>
      <c r="T400" s="2" t="s">
        <v>73</v>
      </c>
      <c r="U400" s="2">
        <v>42.401096299999999</v>
      </c>
      <c r="V400" s="2">
        <v>-82.9251328</v>
      </c>
      <c r="W400" s="2" t="s">
        <v>74</v>
      </c>
      <c r="X400" s="2" t="s">
        <v>2127</v>
      </c>
      <c r="Y400" s="2" t="s">
        <v>143</v>
      </c>
      <c r="Z400" s="2">
        <v>19409</v>
      </c>
      <c r="AA400" s="3">
        <v>43435.307638888888</v>
      </c>
      <c r="AB400" s="2">
        <v>75856</v>
      </c>
      <c r="AC400" s="2">
        <v>1360</v>
      </c>
      <c r="AD400" s="2">
        <v>65.55</v>
      </c>
      <c r="AE400" s="2">
        <v>0.2</v>
      </c>
      <c r="AF400" s="2" t="str" cm="1">
        <f t="array" ref="AF400">_xlfn.IFS(AE400=0, "No Discount ", AE400&lt;=0.08,"Low Discount", AE400&lt;=0.16,"Medium Discount", AE400&gt;0.16, "High Discount")</f>
        <v>High Discount</v>
      </c>
      <c r="AG400" s="2">
        <v>179171</v>
      </c>
      <c r="AH400" s="2">
        <v>327.75</v>
      </c>
      <c r="AI400" s="2">
        <v>0.33</v>
      </c>
      <c r="AJ400" s="2" t="str" cm="1">
        <f t="array" ref="AJ400">_xlfn.IFS(AI400&lt;=0, "No Profit", AI400&lt;=0.16,"Low Profit",AI400&lt;=0.32,"Medium Profit",AI400&gt;0.32,"High Profit")</f>
        <v>High Profit</v>
      </c>
      <c r="AK400" s="2">
        <v>1</v>
      </c>
      <c r="AL400" s="2">
        <v>327.75</v>
      </c>
      <c r="AM400" s="2">
        <v>262.2</v>
      </c>
      <c r="AN400" s="2">
        <v>85.22</v>
      </c>
      <c r="AO400" s="2" t="s">
        <v>145</v>
      </c>
      <c r="AP400" s="2" t="s">
        <v>2127</v>
      </c>
      <c r="AQ400" s="2" t="s">
        <v>308</v>
      </c>
      <c r="AR400" s="2" t="s">
        <v>81</v>
      </c>
      <c r="AS400" s="2">
        <v>1360</v>
      </c>
      <c r="AT400" s="2">
        <v>73</v>
      </c>
      <c r="AU400" s="2" t="s">
        <v>82</v>
      </c>
      <c r="AV400" s="2">
        <v>327.75</v>
      </c>
      <c r="AW400" s="2">
        <v>0</v>
      </c>
      <c r="AX400" s="2" t="s">
        <v>2128</v>
      </c>
      <c r="AY400" s="2" t="s">
        <v>162</v>
      </c>
      <c r="AZ400" s="4">
        <v>43435</v>
      </c>
      <c r="BA400" s="5">
        <v>0.30763888888888891</v>
      </c>
      <c r="BB400" s="2">
        <v>2018</v>
      </c>
      <c r="BC400" s="2" t="s">
        <v>357</v>
      </c>
      <c r="BD400" s="2">
        <v>1</v>
      </c>
      <c r="BE400" s="4">
        <v>43114</v>
      </c>
      <c r="BF400" s="5">
        <v>0.30763888888888891</v>
      </c>
      <c r="BG400" s="2" t="str" cm="1">
        <f t="array" ref="BG400">_xlfn.IFS(BF400&lt;TIMEVALUE("06:00"),"Night", BF400&gt;=TIMEVALUE("21:00"),"Night",BF400&gt;=TIMEVALUE("17:00"),"Evening",BF400&gt;=TIMEVALUE("12:00"),"Afternoon", BF400&gt;=TIMEVALUE("06:00"),"Morning")</f>
        <v>Morning</v>
      </c>
      <c r="BH400" s="2">
        <v>2018</v>
      </c>
      <c r="BI400" s="2" t="s">
        <v>84</v>
      </c>
      <c r="BJ400" s="2">
        <v>14</v>
      </c>
    </row>
    <row r="401" spans="1:62" x14ac:dyDescent="0.3">
      <c r="A401" s="2" t="s">
        <v>121</v>
      </c>
      <c r="B401" s="2">
        <v>2</v>
      </c>
      <c r="C401" s="2">
        <v>1</v>
      </c>
      <c r="D401" s="2">
        <v>63.91</v>
      </c>
      <c r="E401" s="2">
        <v>245.81</v>
      </c>
      <c r="F401" s="2" t="s">
        <v>87</v>
      </c>
      <c r="G401" s="2" t="s">
        <v>88</v>
      </c>
      <c r="H401" s="2">
        <v>73</v>
      </c>
      <c r="I401" s="2" t="s">
        <v>65</v>
      </c>
      <c r="J401" s="2" t="s">
        <v>66</v>
      </c>
      <c r="K401" s="2" t="s">
        <v>67</v>
      </c>
      <c r="L401" s="2" t="s">
        <v>1583</v>
      </c>
      <c r="M401" s="2">
        <v>19408</v>
      </c>
      <c r="N401" s="2" t="s">
        <v>762</v>
      </c>
      <c r="O401" s="2" t="s">
        <v>70</v>
      </c>
      <c r="P401" s="2" t="s">
        <v>71</v>
      </c>
      <c r="Q401" s="2" t="s">
        <v>2129</v>
      </c>
      <c r="R401" s="2">
        <v>725</v>
      </c>
      <c r="S401" s="2">
        <v>2</v>
      </c>
      <c r="T401" s="2" t="s">
        <v>73</v>
      </c>
      <c r="U401" s="2">
        <v>18.200027500000001</v>
      </c>
      <c r="V401" s="2">
        <v>-66.037048299999995</v>
      </c>
      <c r="W401" s="2" t="s">
        <v>74</v>
      </c>
      <c r="X401" s="2" t="s">
        <v>2130</v>
      </c>
      <c r="Y401" s="2" t="s">
        <v>76</v>
      </c>
      <c r="Z401" s="2">
        <v>19408</v>
      </c>
      <c r="AA401" s="3">
        <v>43435.293055555558</v>
      </c>
      <c r="AB401" s="2">
        <v>75855</v>
      </c>
      <c r="AC401" s="2">
        <v>1360</v>
      </c>
      <c r="AD401" s="2">
        <v>81.94</v>
      </c>
      <c r="AE401" s="2">
        <v>0.25</v>
      </c>
      <c r="AF401" s="2" t="str" cm="1">
        <f t="array" ref="AF401">_xlfn.IFS(AE401=0, "No Discount ", AE401&lt;=0.08,"Low Discount", AE401&lt;=0.16,"Medium Discount", AE401&gt;0.16, "High Discount")</f>
        <v>High Discount</v>
      </c>
      <c r="AG401" s="2">
        <v>179170</v>
      </c>
      <c r="AH401" s="2">
        <v>327.75</v>
      </c>
      <c r="AI401" s="2">
        <v>0.26</v>
      </c>
      <c r="AJ401" s="2" t="str" cm="1">
        <f t="array" ref="AJ401">_xlfn.IFS(AI401&lt;=0, "No Profit", AI401&lt;=0.16,"Low Profit",AI401&lt;=0.32,"Medium Profit",AI401&gt;0.32,"High Profit")</f>
        <v>Medium Profit</v>
      </c>
      <c r="AK401" s="2">
        <v>1</v>
      </c>
      <c r="AL401" s="2">
        <v>327.75</v>
      </c>
      <c r="AM401" s="2">
        <v>245.81</v>
      </c>
      <c r="AN401" s="2">
        <v>63.91</v>
      </c>
      <c r="AO401" s="2" t="s">
        <v>78</v>
      </c>
      <c r="AP401" s="2" t="s">
        <v>2085</v>
      </c>
      <c r="AQ401" s="2" t="s">
        <v>127</v>
      </c>
      <c r="AR401" s="2" t="s">
        <v>81</v>
      </c>
      <c r="AS401" s="2">
        <v>1360</v>
      </c>
      <c r="AT401" s="2">
        <v>73</v>
      </c>
      <c r="AU401" s="2" t="s">
        <v>82</v>
      </c>
      <c r="AV401" s="2">
        <v>327.75</v>
      </c>
      <c r="AW401" s="2">
        <v>0</v>
      </c>
      <c r="AX401" s="2" t="s">
        <v>2131</v>
      </c>
      <c r="AY401" s="2" t="s">
        <v>148</v>
      </c>
      <c r="AZ401" s="4">
        <v>43435</v>
      </c>
      <c r="BA401" s="5">
        <v>0.29305555555555557</v>
      </c>
      <c r="BB401" s="2">
        <v>2018</v>
      </c>
      <c r="BC401" s="2" t="s">
        <v>357</v>
      </c>
      <c r="BD401" s="2">
        <v>1</v>
      </c>
      <c r="BE401" s="4">
        <v>43114</v>
      </c>
      <c r="BF401" s="5">
        <v>0.29305555555555557</v>
      </c>
      <c r="BG401" s="2" t="str" cm="1">
        <f t="array" ref="BG401">_xlfn.IFS(BF401&lt;TIMEVALUE("06:00"),"Night", BF401&gt;=TIMEVALUE("21:00"),"Night",BF401&gt;=TIMEVALUE("17:00"),"Evening",BF401&gt;=TIMEVALUE("12:00"),"Afternoon", BF401&gt;=TIMEVALUE("06:00"),"Morning")</f>
        <v>Morning</v>
      </c>
      <c r="BH401" s="2">
        <v>2018</v>
      </c>
      <c r="BI401" s="2" t="s">
        <v>84</v>
      </c>
      <c r="BJ401" s="2">
        <v>14</v>
      </c>
    </row>
    <row r="402" spans="1:62" x14ac:dyDescent="0.3">
      <c r="A402" s="2" t="s">
        <v>62</v>
      </c>
      <c r="B402" s="2">
        <v>5</v>
      </c>
      <c r="C402" s="2">
        <v>2</v>
      </c>
      <c r="D402" s="2">
        <v>-273.02</v>
      </c>
      <c r="E402" s="2">
        <v>327.75</v>
      </c>
      <c r="F402" s="2" t="s">
        <v>87</v>
      </c>
      <c r="G402" s="2" t="s">
        <v>88</v>
      </c>
      <c r="H402" s="2">
        <v>73</v>
      </c>
      <c r="I402" s="2" t="s">
        <v>65</v>
      </c>
      <c r="J402" s="2" t="s">
        <v>1879</v>
      </c>
      <c r="K402" s="2" t="s">
        <v>102</v>
      </c>
      <c r="L402" s="2" t="s">
        <v>2132</v>
      </c>
      <c r="M402" s="2">
        <v>19407</v>
      </c>
      <c r="N402" s="2" t="s">
        <v>2133</v>
      </c>
      <c r="O402" s="2" t="s">
        <v>70</v>
      </c>
      <c r="P402" s="2" t="s">
        <v>1765</v>
      </c>
      <c r="Q402" s="2" t="s">
        <v>2134</v>
      </c>
      <c r="R402" s="2">
        <v>37130</v>
      </c>
      <c r="S402" s="2">
        <v>2</v>
      </c>
      <c r="T402" s="2" t="s">
        <v>73</v>
      </c>
      <c r="U402" s="2">
        <v>36.044895199999999</v>
      </c>
      <c r="V402" s="2">
        <v>-86.353271500000005</v>
      </c>
      <c r="W402" s="2" t="s">
        <v>74</v>
      </c>
      <c r="X402" s="2" t="s">
        <v>2130</v>
      </c>
      <c r="Y402" s="2" t="s">
        <v>76</v>
      </c>
      <c r="Z402" s="2">
        <v>19407</v>
      </c>
      <c r="AA402" s="3">
        <v>43435.27847222222</v>
      </c>
      <c r="AB402" s="2">
        <v>75854</v>
      </c>
      <c r="AC402" s="2">
        <v>1360</v>
      </c>
      <c r="AD402" s="2">
        <v>0</v>
      </c>
      <c r="AE402" s="2">
        <v>0</v>
      </c>
      <c r="AF402" s="2" t="str" cm="1">
        <f t="array" ref="AF402">_xlfn.IFS(AE402=0, "No Discount ", AE402&lt;=0.08,"Low Discount", AE402&lt;=0.16,"Medium Discount", AE402&gt;0.16, "High Discount")</f>
        <v xml:space="preserve">No Discount </v>
      </c>
      <c r="AG402" s="2">
        <v>179169</v>
      </c>
      <c r="AH402" s="2">
        <v>327.75</v>
      </c>
      <c r="AI402" s="2">
        <v>-0.83</v>
      </c>
      <c r="AJ402" s="2" t="str" cm="1">
        <f t="array" ref="AJ402">_xlfn.IFS(AI402&lt;=0, "No Profit", AI402&lt;=0.16,"Low Profit",AI402&lt;=0.32,"Medium Profit",AI402&gt;0.32,"High Profit")</f>
        <v>No Profit</v>
      </c>
      <c r="AK402" s="2">
        <v>1</v>
      </c>
      <c r="AL402" s="2">
        <v>327.75</v>
      </c>
      <c r="AM402" s="2">
        <v>327.75</v>
      </c>
      <c r="AN402" s="2">
        <v>-273.02</v>
      </c>
      <c r="AO402" s="2" t="s">
        <v>78</v>
      </c>
      <c r="AP402" s="2" t="s">
        <v>2085</v>
      </c>
      <c r="AQ402" s="2" t="s">
        <v>80</v>
      </c>
      <c r="AR402" s="2" t="s">
        <v>81</v>
      </c>
      <c r="AS402" s="2">
        <v>1360</v>
      </c>
      <c r="AT402" s="2">
        <v>73</v>
      </c>
      <c r="AU402" s="2" t="s">
        <v>82</v>
      </c>
      <c r="AV402" s="2">
        <v>327.75</v>
      </c>
      <c r="AW402" s="2">
        <v>0</v>
      </c>
      <c r="AX402" s="2" t="s">
        <v>2135</v>
      </c>
      <c r="AY402" s="2" t="s">
        <v>162</v>
      </c>
      <c r="AZ402" s="4">
        <v>43435</v>
      </c>
      <c r="BA402" s="5">
        <v>0.27847222222222223</v>
      </c>
      <c r="BB402" s="2">
        <v>2018</v>
      </c>
      <c r="BC402" s="2" t="s">
        <v>357</v>
      </c>
      <c r="BD402" s="2">
        <v>1</v>
      </c>
      <c r="BE402" s="4">
        <v>43117</v>
      </c>
      <c r="BF402" s="5">
        <v>0.27847222222222223</v>
      </c>
      <c r="BG402" s="2" t="str" cm="1">
        <f t="array" ref="BG402">_xlfn.IFS(BF402&lt;TIMEVALUE("06:00"),"Night", BF402&gt;=TIMEVALUE("21:00"),"Night",BF402&gt;=TIMEVALUE("17:00"),"Evening",BF402&gt;=TIMEVALUE("12:00"),"Afternoon", BF402&gt;=TIMEVALUE("06:00"),"Morning")</f>
        <v>Morning</v>
      </c>
      <c r="BH402" s="2">
        <v>2018</v>
      </c>
      <c r="BI402" s="2" t="s">
        <v>84</v>
      </c>
      <c r="BJ402" s="2">
        <v>17</v>
      </c>
    </row>
    <row r="403" spans="1:62" x14ac:dyDescent="0.3">
      <c r="A403" s="2" t="s">
        <v>121</v>
      </c>
      <c r="B403" s="2">
        <v>4</v>
      </c>
      <c r="C403" s="2">
        <v>2</v>
      </c>
      <c r="D403" s="2">
        <v>-259.58</v>
      </c>
      <c r="E403" s="2">
        <v>324.47000000000003</v>
      </c>
      <c r="F403" s="2" t="s">
        <v>87</v>
      </c>
      <c r="G403" s="2" t="s">
        <v>88</v>
      </c>
      <c r="H403" s="2">
        <v>73</v>
      </c>
      <c r="I403" s="2" t="s">
        <v>65</v>
      </c>
      <c r="J403" s="2" t="s">
        <v>66</v>
      </c>
      <c r="K403" s="2" t="s">
        <v>67</v>
      </c>
      <c r="L403" s="2" t="s">
        <v>443</v>
      </c>
      <c r="M403" s="2">
        <v>19406</v>
      </c>
      <c r="N403" s="2" t="s">
        <v>2136</v>
      </c>
      <c r="O403" s="2" t="s">
        <v>70</v>
      </c>
      <c r="P403" s="2" t="s">
        <v>71</v>
      </c>
      <c r="Q403" s="2" t="s">
        <v>2137</v>
      </c>
      <c r="R403" s="2">
        <v>725</v>
      </c>
      <c r="S403" s="2">
        <v>2</v>
      </c>
      <c r="T403" s="2" t="s">
        <v>73</v>
      </c>
      <c r="U403" s="2">
        <v>18.233533900000001</v>
      </c>
      <c r="V403" s="2">
        <v>-66.037063599999996</v>
      </c>
      <c r="W403" s="2" t="s">
        <v>74</v>
      </c>
      <c r="X403" s="2" t="s">
        <v>2138</v>
      </c>
      <c r="Y403" s="2" t="s">
        <v>173</v>
      </c>
      <c r="Z403" s="2">
        <v>19406</v>
      </c>
      <c r="AA403" s="3">
        <v>43435.263888888891</v>
      </c>
      <c r="AB403" s="2">
        <v>75853</v>
      </c>
      <c r="AC403" s="2">
        <v>1360</v>
      </c>
      <c r="AD403" s="2">
        <v>3.28</v>
      </c>
      <c r="AE403" s="2">
        <v>0.01</v>
      </c>
      <c r="AF403" s="2" t="str" cm="1">
        <f t="array" ref="AF403">_xlfn.IFS(AE403=0, "No Discount ", AE403&lt;=0.08,"Low Discount", AE403&lt;=0.16,"Medium Discount", AE403&gt;0.16, "High Discount")</f>
        <v>Low Discount</v>
      </c>
      <c r="AG403" s="2">
        <v>179168</v>
      </c>
      <c r="AH403" s="2">
        <v>327.75</v>
      </c>
      <c r="AI403" s="2">
        <v>-0.8</v>
      </c>
      <c r="AJ403" s="2" t="str" cm="1">
        <f t="array" ref="AJ403">_xlfn.IFS(AI403&lt;=0, "No Profit", AI403&lt;=0.16,"Low Profit",AI403&lt;=0.32,"Medium Profit",AI403&gt;0.32,"High Profit")</f>
        <v>No Profit</v>
      </c>
      <c r="AK403" s="2">
        <v>1</v>
      </c>
      <c r="AL403" s="2">
        <v>327.75</v>
      </c>
      <c r="AM403" s="2">
        <v>324.47000000000003</v>
      </c>
      <c r="AN403" s="2">
        <v>-259.58</v>
      </c>
      <c r="AO403" s="2" t="s">
        <v>145</v>
      </c>
      <c r="AP403" s="2" t="s">
        <v>2139</v>
      </c>
      <c r="AQ403" s="2" t="s">
        <v>127</v>
      </c>
      <c r="AR403" s="2" t="s">
        <v>81</v>
      </c>
      <c r="AS403" s="2">
        <v>1360</v>
      </c>
      <c r="AT403" s="2">
        <v>73</v>
      </c>
      <c r="AU403" s="2" t="s">
        <v>82</v>
      </c>
      <c r="AV403" s="2">
        <v>327.75</v>
      </c>
      <c r="AW403" s="2">
        <v>0</v>
      </c>
      <c r="AX403" s="2" t="s">
        <v>2140</v>
      </c>
      <c r="AY403" s="2" t="s">
        <v>162</v>
      </c>
      <c r="AZ403" s="4">
        <v>43435</v>
      </c>
      <c r="BA403" s="5">
        <v>0.2638888888888889</v>
      </c>
      <c r="BB403" s="2">
        <v>2018</v>
      </c>
      <c r="BC403" s="2" t="s">
        <v>357</v>
      </c>
      <c r="BD403" s="2">
        <v>1</v>
      </c>
      <c r="BE403" s="4">
        <v>43116</v>
      </c>
      <c r="BF403" s="5">
        <v>0.2638888888888889</v>
      </c>
      <c r="BG403" s="2" t="str" cm="1">
        <f t="array" ref="BG403">_xlfn.IFS(BF403&lt;TIMEVALUE("06:00"),"Night", BF403&gt;=TIMEVALUE("21:00"),"Night",BF403&gt;=TIMEVALUE("17:00"),"Evening",BF403&gt;=TIMEVALUE("12:00"),"Afternoon", BF403&gt;=TIMEVALUE("06:00"),"Morning")</f>
        <v>Morning</v>
      </c>
      <c r="BH403" s="2">
        <v>2018</v>
      </c>
      <c r="BI403" s="2" t="s">
        <v>84</v>
      </c>
      <c r="BJ403" s="2">
        <v>16</v>
      </c>
    </row>
    <row r="404" spans="1:62" x14ac:dyDescent="0.3">
      <c r="A404" s="2" t="s">
        <v>62</v>
      </c>
      <c r="B404" s="2">
        <v>3</v>
      </c>
      <c r="C404" s="2">
        <v>4</v>
      </c>
      <c r="D404" s="2">
        <v>20.239999999999998</v>
      </c>
      <c r="E404" s="2">
        <v>321.2</v>
      </c>
      <c r="F404" s="2" t="s">
        <v>63</v>
      </c>
      <c r="G404" s="2" t="s">
        <v>64</v>
      </c>
      <c r="H404" s="2">
        <v>73</v>
      </c>
      <c r="I404" s="2" t="s">
        <v>65</v>
      </c>
      <c r="J404" s="2" t="s">
        <v>1646</v>
      </c>
      <c r="K404" s="2" t="s">
        <v>102</v>
      </c>
      <c r="L404" s="2" t="s">
        <v>2141</v>
      </c>
      <c r="M404" s="2">
        <v>19405</v>
      </c>
      <c r="N404" s="2" t="s">
        <v>1933</v>
      </c>
      <c r="O404" s="2" t="s">
        <v>124</v>
      </c>
      <c r="P404" s="2" t="s">
        <v>1117</v>
      </c>
      <c r="Q404" s="2" t="s">
        <v>2142</v>
      </c>
      <c r="R404" s="2">
        <v>44102</v>
      </c>
      <c r="S404" s="2">
        <v>2</v>
      </c>
      <c r="T404" s="2" t="s">
        <v>73</v>
      </c>
      <c r="U404" s="2">
        <v>41.472141299999997</v>
      </c>
      <c r="V404" s="2">
        <v>-81.736816399999995</v>
      </c>
      <c r="W404" s="2" t="s">
        <v>74</v>
      </c>
      <c r="X404" s="2" t="s">
        <v>2143</v>
      </c>
      <c r="Y404" s="2" t="s">
        <v>2144</v>
      </c>
      <c r="Z404" s="2">
        <v>19405</v>
      </c>
      <c r="AA404" s="3">
        <v>43435.249305555553</v>
      </c>
      <c r="AB404" s="2">
        <v>75852</v>
      </c>
      <c r="AC404" s="2">
        <v>1360</v>
      </c>
      <c r="AD404" s="2">
        <v>6.56</v>
      </c>
      <c r="AE404" s="2">
        <v>0.02</v>
      </c>
      <c r="AF404" s="2" t="str" cm="1">
        <f t="array" ref="AF404">_xlfn.IFS(AE404=0, "No Discount ", AE404&lt;=0.08,"Low Discount", AE404&lt;=0.16,"Medium Discount", AE404&gt;0.16, "High Discount")</f>
        <v>Low Discount</v>
      </c>
      <c r="AG404" s="2">
        <v>179167</v>
      </c>
      <c r="AH404" s="2">
        <v>327.75</v>
      </c>
      <c r="AI404" s="2">
        <v>0.06</v>
      </c>
      <c r="AJ404" s="2" t="str" cm="1">
        <f t="array" ref="AJ404">_xlfn.IFS(AI404&lt;=0, "No Profit", AI404&lt;=0.16,"Low Profit",AI404&lt;=0.32,"Medium Profit",AI404&gt;0.32,"High Profit")</f>
        <v>Low Profit</v>
      </c>
      <c r="AK404" s="2">
        <v>1</v>
      </c>
      <c r="AL404" s="2">
        <v>327.75</v>
      </c>
      <c r="AM404" s="2">
        <v>321.2</v>
      </c>
      <c r="AN404" s="2">
        <v>20.239999999999998</v>
      </c>
      <c r="AO404" s="2" t="s">
        <v>95</v>
      </c>
      <c r="AP404" s="2" t="s">
        <v>2145</v>
      </c>
      <c r="AQ404" s="2" t="s">
        <v>80</v>
      </c>
      <c r="AR404" s="2" t="s">
        <v>81</v>
      </c>
      <c r="AS404" s="2">
        <v>1360</v>
      </c>
      <c r="AT404" s="2">
        <v>73</v>
      </c>
      <c r="AU404" s="2" t="s">
        <v>82</v>
      </c>
      <c r="AV404" s="2">
        <v>327.75</v>
      </c>
      <c r="AW404" s="2">
        <v>0</v>
      </c>
      <c r="AX404" s="2" t="s">
        <v>2146</v>
      </c>
      <c r="AY404" s="2" t="s">
        <v>83</v>
      </c>
      <c r="AZ404" s="4">
        <v>43435</v>
      </c>
      <c r="BA404" s="5">
        <v>0.24930555555555556</v>
      </c>
      <c r="BB404" s="2">
        <v>2018</v>
      </c>
      <c r="BC404" s="2" t="s">
        <v>357</v>
      </c>
      <c r="BD404" s="2">
        <v>1</v>
      </c>
      <c r="BE404" s="4">
        <v>43115</v>
      </c>
      <c r="BF404" s="5">
        <v>0.24930555555555556</v>
      </c>
      <c r="BG404" s="2" t="str" cm="1">
        <f t="array" ref="BG404">_xlfn.IFS(BF404&lt;TIMEVALUE("06:00"),"Night", BF404&gt;=TIMEVALUE("21:00"),"Night",BF404&gt;=TIMEVALUE("17:00"),"Evening",BF404&gt;=TIMEVALUE("12:00"),"Afternoon", BF404&gt;=TIMEVALUE("06:00"),"Morning")</f>
        <v>Night</v>
      </c>
      <c r="BH404" s="2">
        <v>2018</v>
      </c>
      <c r="BI404" s="2" t="s">
        <v>84</v>
      </c>
      <c r="BJ404" s="2">
        <v>15</v>
      </c>
    </row>
    <row r="405" spans="1:62" x14ac:dyDescent="0.3">
      <c r="A405" s="2" t="s">
        <v>86</v>
      </c>
      <c r="B405" s="2">
        <v>2</v>
      </c>
      <c r="C405" s="2">
        <v>4</v>
      </c>
      <c r="D405" s="2">
        <v>111.27</v>
      </c>
      <c r="E405" s="2">
        <v>317.92</v>
      </c>
      <c r="F405" s="2" t="s">
        <v>63</v>
      </c>
      <c r="G405" s="2" t="s">
        <v>64</v>
      </c>
      <c r="H405" s="2">
        <v>73</v>
      </c>
      <c r="I405" s="2" t="s">
        <v>65</v>
      </c>
      <c r="J405" s="2" t="s">
        <v>66</v>
      </c>
      <c r="K405" s="2" t="s">
        <v>67</v>
      </c>
      <c r="L405" s="2" t="s">
        <v>111</v>
      </c>
      <c r="M405" s="2">
        <v>19404</v>
      </c>
      <c r="N405" s="2" t="s">
        <v>2147</v>
      </c>
      <c r="O405" s="2" t="s">
        <v>70</v>
      </c>
      <c r="P405" s="2" t="s">
        <v>71</v>
      </c>
      <c r="Q405" s="2" t="s">
        <v>2148</v>
      </c>
      <c r="R405" s="2">
        <v>725</v>
      </c>
      <c r="S405" s="2">
        <v>2</v>
      </c>
      <c r="T405" s="2" t="s">
        <v>73</v>
      </c>
      <c r="U405" s="2">
        <v>18.2810822</v>
      </c>
      <c r="V405" s="2">
        <v>-66.037056000000007</v>
      </c>
      <c r="W405" s="2" t="s">
        <v>74</v>
      </c>
      <c r="X405" s="2" t="s">
        <v>2127</v>
      </c>
      <c r="Y405" s="2" t="s">
        <v>143</v>
      </c>
      <c r="Z405" s="2">
        <v>19404</v>
      </c>
      <c r="AA405" s="3">
        <v>43435.234722222223</v>
      </c>
      <c r="AB405" s="2">
        <v>75851</v>
      </c>
      <c r="AC405" s="2">
        <v>1360</v>
      </c>
      <c r="AD405" s="2">
        <v>9.83</v>
      </c>
      <c r="AE405" s="2">
        <v>0.03</v>
      </c>
      <c r="AF405" s="2" t="str" cm="1">
        <f t="array" ref="AF405">_xlfn.IFS(AE405=0, "No Discount ", AE405&lt;=0.08,"Low Discount", AE405&lt;=0.16,"Medium Discount", AE405&gt;0.16, "High Discount")</f>
        <v>Low Discount</v>
      </c>
      <c r="AG405" s="2">
        <v>179166</v>
      </c>
      <c r="AH405" s="2">
        <v>327.75</v>
      </c>
      <c r="AI405" s="2">
        <v>0.35</v>
      </c>
      <c r="AJ405" s="2" t="str" cm="1">
        <f t="array" ref="AJ405">_xlfn.IFS(AI405&lt;=0, "No Profit", AI405&lt;=0.16,"Low Profit",AI405&lt;=0.32,"Medium Profit",AI405&gt;0.32,"High Profit")</f>
        <v>High Profit</v>
      </c>
      <c r="AK405" s="2">
        <v>1</v>
      </c>
      <c r="AL405" s="2">
        <v>327.75</v>
      </c>
      <c r="AM405" s="2">
        <v>317.92</v>
      </c>
      <c r="AN405" s="2">
        <v>111.27</v>
      </c>
      <c r="AO405" s="2" t="s">
        <v>145</v>
      </c>
      <c r="AP405" s="2" t="s">
        <v>2127</v>
      </c>
      <c r="AQ405" s="2" t="s">
        <v>97</v>
      </c>
      <c r="AR405" s="2" t="s">
        <v>81</v>
      </c>
      <c r="AS405" s="2">
        <v>1360</v>
      </c>
      <c r="AT405" s="2">
        <v>73</v>
      </c>
      <c r="AU405" s="2" t="s">
        <v>82</v>
      </c>
      <c r="AV405" s="2">
        <v>327.75</v>
      </c>
      <c r="AW405" s="2">
        <v>0</v>
      </c>
      <c r="AX405" s="2" t="s">
        <v>2149</v>
      </c>
      <c r="AY405" s="2" t="s">
        <v>83</v>
      </c>
      <c r="AZ405" s="4">
        <v>43435</v>
      </c>
      <c r="BA405" s="5">
        <v>0.23472222222222222</v>
      </c>
      <c r="BB405" s="2">
        <v>2018</v>
      </c>
      <c r="BC405" s="2" t="s">
        <v>357</v>
      </c>
      <c r="BD405" s="2">
        <v>1</v>
      </c>
      <c r="BE405" s="4">
        <v>43114</v>
      </c>
      <c r="BF405" s="5">
        <v>0.23472222222222222</v>
      </c>
      <c r="BG405" s="2" t="str" cm="1">
        <f t="array" ref="BG405">_xlfn.IFS(BF405&lt;TIMEVALUE("06:00"),"Night", BF405&gt;=TIMEVALUE("21:00"),"Night",BF405&gt;=TIMEVALUE("17:00"),"Evening",BF405&gt;=TIMEVALUE("12:00"),"Afternoon", BF405&gt;=TIMEVALUE("06:00"),"Morning")</f>
        <v>Night</v>
      </c>
      <c r="BH405" s="2">
        <v>2018</v>
      </c>
      <c r="BI405" s="2" t="s">
        <v>84</v>
      </c>
      <c r="BJ405" s="2">
        <v>14</v>
      </c>
    </row>
    <row r="406" spans="1:62" x14ac:dyDescent="0.3">
      <c r="A406" s="2" t="s">
        <v>62</v>
      </c>
      <c r="B406" s="2">
        <v>6</v>
      </c>
      <c r="C406" s="2">
        <v>4</v>
      </c>
      <c r="D406" s="2">
        <v>0</v>
      </c>
      <c r="E406" s="2">
        <v>314.64</v>
      </c>
      <c r="F406" s="2" t="s">
        <v>87</v>
      </c>
      <c r="G406" s="2" t="s">
        <v>88</v>
      </c>
      <c r="H406" s="2">
        <v>73</v>
      </c>
      <c r="I406" s="2" t="s">
        <v>65</v>
      </c>
      <c r="J406" s="2" t="s">
        <v>1620</v>
      </c>
      <c r="K406" s="2" t="s">
        <v>102</v>
      </c>
      <c r="L406" s="2" t="s">
        <v>2150</v>
      </c>
      <c r="M406" s="2">
        <v>19403</v>
      </c>
      <c r="N406" s="2" t="s">
        <v>2151</v>
      </c>
      <c r="O406" s="2" t="s">
        <v>124</v>
      </c>
      <c r="P406" s="2" t="s">
        <v>133</v>
      </c>
      <c r="Q406" s="2" t="s">
        <v>2152</v>
      </c>
      <c r="R406" s="2">
        <v>14094</v>
      </c>
      <c r="S406" s="2">
        <v>2</v>
      </c>
      <c r="T406" s="2" t="s">
        <v>73</v>
      </c>
      <c r="U406" s="2">
        <v>43.168911000000001</v>
      </c>
      <c r="V406" s="2">
        <v>-78.692161600000006</v>
      </c>
      <c r="W406" s="2" t="s">
        <v>74</v>
      </c>
      <c r="X406" s="2" t="s">
        <v>399</v>
      </c>
      <c r="Y406" s="2" t="s">
        <v>93</v>
      </c>
      <c r="Z406" s="2">
        <v>19403</v>
      </c>
      <c r="AA406" s="3">
        <v>43435.219444444447</v>
      </c>
      <c r="AB406" s="2">
        <v>75850</v>
      </c>
      <c r="AC406" s="2">
        <v>1360</v>
      </c>
      <c r="AD406" s="2">
        <v>13.11</v>
      </c>
      <c r="AE406" s="2">
        <v>0.04</v>
      </c>
      <c r="AF406" s="2" t="str" cm="1">
        <f t="array" ref="AF406">_xlfn.IFS(AE406=0, "No Discount ", AE406&lt;=0.08,"Low Discount", AE406&lt;=0.16,"Medium Discount", AE406&gt;0.16, "High Discount")</f>
        <v>Low Discount</v>
      </c>
      <c r="AG406" s="2">
        <v>179165</v>
      </c>
      <c r="AH406" s="2">
        <v>327.75</v>
      </c>
      <c r="AI406" s="2">
        <v>0</v>
      </c>
      <c r="AJ406" s="2" t="str" cm="1">
        <f t="array" ref="AJ406">_xlfn.IFS(AI406&lt;=0, "No Profit", AI406&lt;=0.16,"Low Profit",AI406&lt;=0.32,"Medium Profit",AI406&gt;0.32,"High Profit")</f>
        <v>No Profit</v>
      </c>
      <c r="AK406" s="2">
        <v>1</v>
      </c>
      <c r="AL406" s="2">
        <v>327.75</v>
      </c>
      <c r="AM406" s="2">
        <v>314.64</v>
      </c>
      <c r="AN406" s="2">
        <v>0</v>
      </c>
      <c r="AO406" s="2" t="s">
        <v>95</v>
      </c>
      <c r="AP406" s="2" t="s">
        <v>349</v>
      </c>
      <c r="AQ406" s="2" t="s">
        <v>80</v>
      </c>
      <c r="AR406" s="2" t="s">
        <v>81</v>
      </c>
      <c r="AS406" s="2">
        <v>1360</v>
      </c>
      <c r="AT406" s="2">
        <v>73</v>
      </c>
      <c r="AU406" s="2" t="s">
        <v>82</v>
      </c>
      <c r="AV406" s="2">
        <v>327.75</v>
      </c>
      <c r="AW406" s="2">
        <v>0</v>
      </c>
      <c r="AX406" s="2" t="s">
        <v>2153</v>
      </c>
      <c r="AY406" s="2" t="s">
        <v>83</v>
      </c>
      <c r="AZ406" s="4">
        <v>43435</v>
      </c>
      <c r="BA406" s="5">
        <v>0.21944444444444444</v>
      </c>
      <c r="BB406" s="2">
        <v>2018</v>
      </c>
      <c r="BC406" s="2" t="s">
        <v>357</v>
      </c>
      <c r="BD406" s="2">
        <v>1</v>
      </c>
      <c r="BE406" s="4">
        <v>43118</v>
      </c>
      <c r="BF406" s="5">
        <v>0.21944444444444444</v>
      </c>
      <c r="BG406" s="2" t="str" cm="1">
        <f t="array" ref="BG406">_xlfn.IFS(BF406&lt;TIMEVALUE("06:00"),"Night", BF406&gt;=TIMEVALUE("21:00"),"Night",BF406&gt;=TIMEVALUE("17:00"),"Evening",BF406&gt;=TIMEVALUE("12:00"),"Afternoon", BF406&gt;=TIMEVALUE("06:00"),"Morning")</f>
        <v>Night</v>
      </c>
      <c r="BH406" s="2">
        <v>2018</v>
      </c>
      <c r="BI406" s="2" t="s">
        <v>84</v>
      </c>
      <c r="BJ406" s="2">
        <v>18</v>
      </c>
    </row>
    <row r="407" spans="1:62" x14ac:dyDescent="0.3">
      <c r="A407" s="2" t="s">
        <v>121</v>
      </c>
      <c r="B407" s="2">
        <v>5</v>
      </c>
      <c r="C407" s="2">
        <v>4</v>
      </c>
      <c r="D407" s="2">
        <v>97.46</v>
      </c>
      <c r="E407" s="2">
        <v>311.36</v>
      </c>
      <c r="F407" s="2" t="s">
        <v>87</v>
      </c>
      <c r="G407" s="2" t="s">
        <v>88</v>
      </c>
      <c r="H407" s="2">
        <v>73</v>
      </c>
      <c r="I407" s="2" t="s">
        <v>65</v>
      </c>
      <c r="J407" s="2" t="s">
        <v>66</v>
      </c>
      <c r="K407" s="2" t="s">
        <v>67</v>
      </c>
      <c r="L407" s="2" t="s">
        <v>1364</v>
      </c>
      <c r="M407" s="2">
        <v>19402</v>
      </c>
      <c r="N407" s="2" t="s">
        <v>2154</v>
      </c>
      <c r="O407" s="2" t="s">
        <v>124</v>
      </c>
      <c r="P407" s="2" t="s">
        <v>71</v>
      </c>
      <c r="Q407" s="2" t="s">
        <v>2155</v>
      </c>
      <c r="R407" s="2">
        <v>725</v>
      </c>
      <c r="S407" s="2">
        <v>2</v>
      </c>
      <c r="T407" s="2" t="s">
        <v>73</v>
      </c>
      <c r="U407" s="2">
        <v>18.204332399999998</v>
      </c>
      <c r="V407" s="2">
        <v>-66.037056000000007</v>
      </c>
      <c r="W407" s="2" t="s">
        <v>74</v>
      </c>
      <c r="X407" s="2" t="s">
        <v>399</v>
      </c>
      <c r="Y407" s="2" t="s">
        <v>93</v>
      </c>
      <c r="Z407" s="2">
        <v>19402</v>
      </c>
      <c r="AA407" s="3">
        <v>43435.204861111109</v>
      </c>
      <c r="AB407" s="2">
        <v>75849</v>
      </c>
      <c r="AC407" s="2">
        <v>1360</v>
      </c>
      <c r="AD407" s="2">
        <v>16.39</v>
      </c>
      <c r="AE407" s="2">
        <v>0.05</v>
      </c>
      <c r="AF407" s="2" t="str" cm="1">
        <f t="array" ref="AF407">_xlfn.IFS(AE407=0, "No Discount ", AE407&lt;=0.08,"Low Discount", AE407&lt;=0.16,"Medium Discount", AE407&gt;0.16, "High Discount")</f>
        <v>Low Discount</v>
      </c>
      <c r="AG407" s="2">
        <v>179164</v>
      </c>
      <c r="AH407" s="2">
        <v>327.75</v>
      </c>
      <c r="AI407" s="2">
        <v>0.31</v>
      </c>
      <c r="AJ407" s="2" t="str" cm="1">
        <f t="array" ref="AJ407">_xlfn.IFS(AI407&lt;=0, "No Profit", AI407&lt;=0.16,"Low Profit",AI407&lt;=0.32,"Medium Profit",AI407&gt;0.32,"High Profit")</f>
        <v>Medium Profit</v>
      </c>
      <c r="AK407" s="2">
        <v>1</v>
      </c>
      <c r="AL407" s="2">
        <v>327.75</v>
      </c>
      <c r="AM407" s="2">
        <v>311.36</v>
      </c>
      <c r="AN407" s="2">
        <v>97.46</v>
      </c>
      <c r="AO407" s="2" t="s">
        <v>95</v>
      </c>
      <c r="AP407" s="2" t="s">
        <v>349</v>
      </c>
      <c r="AQ407" s="2" t="s">
        <v>127</v>
      </c>
      <c r="AR407" s="2" t="s">
        <v>81</v>
      </c>
      <c r="AS407" s="2">
        <v>1360</v>
      </c>
      <c r="AT407" s="2">
        <v>73</v>
      </c>
      <c r="AU407" s="2" t="s">
        <v>82</v>
      </c>
      <c r="AV407" s="2">
        <v>327.75</v>
      </c>
      <c r="AW407" s="2">
        <v>0</v>
      </c>
      <c r="AX407" s="2" t="s">
        <v>2156</v>
      </c>
      <c r="AY407" s="2" t="s">
        <v>83</v>
      </c>
      <c r="AZ407" s="4">
        <v>43435</v>
      </c>
      <c r="BA407" s="5">
        <v>0.2048611111111111</v>
      </c>
      <c r="BB407" s="2">
        <v>2018</v>
      </c>
      <c r="BC407" s="2" t="s">
        <v>357</v>
      </c>
      <c r="BD407" s="2">
        <v>1</v>
      </c>
      <c r="BE407" s="4">
        <v>43117</v>
      </c>
      <c r="BF407" s="5">
        <v>0.2048611111111111</v>
      </c>
      <c r="BG407" s="2" t="str" cm="1">
        <f t="array" ref="BG407">_xlfn.IFS(BF407&lt;TIMEVALUE("06:00"),"Night", BF407&gt;=TIMEVALUE("21:00"),"Night",BF407&gt;=TIMEVALUE("17:00"),"Evening",BF407&gt;=TIMEVALUE("12:00"),"Afternoon", BF407&gt;=TIMEVALUE("06:00"),"Morning")</f>
        <v>Night</v>
      </c>
      <c r="BH407" s="2">
        <v>2018</v>
      </c>
      <c r="BI407" s="2" t="s">
        <v>84</v>
      </c>
      <c r="BJ407" s="2">
        <v>17</v>
      </c>
    </row>
    <row r="408" spans="1:62" x14ac:dyDescent="0.3">
      <c r="A408" s="2" t="s">
        <v>121</v>
      </c>
      <c r="B408" s="2">
        <v>4</v>
      </c>
      <c r="C408" s="2">
        <v>2</v>
      </c>
      <c r="D408" s="2">
        <v>89.82</v>
      </c>
      <c r="E408" s="2">
        <v>309.72000000000003</v>
      </c>
      <c r="F408" s="2" t="s">
        <v>87</v>
      </c>
      <c r="G408" s="2" t="s">
        <v>88</v>
      </c>
      <c r="H408" s="2">
        <v>73</v>
      </c>
      <c r="I408" s="2" t="s">
        <v>65</v>
      </c>
      <c r="J408" s="2" t="s">
        <v>2157</v>
      </c>
      <c r="K408" s="2" t="s">
        <v>102</v>
      </c>
      <c r="L408" s="2" t="s">
        <v>2158</v>
      </c>
      <c r="M408" s="2">
        <v>19401</v>
      </c>
      <c r="N408" s="2" t="s">
        <v>2159</v>
      </c>
      <c r="O408" s="2" t="s">
        <v>124</v>
      </c>
      <c r="P408" s="2" t="s">
        <v>2160</v>
      </c>
      <c r="Q408" s="2" t="s">
        <v>2161</v>
      </c>
      <c r="R408" s="2">
        <v>63301</v>
      </c>
      <c r="S408" s="2">
        <v>2</v>
      </c>
      <c r="T408" s="2" t="s">
        <v>73</v>
      </c>
      <c r="U408" s="2">
        <v>38.778381400000001</v>
      </c>
      <c r="V408" s="2">
        <v>-90.507774400000002</v>
      </c>
      <c r="W408" s="2" t="s">
        <v>74</v>
      </c>
      <c r="X408" s="2" t="s">
        <v>399</v>
      </c>
      <c r="Y408" s="2" t="s">
        <v>93</v>
      </c>
      <c r="Z408" s="2">
        <v>19401</v>
      </c>
      <c r="AA408" s="3">
        <v>43435.19027777778</v>
      </c>
      <c r="AB408" s="2">
        <v>75848</v>
      </c>
      <c r="AC408" s="2">
        <v>1360</v>
      </c>
      <c r="AD408" s="2">
        <v>18.03</v>
      </c>
      <c r="AE408" s="2">
        <v>0.06</v>
      </c>
      <c r="AF408" s="2" t="str" cm="1">
        <f t="array" ref="AF408">_xlfn.IFS(AE408=0, "No Discount ", AE408&lt;=0.08,"Low Discount", AE408&lt;=0.16,"Medium Discount", AE408&gt;0.16, "High Discount")</f>
        <v>Low Discount</v>
      </c>
      <c r="AG408" s="2">
        <v>179163</v>
      </c>
      <c r="AH408" s="2">
        <v>327.75</v>
      </c>
      <c r="AI408" s="2">
        <v>0.28999999999999998</v>
      </c>
      <c r="AJ408" s="2" t="str" cm="1">
        <f t="array" ref="AJ408">_xlfn.IFS(AI408&lt;=0, "No Profit", AI408&lt;=0.16,"Low Profit",AI408&lt;=0.32,"Medium Profit",AI408&gt;0.32,"High Profit")</f>
        <v>Medium Profit</v>
      </c>
      <c r="AK408" s="2">
        <v>1</v>
      </c>
      <c r="AL408" s="2">
        <v>327.75</v>
      </c>
      <c r="AM408" s="2">
        <v>309.72000000000003</v>
      </c>
      <c r="AN408" s="2">
        <v>89.82</v>
      </c>
      <c r="AO408" s="2" t="s">
        <v>95</v>
      </c>
      <c r="AP408" s="2" t="s">
        <v>349</v>
      </c>
      <c r="AQ408" s="2" t="s">
        <v>127</v>
      </c>
      <c r="AR408" s="2" t="s">
        <v>81</v>
      </c>
      <c r="AS408" s="2">
        <v>1360</v>
      </c>
      <c r="AT408" s="2">
        <v>73</v>
      </c>
      <c r="AU408" s="2" t="s">
        <v>82</v>
      </c>
      <c r="AV408" s="2">
        <v>327.75</v>
      </c>
      <c r="AW408" s="2">
        <v>0</v>
      </c>
      <c r="AX408" s="2" t="s">
        <v>2162</v>
      </c>
      <c r="AY408" s="2" t="s">
        <v>162</v>
      </c>
      <c r="AZ408" s="4">
        <v>43435</v>
      </c>
      <c r="BA408" s="5">
        <v>0.19027777777777777</v>
      </c>
      <c r="BB408" s="2">
        <v>2018</v>
      </c>
      <c r="BC408" s="2" t="s">
        <v>357</v>
      </c>
      <c r="BD408" s="2">
        <v>1</v>
      </c>
      <c r="BE408" s="4">
        <v>43116</v>
      </c>
      <c r="BF408" s="5">
        <v>0.19027777777777777</v>
      </c>
      <c r="BG408" s="2" t="str" cm="1">
        <f t="array" ref="BG408">_xlfn.IFS(BF408&lt;TIMEVALUE("06:00"),"Night", BF408&gt;=TIMEVALUE("21:00"),"Night",BF408&gt;=TIMEVALUE("17:00"),"Evening",BF408&gt;=TIMEVALUE("12:00"),"Afternoon", BF408&gt;=TIMEVALUE("06:00"),"Morning")</f>
        <v>Night</v>
      </c>
      <c r="BH408" s="2">
        <v>2018</v>
      </c>
      <c r="BI408" s="2" t="s">
        <v>84</v>
      </c>
      <c r="BJ408" s="2">
        <v>16</v>
      </c>
    </row>
    <row r="409" spans="1:62" x14ac:dyDescent="0.3">
      <c r="A409" s="2" t="s">
        <v>86</v>
      </c>
      <c r="B409" s="2">
        <v>3</v>
      </c>
      <c r="C409" s="2">
        <v>2</v>
      </c>
      <c r="D409" s="2">
        <v>85.35</v>
      </c>
      <c r="E409" s="2">
        <v>304.81</v>
      </c>
      <c r="F409" s="2" t="s">
        <v>129</v>
      </c>
      <c r="G409" s="2" t="s">
        <v>64</v>
      </c>
      <c r="H409" s="2">
        <v>73</v>
      </c>
      <c r="I409" s="2" t="s">
        <v>65</v>
      </c>
      <c r="J409" s="2" t="s">
        <v>110</v>
      </c>
      <c r="K409" s="2" t="s">
        <v>102</v>
      </c>
      <c r="L409" s="2" t="s">
        <v>2163</v>
      </c>
      <c r="M409" s="2">
        <v>19400</v>
      </c>
      <c r="N409" s="2" t="s">
        <v>300</v>
      </c>
      <c r="O409" s="2" t="s">
        <v>124</v>
      </c>
      <c r="P409" s="2" t="s">
        <v>105</v>
      </c>
      <c r="Q409" s="2" t="s">
        <v>2164</v>
      </c>
      <c r="R409" s="2">
        <v>90046</v>
      </c>
      <c r="S409" s="2">
        <v>2</v>
      </c>
      <c r="T409" s="2" t="s">
        <v>73</v>
      </c>
      <c r="U409" s="2">
        <v>34.099609399999999</v>
      </c>
      <c r="V409" s="2">
        <v>-118.35073850000001</v>
      </c>
      <c r="W409" s="2" t="s">
        <v>74</v>
      </c>
      <c r="X409" s="2" t="s">
        <v>399</v>
      </c>
      <c r="Y409" s="2" t="s">
        <v>93</v>
      </c>
      <c r="Z409" s="2">
        <v>19400</v>
      </c>
      <c r="AA409" s="3">
        <v>43435.175694444442</v>
      </c>
      <c r="AB409" s="2">
        <v>75847</v>
      </c>
      <c r="AC409" s="2">
        <v>1360</v>
      </c>
      <c r="AD409" s="2">
        <v>22.94</v>
      </c>
      <c r="AE409" s="2">
        <v>7.0000000000000007E-2</v>
      </c>
      <c r="AF409" s="2" t="str" cm="1">
        <f t="array" ref="AF409">_xlfn.IFS(AE409=0, "No Discount ", AE409&lt;=0.08,"Low Discount", AE409&lt;=0.16,"Medium Discount", AE409&gt;0.16, "High Discount")</f>
        <v>Low Discount</v>
      </c>
      <c r="AG409" s="2">
        <v>179162</v>
      </c>
      <c r="AH409" s="2">
        <v>327.75</v>
      </c>
      <c r="AI409" s="2">
        <v>0.28000000000000003</v>
      </c>
      <c r="AJ409" s="2" t="str" cm="1">
        <f t="array" ref="AJ409">_xlfn.IFS(AI409&lt;=0, "No Profit", AI409&lt;=0.16,"Low Profit",AI409&lt;=0.32,"Medium Profit",AI409&gt;0.32,"High Profit")</f>
        <v>Medium Profit</v>
      </c>
      <c r="AK409" s="2">
        <v>1</v>
      </c>
      <c r="AL409" s="2">
        <v>327.75</v>
      </c>
      <c r="AM409" s="2">
        <v>304.81</v>
      </c>
      <c r="AN409" s="2">
        <v>85.35</v>
      </c>
      <c r="AO409" s="2" t="s">
        <v>95</v>
      </c>
      <c r="AP409" s="2" t="s">
        <v>349</v>
      </c>
      <c r="AQ409" s="2" t="s">
        <v>175</v>
      </c>
      <c r="AR409" s="2" t="s">
        <v>81</v>
      </c>
      <c r="AS409" s="2">
        <v>1360</v>
      </c>
      <c r="AT409" s="2">
        <v>73</v>
      </c>
      <c r="AU409" s="2" t="s">
        <v>82</v>
      </c>
      <c r="AV409" s="2">
        <v>327.75</v>
      </c>
      <c r="AW409" s="2">
        <v>0</v>
      </c>
      <c r="AX409" s="2" t="s">
        <v>2165</v>
      </c>
      <c r="AY409" s="2" t="s">
        <v>162</v>
      </c>
      <c r="AZ409" s="4">
        <v>43435</v>
      </c>
      <c r="BA409" s="5">
        <v>0.17569444444444443</v>
      </c>
      <c r="BB409" s="2">
        <v>2018</v>
      </c>
      <c r="BC409" s="2" t="s">
        <v>357</v>
      </c>
      <c r="BD409" s="2">
        <v>1</v>
      </c>
      <c r="BE409" s="4">
        <v>43115</v>
      </c>
      <c r="BF409" s="5">
        <v>0.17569444444444443</v>
      </c>
      <c r="BG409" s="2" t="str" cm="1">
        <f t="array" ref="BG409">_xlfn.IFS(BF409&lt;TIMEVALUE("06:00"),"Night", BF409&gt;=TIMEVALUE("21:00"),"Night",BF409&gt;=TIMEVALUE("17:00"),"Evening",BF409&gt;=TIMEVALUE("12:00"),"Afternoon", BF409&gt;=TIMEVALUE("06:00"),"Morning")</f>
        <v>Night</v>
      </c>
      <c r="BH409" s="2">
        <v>2018</v>
      </c>
      <c r="BI409" s="2" t="s">
        <v>84</v>
      </c>
      <c r="BJ409" s="2">
        <v>15</v>
      </c>
    </row>
    <row r="410" spans="1:62" x14ac:dyDescent="0.3">
      <c r="A410" s="2" t="s">
        <v>86</v>
      </c>
      <c r="B410" s="2">
        <v>2</v>
      </c>
      <c r="C410" s="2">
        <v>4</v>
      </c>
      <c r="D410" s="2">
        <v>125.27</v>
      </c>
      <c r="E410" s="2">
        <v>298.25</v>
      </c>
      <c r="F410" s="2" t="s">
        <v>63</v>
      </c>
      <c r="G410" s="2" t="s">
        <v>64</v>
      </c>
      <c r="H410" s="2">
        <v>73</v>
      </c>
      <c r="I410" s="2" t="s">
        <v>65</v>
      </c>
      <c r="J410" s="2" t="s">
        <v>2166</v>
      </c>
      <c r="K410" s="2" t="s">
        <v>102</v>
      </c>
      <c r="L410" s="2" t="s">
        <v>2086</v>
      </c>
      <c r="M410" s="2">
        <v>19399</v>
      </c>
      <c r="N410" s="2" t="s">
        <v>2167</v>
      </c>
      <c r="O410" s="2" t="s">
        <v>113</v>
      </c>
      <c r="P410" s="2" t="s">
        <v>105</v>
      </c>
      <c r="Q410" s="2" t="s">
        <v>2168</v>
      </c>
      <c r="R410" s="2">
        <v>95014</v>
      </c>
      <c r="S410" s="2">
        <v>2</v>
      </c>
      <c r="T410" s="2" t="s">
        <v>73</v>
      </c>
      <c r="U410" s="2">
        <v>37.321388300000002</v>
      </c>
      <c r="V410" s="2">
        <v>-122.03073879999999</v>
      </c>
      <c r="W410" s="2" t="s">
        <v>74</v>
      </c>
      <c r="X410" s="2" t="s">
        <v>399</v>
      </c>
      <c r="Y410" s="2" t="s">
        <v>93</v>
      </c>
      <c r="Z410" s="2">
        <v>19399</v>
      </c>
      <c r="AA410" s="3">
        <v>43435.161111111112</v>
      </c>
      <c r="AB410" s="2">
        <v>75846</v>
      </c>
      <c r="AC410" s="2">
        <v>1360</v>
      </c>
      <c r="AD410" s="2">
        <v>29.5</v>
      </c>
      <c r="AE410" s="2">
        <v>0.09</v>
      </c>
      <c r="AF410" s="2" t="str" cm="1">
        <f t="array" ref="AF410">_xlfn.IFS(AE410=0, "No Discount ", AE410&lt;=0.08,"Low Discount", AE410&lt;=0.16,"Medium Discount", AE410&gt;0.16, "High Discount")</f>
        <v>Medium Discount</v>
      </c>
      <c r="AG410" s="2">
        <v>179161</v>
      </c>
      <c r="AH410" s="2">
        <v>327.75</v>
      </c>
      <c r="AI410" s="2">
        <v>0.42</v>
      </c>
      <c r="AJ410" s="2" t="str" cm="1">
        <f t="array" ref="AJ410">_xlfn.IFS(AI410&lt;=0, "No Profit", AI410&lt;=0.16,"Low Profit",AI410&lt;=0.32,"Medium Profit",AI410&gt;0.32,"High Profit")</f>
        <v>High Profit</v>
      </c>
      <c r="AK410" s="2">
        <v>1</v>
      </c>
      <c r="AL410" s="2">
        <v>327.75</v>
      </c>
      <c r="AM410" s="2">
        <v>298.25</v>
      </c>
      <c r="AN410" s="2">
        <v>125.27</v>
      </c>
      <c r="AO410" s="2" t="s">
        <v>95</v>
      </c>
      <c r="AP410" s="2" t="s">
        <v>349</v>
      </c>
      <c r="AQ410" s="2" t="s">
        <v>155</v>
      </c>
      <c r="AR410" s="2" t="s">
        <v>81</v>
      </c>
      <c r="AS410" s="2">
        <v>1360</v>
      </c>
      <c r="AT410" s="2">
        <v>73</v>
      </c>
      <c r="AU410" s="2" t="s">
        <v>82</v>
      </c>
      <c r="AV410" s="2">
        <v>327.75</v>
      </c>
      <c r="AW410" s="2">
        <v>0</v>
      </c>
      <c r="AX410" s="2" t="s">
        <v>2169</v>
      </c>
      <c r="AY410" s="2" t="s">
        <v>83</v>
      </c>
      <c r="AZ410" s="4">
        <v>43435</v>
      </c>
      <c r="BA410" s="5">
        <v>0.16111111111111112</v>
      </c>
      <c r="BB410" s="2">
        <v>2018</v>
      </c>
      <c r="BC410" s="2" t="s">
        <v>357</v>
      </c>
      <c r="BD410" s="2">
        <v>1</v>
      </c>
      <c r="BE410" s="4">
        <v>43114</v>
      </c>
      <c r="BF410" s="5">
        <v>0.16111111111111112</v>
      </c>
      <c r="BG410" s="2" t="str" cm="1">
        <f t="array" ref="BG410">_xlfn.IFS(BF410&lt;TIMEVALUE("06:00"),"Night", BF410&gt;=TIMEVALUE("21:00"),"Night",BF410&gt;=TIMEVALUE("17:00"),"Evening",BF410&gt;=TIMEVALUE("12:00"),"Afternoon", BF410&gt;=TIMEVALUE("06:00"),"Morning")</f>
        <v>Night</v>
      </c>
      <c r="BH410" s="2">
        <v>2018</v>
      </c>
      <c r="BI410" s="2" t="s">
        <v>84</v>
      </c>
      <c r="BJ410" s="2">
        <v>14</v>
      </c>
    </row>
    <row r="411" spans="1:62" x14ac:dyDescent="0.3">
      <c r="A411" s="2" t="s">
        <v>121</v>
      </c>
      <c r="B411" s="2">
        <v>6</v>
      </c>
      <c r="C411" s="2">
        <v>4</v>
      </c>
      <c r="D411" s="2">
        <v>91.44</v>
      </c>
      <c r="E411" s="2">
        <v>294.98</v>
      </c>
      <c r="F411" s="2" t="s">
        <v>87</v>
      </c>
      <c r="G411" s="2" t="s">
        <v>88</v>
      </c>
      <c r="H411" s="2">
        <v>73</v>
      </c>
      <c r="I411" s="2" t="s">
        <v>65</v>
      </c>
      <c r="J411" s="2" t="s">
        <v>66</v>
      </c>
      <c r="K411" s="2" t="s">
        <v>67</v>
      </c>
      <c r="L411" s="2" t="s">
        <v>2170</v>
      </c>
      <c r="M411" s="2">
        <v>19398</v>
      </c>
      <c r="N411" s="2" t="s">
        <v>2171</v>
      </c>
      <c r="O411" s="2" t="s">
        <v>113</v>
      </c>
      <c r="P411" s="2" t="s">
        <v>71</v>
      </c>
      <c r="Q411" s="2" t="s">
        <v>2172</v>
      </c>
      <c r="R411" s="2">
        <v>725</v>
      </c>
      <c r="S411" s="2">
        <v>2</v>
      </c>
      <c r="T411" s="2" t="s">
        <v>73</v>
      </c>
      <c r="U411" s="2">
        <v>18.2374744</v>
      </c>
      <c r="V411" s="2">
        <v>-66.037063599999996</v>
      </c>
      <c r="W411" s="2" t="s">
        <v>74</v>
      </c>
      <c r="X411" s="2" t="s">
        <v>2173</v>
      </c>
      <c r="Y411" s="2" t="s">
        <v>76</v>
      </c>
      <c r="Z411" s="2">
        <v>19398</v>
      </c>
      <c r="AA411" s="3">
        <v>43435.146527777775</v>
      </c>
      <c r="AB411" s="2">
        <v>75845</v>
      </c>
      <c r="AC411" s="2">
        <v>1360</v>
      </c>
      <c r="AD411" s="2">
        <v>32.78</v>
      </c>
      <c r="AE411" s="2">
        <v>0.1</v>
      </c>
      <c r="AF411" s="2" t="str" cm="1">
        <f t="array" ref="AF411">_xlfn.IFS(AE411=0, "No Discount ", AE411&lt;=0.08,"Low Discount", AE411&lt;=0.16,"Medium Discount", AE411&gt;0.16, "High Discount")</f>
        <v>Medium Discount</v>
      </c>
      <c r="AG411" s="2">
        <v>179160</v>
      </c>
      <c r="AH411" s="2">
        <v>327.75</v>
      </c>
      <c r="AI411" s="2">
        <v>0.31</v>
      </c>
      <c r="AJ411" s="2" t="str" cm="1">
        <f t="array" ref="AJ411">_xlfn.IFS(AI411&lt;=0, "No Profit", AI411&lt;=0.16,"Low Profit",AI411&lt;=0.32,"Medium Profit",AI411&gt;0.32,"High Profit")</f>
        <v>Medium Profit</v>
      </c>
      <c r="AK411" s="2">
        <v>1</v>
      </c>
      <c r="AL411" s="2">
        <v>327.75</v>
      </c>
      <c r="AM411" s="2">
        <v>294.98</v>
      </c>
      <c r="AN411" s="2">
        <v>91.44</v>
      </c>
      <c r="AO411" s="2" t="s">
        <v>78</v>
      </c>
      <c r="AP411" s="2" t="s">
        <v>2174</v>
      </c>
      <c r="AQ411" s="2" t="s">
        <v>127</v>
      </c>
      <c r="AR411" s="2" t="s">
        <v>81</v>
      </c>
      <c r="AS411" s="2">
        <v>1360</v>
      </c>
      <c r="AT411" s="2">
        <v>73</v>
      </c>
      <c r="AU411" s="2" t="s">
        <v>82</v>
      </c>
      <c r="AV411" s="2">
        <v>327.75</v>
      </c>
      <c r="AW411" s="2">
        <v>0</v>
      </c>
      <c r="AX411" s="2" t="s">
        <v>2175</v>
      </c>
      <c r="AY411" s="2" t="s">
        <v>83</v>
      </c>
      <c r="AZ411" s="4">
        <v>43435</v>
      </c>
      <c r="BA411" s="5">
        <v>0.14652777777777778</v>
      </c>
      <c r="BB411" s="2">
        <v>2018</v>
      </c>
      <c r="BC411" s="2" t="s">
        <v>357</v>
      </c>
      <c r="BD411" s="2">
        <v>1</v>
      </c>
      <c r="BE411" s="4">
        <v>43118</v>
      </c>
      <c r="BF411" s="5">
        <v>0.14652777777777778</v>
      </c>
      <c r="BG411" s="2" t="str" cm="1">
        <f t="array" ref="BG411">_xlfn.IFS(BF411&lt;TIMEVALUE("06:00"),"Night", BF411&gt;=TIMEVALUE("21:00"),"Night",BF411&gt;=TIMEVALUE("17:00"),"Evening",BF411&gt;=TIMEVALUE("12:00"),"Afternoon", BF411&gt;=TIMEVALUE("06:00"),"Morning")</f>
        <v>Night</v>
      </c>
      <c r="BH411" s="2">
        <v>2018</v>
      </c>
      <c r="BI411" s="2" t="s">
        <v>84</v>
      </c>
      <c r="BJ411" s="2">
        <v>18</v>
      </c>
    </row>
    <row r="412" spans="1:62" x14ac:dyDescent="0.3">
      <c r="A412" s="2" t="s">
        <v>86</v>
      </c>
      <c r="B412" s="2">
        <v>5</v>
      </c>
      <c r="C412" s="2">
        <v>4</v>
      </c>
      <c r="D412" s="2">
        <v>77.87</v>
      </c>
      <c r="E412" s="2">
        <v>288.42</v>
      </c>
      <c r="F412" s="2" t="s">
        <v>87</v>
      </c>
      <c r="G412" s="2" t="s">
        <v>88</v>
      </c>
      <c r="H412" s="2">
        <v>73</v>
      </c>
      <c r="I412" s="2" t="s">
        <v>65</v>
      </c>
      <c r="J412" s="2" t="s">
        <v>2176</v>
      </c>
      <c r="K412" s="2" t="s">
        <v>102</v>
      </c>
      <c r="L412" s="2" t="s">
        <v>2177</v>
      </c>
      <c r="M412" s="2">
        <v>19397</v>
      </c>
      <c r="N412" s="2" t="s">
        <v>1091</v>
      </c>
      <c r="O412" s="2" t="s">
        <v>113</v>
      </c>
      <c r="P412" s="2" t="s">
        <v>2160</v>
      </c>
      <c r="Q412" s="2" t="s">
        <v>2178</v>
      </c>
      <c r="R412" s="2">
        <v>65807</v>
      </c>
      <c r="S412" s="2">
        <v>2</v>
      </c>
      <c r="T412" s="2" t="s">
        <v>73</v>
      </c>
      <c r="U412" s="2">
        <v>37.1563911</v>
      </c>
      <c r="V412" s="2">
        <v>-93.286010700000006</v>
      </c>
      <c r="W412" s="2" t="s">
        <v>74</v>
      </c>
      <c r="X412" s="2" t="s">
        <v>2179</v>
      </c>
      <c r="Y412" s="2" t="s">
        <v>2180</v>
      </c>
      <c r="Z412" s="2">
        <v>19397</v>
      </c>
      <c r="AA412" s="3">
        <v>43435.131944444445</v>
      </c>
      <c r="AB412" s="2">
        <v>75844</v>
      </c>
      <c r="AC412" s="2">
        <v>1360</v>
      </c>
      <c r="AD412" s="2">
        <v>39.33</v>
      </c>
      <c r="AE412" s="2">
        <v>0.12</v>
      </c>
      <c r="AF412" s="2" t="str" cm="1">
        <f t="array" ref="AF412">_xlfn.IFS(AE412=0, "No Discount ", AE412&lt;=0.08,"Low Discount", AE412&lt;=0.16,"Medium Discount", AE412&gt;0.16, "High Discount")</f>
        <v>Medium Discount</v>
      </c>
      <c r="AG412" s="2">
        <v>179159</v>
      </c>
      <c r="AH412" s="2">
        <v>327.75</v>
      </c>
      <c r="AI412" s="2">
        <v>0.27</v>
      </c>
      <c r="AJ412" s="2" t="str" cm="1">
        <f t="array" ref="AJ412">_xlfn.IFS(AI412&lt;=0, "No Profit", AI412&lt;=0.16,"Low Profit",AI412&lt;=0.32,"Medium Profit",AI412&gt;0.32,"High Profit")</f>
        <v>Medium Profit</v>
      </c>
      <c r="AK412" s="2">
        <v>1</v>
      </c>
      <c r="AL412" s="2">
        <v>327.75</v>
      </c>
      <c r="AM412" s="2">
        <v>288.42</v>
      </c>
      <c r="AN412" s="2">
        <v>77.87</v>
      </c>
      <c r="AO412" s="2" t="s">
        <v>78</v>
      </c>
      <c r="AP412" s="2" t="s">
        <v>2181</v>
      </c>
      <c r="AQ412" s="2" t="s">
        <v>97</v>
      </c>
      <c r="AR412" s="2" t="s">
        <v>81</v>
      </c>
      <c r="AS412" s="2">
        <v>1360</v>
      </c>
      <c r="AT412" s="2">
        <v>73</v>
      </c>
      <c r="AU412" s="2" t="s">
        <v>82</v>
      </c>
      <c r="AV412" s="2">
        <v>327.75</v>
      </c>
      <c r="AW412" s="2">
        <v>0</v>
      </c>
      <c r="AX412" s="2" t="s">
        <v>2182</v>
      </c>
      <c r="AY412" s="2" t="s">
        <v>83</v>
      </c>
      <c r="AZ412" s="4">
        <v>43435</v>
      </c>
      <c r="BA412" s="5">
        <v>0.13194444444444445</v>
      </c>
      <c r="BB412" s="2">
        <v>2018</v>
      </c>
      <c r="BC412" s="2" t="s">
        <v>357</v>
      </c>
      <c r="BD412" s="2">
        <v>1</v>
      </c>
      <c r="BE412" s="4">
        <v>43117</v>
      </c>
      <c r="BF412" s="5">
        <v>0.13194444444444445</v>
      </c>
      <c r="BG412" s="2" t="str" cm="1">
        <f t="array" ref="BG412">_xlfn.IFS(BF412&lt;TIMEVALUE("06:00"),"Night", BF412&gt;=TIMEVALUE("21:00"),"Night",BF412&gt;=TIMEVALUE("17:00"),"Evening",BF412&gt;=TIMEVALUE("12:00"),"Afternoon", BF412&gt;=TIMEVALUE("06:00"),"Morning")</f>
        <v>Night</v>
      </c>
      <c r="BH412" s="2">
        <v>2018</v>
      </c>
      <c r="BI412" s="2" t="s">
        <v>84</v>
      </c>
      <c r="BJ412" s="2">
        <v>17</v>
      </c>
    </row>
    <row r="413" spans="1:62" x14ac:dyDescent="0.3">
      <c r="A413" s="2" t="s">
        <v>121</v>
      </c>
      <c r="B413" s="2">
        <v>4</v>
      </c>
      <c r="C413" s="2">
        <v>2</v>
      </c>
      <c r="D413" s="2">
        <v>82.69</v>
      </c>
      <c r="E413" s="2">
        <v>285.14</v>
      </c>
      <c r="F413" s="2" t="s">
        <v>87</v>
      </c>
      <c r="G413" s="2" t="s">
        <v>88</v>
      </c>
      <c r="H413" s="2">
        <v>73</v>
      </c>
      <c r="I413" s="2" t="s">
        <v>65</v>
      </c>
      <c r="J413" s="2" t="s">
        <v>66</v>
      </c>
      <c r="K413" s="2" t="s">
        <v>67</v>
      </c>
      <c r="L413" s="2" t="s">
        <v>2183</v>
      </c>
      <c r="M413" s="2">
        <v>19396</v>
      </c>
      <c r="N413" s="2" t="s">
        <v>200</v>
      </c>
      <c r="O413" s="2" t="s">
        <v>113</v>
      </c>
      <c r="P413" s="2" t="s">
        <v>71</v>
      </c>
      <c r="Q413" s="2" t="s">
        <v>2184</v>
      </c>
      <c r="R413" s="2">
        <v>725</v>
      </c>
      <c r="S413" s="2">
        <v>2</v>
      </c>
      <c r="T413" s="2" t="s">
        <v>73</v>
      </c>
      <c r="U413" s="2">
        <v>18.284238800000001</v>
      </c>
      <c r="V413" s="2">
        <v>-66.037048299999995</v>
      </c>
      <c r="W413" s="2" t="s">
        <v>74</v>
      </c>
      <c r="X413" s="2" t="s">
        <v>2179</v>
      </c>
      <c r="Y413" s="2" t="s">
        <v>2180</v>
      </c>
      <c r="Z413" s="2">
        <v>19396</v>
      </c>
      <c r="AA413" s="3">
        <v>43435.117361111108</v>
      </c>
      <c r="AB413" s="2">
        <v>75843</v>
      </c>
      <c r="AC413" s="2">
        <v>1360</v>
      </c>
      <c r="AD413" s="2">
        <v>42.61</v>
      </c>
      <c r="AE413" s="2">
        <v>0.13</v>
      </c>
      <c r="AF413" s="2" t="str" cm="1">
        <f t="array" ref="AF413">_xlfn.IFS(AE413=0, "No Discount ", AE413&lt;=0.08,"Low Discount", AE413&lt;=0.16,"Medium Discount", AE413&gt;0.16, "High Discount")</f>
        <v>Medium Discount</v>
      </c>
      <c r="AG413" s="2">
        <v>179158</v>
      </c>
      <c r="AH413" s="2">
        <v>327.75</v>
      </c>
      <c r="AI413" s="2">
        <v>0.28999999999999998</v>
      </c>
      <c r="AJ413" s="2" t="str" cm="1">
        <f t="array" ref="AJ413">_xlfn.IFS(AI413&lt;=0, "No Profit", AI413&lt;=0.16,"Low Profit",AI413&lt;=0.32,"Medium Profit",AI413&gt;0.32,"High Profit")</f>
        <v>Medium Profit</v>
      </c>
      <c r="AK413" s="2">
        <v>1</v>
      </c>
      <c r="AL413" s="2">
        <v>327.75</v>
      </c>
      <c r="AM413" s="2">
        <v>285.14</v>
      </c>
      <c r="AN413" s="2">
        <v>82.69</v>
      </c>
      <c r="AO413" s="2" t="s">
        <v>78</v>
      </c>
      <c r="AP413" s="2" t="s">
        <v>2181</v>
      </c>
      <c r="AQ413" s="2" t="s">
        <v>127</v>
      </c>
      <c r="AR413" s="2" t="s">
        <v>81</v>
      </c>
      <c r="AS413" s="2">
        <v>1360</v>
      </c>
      <c r="AT413" s="2">
        <v>73</v>
      </c>
      <c r="AU413" s="2" t="s">
        <v>82</v>
      </c>
      <c r="AV413" s="2">
        <v>327.75</v>
      </c>
      <c r="AW413" s="2">
        <v>0</v>
      </c>
      <c r="AX413" s="2" t="s">
        <v>2185</v>
      </c>
      <c r="AY413" s="2" t="s">
        <v>162</v>
      </c>
      <c r="AZ413" s="4">
        <v>43435</v>
      </c>
      <c r="BA413" s="5">
        <v>0.11736111111111111</v>
      </c>
      <c r="BB413" s="2">
        <v>2018</v>
      </c>
      <c r="BC413" s="2" t="s">
        <v>357</v>
      </c>
      <c r="BD413" s="2">
        <v>1</v>
      </c>
      <c r="BE413" s="4">
        <v>43116</v>
      </c>
      <c r="BF413" s="5">
        <v>0.11736111111111111</v>
      </c>
      <c r="BG413" s="2" t="str" cm="1">
        <f t="array" ref="BG413">_xlfn.IFS(BF413&lt;TIMEVALUE("06:00"),"Night", BF413&gt;=TIMEVALUE("21:00"),"Night",BF413&gt;=TIMEVALUE("17:00"),"Evening",BF413&gt;=TIMEVALUE("12:00"),"Afternoon", BF413&gt;=TIMEVALUE("06:00"),"Morning")</f>
        <v>Night</v>
      </c>
      <c r="BH413" s="2">
        <v>2018</v>
      </c>
      <c r="BI413" s="2" t="s">
        <v>84</v>
      </c>
      <c r="BJ413" s="2">
        <v>16</v>
      </c>
    </row>
    <row r="414" spans="1:62" x14ac:dyDescent="0.3">
      <c r="A414" s="2" t="s">
        <v>86</v>
      </c>
      <c r="B414" s="2">
        <v>3</v>
      </c>
      <c r="C414" s="2">
        <v>4</v>
      </c>
      <c r="D414" s="2">
        <v>69.650000000000006</v>
      </c>
      <c r="E414" s="2">
        <v>278.58999999999997</v>
      </c>
      <c r="F414" s="2" t="s">
        <v>63</v>
      </c>
      <c r="G414" s="2" t="s">
        <v>64</v>
      </c>
      <c r="H414" s="2">
        <v>73</v>
      </c>
      <c r="I414" s="2" t="s">
        <v>65</v>
      </c>
      <c r="J414" s="2" t="s">
        <v>2186</v>
      </c>
      <c r="K414" s="2" t="s">
        <v>102</v>
      </c>
      <c r="L414" s="2" t="s">
        <v>2187</v>
      </c>
      <c r="M414" s="2">
        <v>19395</v>
      </c>
      <c r="N414" s="2" t="s">
        <v>2188</v>
      </c>
      <c r="O414" s="2" t="s">
        <v>113</v>
      </c>
      <c r="P414" s="2" t="s">
        <v>105</v>
      </c>
      <c r="Q414" s="2" t="s">
        <v>2189</v>
      </c>
      <c r="R414" s="2">
        <v>92692</v>
      </c>
      <c r="S414" s="2">
        <v>2</v>
      </c>
      <c r="T414" s="2" t="s">
        <v>73</v>
      </c>
      <c r="U414" s="2">
        <v>33.648754099999998</v>
      </c>
      <c r="V414" s="2">
        <v>-117.6374283</v>
      </c>
      <c r="W414" s="2" t="s">
        <v>74</v>
      </c>
      <c r="X414" s="2" t="s">
        <v>2179</v>
      </c>
      <c r="Y414" s="2" t="s">
        <v>2180</v>
      </c>
      <c r="Z414" s="2">
        <v>19395</v>
      </c>
      <c r="AA414" s="3">
        <v>43435.102777777778</v>
      </c>
      <c r="AB414" s="2">
        <v>75842</v>
      </c>
      <c r="AC414" s="2">
        <v>1360</v>
      </c>
      <c r="AD414" s="2">
        <v>49.16</v>
      </c>
      <c r="AE414" s="2">
        <v>0.15</v>
      </c>
      <c r="AF414" s="2" t="str" cm="1">
        <f t="array" ref="AF414">_xlfn.IFS(AE414=0, "No Discount ", AE414&lt;=0.08,"Low Discount", AE414&lt;=0.16,"Medium Discount", AE414&gt;0.16, "High Discount")</f>
        <v>Medium Discount</v>
      </c>
      <c r="AG414" s="2">
        <v>179157</v>
      </c>
      <c r="AH414" s="2">
        <v>327.75</v>
      </c>
      <c r="AI414" s="2">
        <v>0.25</v>
      </c>
      <c r="AJ414" s="2" t="str" cm="1">
        <f t="array" ref="AJ414">_xlfn.IFS(AI414&lt;=0, "No Profit", AI414&lt;=0.16,"Low Profit",AI414&lt;=0.32,"Medium Profit",AI414&gt;0.32,"High Profit")</f>
        <v>Medium Profit</v>
      </c>
      <c r="AK414" s="2">
        <v>1</v>
      </c>
      <c r="AL414" s="2">
        <v>327.75</v>
      </c>
      <c r="AM414" s="2">
        <v>278.58999999999997</v>
      </c>
      <c r="AN414" s="2">
        <v>69.650000000000006</v>
      </c>
      <c r="AO414" s="2" t="s">
        <v>78</v>
      </c>
      <c r="AP414" s="2" t="s">
        <v>2181</v>
      </c>
      <c r="AQ414" s="2" t="s">
        <v>155</v>
      </c>
      <c r="AR414" s="2" t="s">
        <v>81</v>
      </c>
      <c r="AS414" s="2">
        <v>1360</v>
      </c>
      <c r="AT414" s="2">
        <v>73</v>
      </c>
      <c r="AU414" s="2" t="s">
        <v>82</v>
      </c>
      <c r="AV414" s="2">
        <v>327.75</v>
      </c>
      <c r="AW414" s="2">
        <v>0</v>
      </c>
      <c r="AX414" s="2" t="s">
        <v>2190</v>
      </c>
      <c r="AY414" s="2" t="s">
        <v>83</v>
      </c>
      <c r="AZ414" s="4">
        <v>43435</v>
      </c>
      <c r="BA414" s="5">
        <v>0.10277777777777777</v>
      </c>
      <c r="BB414" s="2">
        <v>2018</v>
      </c>
      <c r="BC414" s="2" t="s">
        <v>357</v>
      </c>
      <c r="BD414" s="2">
        <v>1</v>
      </c>
      <c r="BE414" s="4">
        <v>43115</v>
      </c>
      <c r="BF414" s="5">
        <v>0.10277777777777777</v>
      </c>
      <c r="BG414" s="2" t="str" cm="1">
        <f t="array" ref="BG414">_xlfn.IFS(BF414&lt;TIMEVALUE("06:00"),"Night", BF414&gt;=TIMEVALUE("21:00"),"Night",BF414&gt;=TIMEVALUE("17:00"),"Evening",BF414&gt;=TIMEVALUE("12:00"),"Afternoon", BF414&gt;=TIMEVALUE("06:00"),"Morning")</f>
        <v>Night</v>
      </c>
      <c r="BH414" s="2">
        <v>2018</v>
      </c>
      <c r="BI414" s="2" t="s">
        <v>84</v>
      </c>
      <c r="BJ414" s="2">
        <v>15</v>
      </c>
    </row>
    <row r="415" spans="1:62" x14ac:dyDescent="0.3">
      <c r="A415" s="2" t="s">
        <v>62</v>
      </c>
      <c r="B415" s="2">
        <v>2</v>
      </c>
      <c r="C415" s="2">
        <v>4</v>
      </c>
      <c r="D415" s="2">
        <v>134.9</v>
      </c>
      <c r="E415" s="2">
        <v>275.31</v>
      </c>
      <c r="F415" s="2" t="s">
        <v>63</v>
      </c>
      <c r="G415" s="2" t="s">
        <v>64</v>
      </c>
      <c r="H415" s="2">
        <v>73</v>
      </c>
      <c r="I415" s="2" t="s">
        <v>65</v>
      </c>
      <c r="J415" s="2" t="s">
        <v>110</v>
      </c>
      <c r="K415" s="2" t="s">
        <v>102</v>
      </c>
      <c r="L415" s="2" t="s">
        <v>2191</v>
      </c>
      <c r="M415" s="2">
        <v>19394</v>
      </c>
      <c r="N415" s="2" t="s">
        <v>2192</v>
      </c>
      <c r="O415" s="2" t="s">
        <v>113</v>
      </c>
      <c r="P415" s="2" t="s">
        <v>105</v>
      </c>
      <c r="Q415" s="2" t="s">
        <v>2193</v>
      </c>
      <c r="R415" s="2">
        <v>90042</v>
      </c>
      <c r="S415" s="2">
        <v>2</v>
      </c>
      <c r="T415" s="2" t="s">
        <v>73</v>
      </c>
      <c r="U415" s="2">
        <v>34.114364600000002</v>
      </c>
      <c r="V415" s="2">
        <v>-118.192482</v>
      </c>
      <c r="W415" s="2" t="s">
        <v>74</v>
      </c>
      <c r="X415" s="2" t="s">
        <v>2179</v>
      </c>
      <c r="Y415" s="2" t="s">
        <v>2180</v>
      </c>
      <c r="Z415" s="2">
        <v>19394</v>
      </c>
      <c r="AA415" s="3">
        <v>43435.088194444441</v>
      </c>
      <c r="AB415" s="2">
        <v>75841</v>
      </c>
      <c r="AC415" s="2">
        <v>1360</v>
      </c>
      <c r="AD415" s="2">
        <v>52.44</v>
      </c>
      <c r="AE415" s="2">
        <v>0.16</v>
      </c>
      <c r="AF415" s="2" t="str" cm="1">
        <f t="array" ref="AF415">_xlfn.IFS(AE415=0, "No Discount ", AE415&lt;=0.08,"Low Discount", AE415&lt;=0.16,"Medium Discount", AE415&gt;0.16, "High Discount")</f>
        <v>Medium Discount</v>
      </c>
      <c r="AG415" s="2">
        <v>179156</v>
      </c>
      <c r="AH415" s="2">
        <v>327.75</v>
      </c>
      <c r="AI415" s="2">
        <v>0.49</v>
      </c>
      <c r="AJ415" s="2" t="str" cm="1">
        <f t="array" ref="AJ415">_xlfn.IFS(AI415&lt;=0, "No Profit", AI415&lt;=0.16,"Low Profit",AI415&lt;=0.32,"Medium Profit",AI415&gt;0.32,"High Profit")</f>
        <v>High Profit</v>
      </c>
      <c r="AK415" s="2">
        <v>1</v>
      </c>
      <c r="AL415" s="2">
        <v>327.75</v>
      </c>
      <c r="AM415" s="2">
        <v>275.31</v>
      </c>
      <c r="AN415" s="2">
        <v>134.9</v>
      </c>
      <c r="AO415" s="2" t="s">
        <v>78</v>
      </c>
      <c r="AP415" s="2" t="s">
        <v>2181</v>
      </c>
      <c r="AQ415" s="2" t="s">
        <v>80</v>
      </c>
      <c r="AR415" s="2" t="s">
        <v>81</v>
      </c>
      <c r="AS415" s="2">
        <v>1360</v>
      </c>
      <c r="AT415" s="2">
        <v>73</v>
      </c>
      <c r="AU415" s="2" t="s">
        <v>82</v>
      </c>
      <c r="AV415" s="2">
        <v>327.75</v>
      </c>
      <c r="AW415" s="2">
        <v>0</v>
      </c>
      <c r="AX415" s="2" t="s">
        <v>2194</v>
      </c>
      <c r="AY415" s="2" t="s">
        <v>83</v>
      </c>
      <c r="AZ415" s="4">
        <v>43435</v>
      </c>
      <c r="BA415" s="5">
        <v>8.819444444444445E-2</v>
      </c>
      <c r="BB415" s="2">
        <v>2018</v>
      </c>
      <c r="BC415" s="2" t="s">
        <v>357</v>
      </c>
      <c r="BD415" s="2">
        <v>1</v>
      </c>
      <c r="BE415" s="4">
        <v>43114</v>
      </c>
      <c r="BF415" s="5">
        <v>8.819444444444445E-2</v>
      </c>
      <c r="BG415" s="2" t="str" cm="1">
        <f t="array" ref="BG415">_xlfn.IFS(BF415&lt;TIMEVALUE("06:00"),"Night", BF415&gt;=TIMEVALUE("21:00"),"Night",BF415&gt;=TIMEVALUE("17:00"),"Evening",BF415&gt;=TIMEVALUE("12:00"),"Afternoon", BF415&gt;=TIMEVALUE("06:00"),"Morning")</f>
        <v>Night</v>
      </c>
      <c r="BH415" s="2">
        <v>2018</v>
      </c>
      <c r="BI415" s="2" t="s">
        <v>84</v>
      </c>
      <c r="BJ415" s="2">
        <v>14</v>
      </c>
    </row>
    <row r="416" spans="1:62" x14ac:dyDescent="0.3">
      <c r="A416" s="2" t="s">
        <v>99</v>
      </c>
      <c r="B416" s="2">
        <v>6</v>
      </c>
      <c r="C416" s="2">
        <v>2</v>
      </c>
      <c r="D416" s="2">
        <v>-199.4</v>
      </c>
      <c r="E416" s="2">
        <v>272.02999999999997</v>
      </c>
      <c r="F416" s="2" t="s">
        <v>87</v>
      </c>
      <c r="G416" s="2" t="s">
        <v>88</v>
      </c>
      <c r="H416" s="2">
        <v>73</v>
      </c>
      <c r="I416" s="2" t="s">
        <v>65</v>
      </c>
      <c r="J416" s="2" t="s">
        <v>66</v>
      </c>
      <c r="K416" s="2" t="s">
        <v>67</v>
      </c>
      <c r="L416" s="2" t="s">
        <v>2195</v>
      </c>
      <c r="M416" s="2">
        <v>19393</v>
      </c>
      <c r="N416" s="2" t="s">
        <v>2196</v>
      </c>
      <c r="O416" s="2" t="s">
        <v>113</v>
      </c>
      <c r="P416" s="2" t="s">
        <v>71</v>
      </c>
      <c r="Q416" s="2" t="s">
        <v>2197</v>
      </c>
      <c r="R416" s="2">
        <v>725</v>
      </c>
      <c r="S416" s="2">
        <v>2</v>
      </c>
      <c r="T416" s="2" t="s">
        <v>73</v>
      </c>
      <c r="U416" s="2">
        <v>18.234483699999998</v>
      </c>
      <c r="V416" s="2">
        <v>-66.037063599999996</v>
      </c>
      <c r="W416" s="2" t="s">
        <v>74</v>
      </c>
      <c r="X416" s="2" t="s">
        <v>2198</v>
      </c>
      <c r="Y416" s="2" t="s">
        <v>143</v>
      </c>
      <c r="Z416" s="2">
        <v>19393</v>
      </c>
      <c r="AA416" s="3">
        <v>43435.073611111111</v>
      </c>
      <c r="AB416" s="2">
        <v>75840</v>
      </c>
      <c r="AC416" s="2">
        <v>1360</v>
      </c>
      <c r="AD416" s="2">
        <v>55.72</v>
      </c>
      <c r="AE416" s="2">
        <v>0.17</v>
      </c>
      <c r="AF416" s="2" t="str" cm="1">
        <f t="array" ref="AF416">_xlfn.IFS(AE416=0, "No Discount ", AE416&lt;=0.08,"Low Discount", AE416&lt;=0.16,"Medium Discount", AE416&gt;0.16, "High Discount")</f>
        <v>High Discount</v>
      </c>
      <c r="AG416" s="2">
        <v>179155</v>
      </c>
      <c r="AH416" s="2">
        <v>327.75</v>
      </c>
      <c r="AI416" s="2">
        <v>-0.73</v>
      </c>
      <c r="AJ416" s="2" t="str" cm="1">
        <f t="array" ref="AJ416">_xlfn.IFS(AI416&lt;=0, "No Profit", AI416&lt;=0.16,"Low Profit",AI416&lt;=0.32,"Medium Profit",AI416&gt;0.32,"High Profit")</f>
        <v>No Profit</v>
      </c>
      <c r="AK416" s="2">
        <v>1</v>
      </c>
      <c r="AL416" s="2">
        <v>327.75</v>
      </c>
      <c r="AM416" s="2">
        <v>272.02999999999997</v>
      </c>
      <c r="AN416" s="2">
        <v>-199.4</v>
      </c>
      <c r="AO416" s="2" t="s">
        <v>145</v>
      </c>
      <c r="AP416" s="2" t="s">
        <v>1479</v>
      </c>
      <c r="AQ416" s="2" t="s">
        <v>108</v>
      </c>
      <c r="AR416" s="2" t="s">
        <v>81</v>
      </c>
      <c r="AS416" s="2">
        <v>1360</v>
      </c>
      <c r="AT416" s="2">
        <v>73</v>
      </c>
      <c r="AU416" s="2" t="s">
        <v>82</v>
      </c>
      <c r="AV416" s="2">
        <v>327.75</v>
      </c>
      <c r="AW416" s="2">
        <v>0</v>
      </c>
      <c r="AX416" s="2" t="s">
        <v>2199</v>
      </c>
      <c r="AY416" s="2" t="s">
        <v>162</v>
      </c>
      <c r="AZ416" s="4">
        <v>43435</v>
      </c>
      <c r="BA416" s="5">
        <v>7.3611111111111113E-2</v>
      </c>
      <c r="BB416" s="2">
        <v>2018</v>
      </c>
      <c r="BC416" s="2" t="s">
        <v>357</v>
      </c>
      <c r="BD416" s="2">
        <v>1</v>
      </c>
      <c r="BE416" s="4">
        <v>43118</v>
      </c>
      <c r="BF416" s="5">
        <v>7.3611111111111113E-2</v>
      </c>
      <c r="BG416" s="2" t="str" cm="1">
        <f t="array" ref="BG416">_xlfn.IFS(BF416&lt;TIMEVALUE("06:00"),"Night", BF416&gt;=TIMEVALUE("21:00"),"Night",BF416&gt;=TIMEVALUE("17:00"),"Evening",BF416&gt;=TIMEVALUE("12:00"),"Afternoon", BF416&gt;=TIMEVALUE("06:00"),"Morning")</f>
        <v>Night</v>
      </c>
      <c r="BH416" s="2">
        <v>2018</v>
      </c>
      <c r="BI416" s="2" t="s">
        <v>84</v>
      </c>
      <c r="BJ416" s="2">
        <v>18</v>
      </c>
    </row>
    <row r="417" spans="1:62" x14ac:dyDescent="0.3">
      <c r="A417" s="2" t="s">
        <v>86</v>
      </c>
      <c r="B417" s="2">
        <v>5</v>
      </c>
      <c r="C417" s="2">
        <v>2</v>
      </c>
      <c r="D417" s="2">
        <v>-215</v>
      </c>
      <c r="E417" s="2">
        <v>268.76</v>
      </c>
      <c r="F417" s="2" t="s">
        <v>87</v>
      </c>
      <c r="G417" s="2" t="s">
        <v>88</v>
      </c>
      <c r="H417" s="2">
        <v>73</v>
      </c>
      <c r="I417" s="2" t="s">
        <v>65</v>
      </c>
      <c r="J417" s="2" t="s">
        <v>2200</v>
      </c>
      <c r="K417" s="2" t="s">
        <v>102</v>
      </c>
      <c r="L417" s="2" t="s">
        <v>2201</v>
      </c>
      <c r="M417" s="2">
        <v>19392</v>
      </c>
      <c r="N417" s="2" t="s">
        <v>2202</v>
      </c>
      <c r="O417" s="2" t="s">
        <v>113</v>
      </c>
      <c r="P417" s="2" t="s">
        <v>380</v>
      </c>
      <c r="Q417" s="2" t="s">
        <v>2203</v>
      </c>
      <c r="R417" s="2">
        <v>30075</v>
      </c>
      <c r="S417" s="2">
        <v>2</v>
      </c>
      <c r="T417" s="2" t="s">
        <v>73</v>
      </c>
      <c r="U417" s="2">
        <v>34.025669100000002</v>
      </c>
      <c r="V417" s="2">
        <v>-84.357421900000006</v>
      </c>
      <c r="W417" s="2" t="s">
        <v>74</v>
      </c>
      <c r="X417" s="2" t="s">
        <v>2198</v>
      </c>
      <c r="Y417" s="2" t="s">
        <v>143</v>
      </c>
      <c r="Z417" s="2">
        <v>19392</v>
      </c>
      <c r="AA417" s="3">
        <v>43435.059027777781</v>
      </c>
      <c r="AB417" s="2">
        <v>75839</v>
      </c>
      <c r="AC417" s="2">
        <v>1360</v>
      </c>
      <c r="AD417" s="2">
        <v>59</v>
      </c>
      <c r="AE417" s="2">
        <v>0.18</v>
      </c>
      <c r="AF417" s="2" t="str" cm="1">
        <f t="array" ref="AF417">_xlfn.IFS(AE417=0, "No Discount ", AE417&lt;=0.08,"Low Discount", AE417&lt;=0.16,"Medium Discount", AE417&gt;0.16, "High Discount")</f>
        <v>High Discount</v>
      </c>
      <c r="AG417" s="2">
        <v>179154</v>
      </c>
      <c r="AH417" s="2">
        <v>327.75</v>
      </c>
      <c r="AI417" s="2">
        <v>-0.8</v>
      </c>
      <c r="AJ417" s="2" t="str" cm="1">
        <f t="array" ref="AJ417">_xlfn.IFS(AI417&lt;=0, "No Profit", AI417&lt;=0.16,"Low Profit",AI417&lt;=0.32,"Medium Profit",AI417&gt;0.32,"High Profit")</f>
        <v>No Profit</v>
      </c>
      <c r="AK417" s="2">
        <v>1</v>
      </c>
      <c r="AL417" s="2">
        <v>327.75</v>
      </c>
      <c r="AM417" s="2">
        <v>268.76</v>
      </c>
      <c r="AN417" s="2">
        <v>-215</v>
      </c>
      <c r="AO417" s="2" t="s">
        <v>145</v>
      </c>
      <c r="AP417" s="2" t="s">
        <v>1479</v>
      </c>
      <c r="AQ417" s="2" t="s">
        <v>155</v>
      </c>
      <c r="AR417" s="2" t="s">
        <v>81</v>
      </c>
      <c r="AS417" s="2">
        <v>1360</v>
      </c>
      <c r="AT417" s="2">
        <v>73</v>
      </c>
      <c r="AU417" s="2" t="s">
        <v>82</v>
      </c>
      <c r="AV417" s="2">
        <v>327.75</v>
      </c>
      <c r="AW417" s="2">
        <v>0</v>
      </c>
      <c r="AX417" s="2" t="s">
        <v>2204</v>
      </c>
      <c r="AY417" s="2" t="s">
        <v>162</v>
      </c>
      <c r="AZ417" s="4">
        <v>43435</v>
      </c>
      <c r="BA417" s="5">
        <v>5.9027777777777776E-2</v>
      </c>
      <c r="BB417" s="2">
        <v>2018</v>
      </c>
      <c r="BC417" s="2" t="s">
        <v>357</v>
      </c>
      <c r="BD417" s="2">
        <v>1</v>
      </c>
      <c r="BE417" s="4">
        <v>43117</v>
      </c>
      <c r="BF417" s="5">
        <v>5.9027777777777776E-2</v>
      </c>
      <c r="BG417" s="2" t="str" cm="1">
        <f t="array" ref="BG417">_xlfn.IFS(BF417&lt;TIMEVALUE("06:00"),"Night", BF417&gt;=TIMEVALUE("21:00"),"Night",BF417&gt;=TIMEVALUE("17:00"),"Evening",BF417&gt;=TIMEVALUE("12:00"),"Afternoon", BF417&gt;=TIMEVALUE("06:00"),"Morning")</f>
        <v>Night</v>
      </c>
      <c r="BH417" s="2">
        <v>2018</v>
      </c>
      <c r="BI417" s="2" t="s">
        <v>84</v>
      </c>
      <c r="BJ417" s="2">
        <v>17</v>
      </c>
    </row>
    <row r="418" spans="1:62" x14ac:dyDescent="0.3">
      <c r="A418" s="2" t="s">
        <v>121</v>
      </c>
      <c r="B418" s="2">
        <v>2</v>
      </c>
      <c r="C418" s="2">
        <v>1</v>
      </c>
      <c r="D418" s="2">
        <v>82.07</v>
      </c>
      <c r="E418" s="2">
        <v>262.2</v>
      </c>
      <c r="F418" s="2" t="s">
        <v>87</v>
      </c>
      <c r="G418" s="2" t="s">
        <v>88</v>
      </c>
      <c r="H418" s="2">
        <v>73</v>
      </c>
      <c r="I418" s="2" t="s">
        <v>65</v>
      </c>
      <c r="J418" s="2" t="s">
        <v>66</v>
      </c>
      <c r="K418" s="2" t="s">
        <v>67</v>
      </c>
      <c r="L418" s="2" t="s">
        <v>1562</v>
      </c>
      <c r="M418" s="2">
        <v>19391</v>
      </c>
      <c r="N418" s="2" t="s">
        <v>2205</v>
      </c>
      <c r="O418" s="2" t="s">
        <v>124</v>
      </c>
      <c r="P418" s="2" t="s">
        <v>71</v>
      </c>
      <c r="Q418" s="2" t="s">
        <v>2206</v>
      </c>
      <c r="R418" s="2">
        <v>725</v>
      </c>
      <c r="S418" s="2">
        <v>2</v>
      </c>
      <c r="T418" s="2" t="s">
        <v>73</v>
      </c>
      <c r="U418" s="2">
        <v>18.272659300000001</v>
      </c>
      <c r="V418" s="2">
        <v>-66.037056000000007</v>
      </c>
      <c r="W418" s="2" t="s">
        <v>74</v>
      </c>
      <c r="X418" s="2" t="s">
        <v>2207</v>
      </c>
      <c r="Y418" s="2" t="s">
        <v>215</v>
      </c>
      <c r="Z418" s="2">
        <v>19391</v>
      </c>
      <c r="AA418" s="3">
        <v>43435.044444444444</v>
      </c>
      <c r="AB418" s="2">
        <v>75838</v>
      </c>
      <c r="AC418" s="2">
        <v>1360</v>
      </c>
      <c r="AD418" s="2">
        <v>65.55</v>
      </c>
      <c r="AE418" s="2">
        <v>0.2</v>
      </c>
      <c r="AF418" s="2" t="str" cm="1">
        <f t="array" ref="AF418">_xlfn.IFS(AE418=0, "No Discount ", AE418&lt;=0.08,"Low Discount", AE418&lt;=0.16,"Medium Discount", AE418&gt;0.16, "High Discount")</f>
        <v>High Discount</v>
      </c>
      <c r="AG418" s="2">
        <v>179153</v>
      </c>
      <c r="AH418" s="2">
        <v>327.75</v>
      </c>
      <c r="AI418" s="2">
        <v>0.31</v>
      </c>
      <c r="AJ418" s="2" t="str" cm="1">
        <f t="array" ref="AJ418">_xlfn.IFS(AI418&lt;=0, "No Profit", AI418&lt;=0.16,"Low Profit",AI418&lt;=0.32,"Medium Profit",AI418&gt;0.32,"High Profit")</f>
        <v>Medium Profit</v>
      </c>
      <c r="AK418" s="2">
        <v>1</v>
      </c>
      <c r="AL418" s="2">
        <v>327.75</v>
      </c>
      <c r="AM418" s="2">
        <v>262.2</v>
      </c>
      <c r="AN418" s="2">
        <v>82.07</v>
      </c>
      <c r="AO418" s="2" t="s">
        <v>145</v>
      </c>
      <c r="AP418" s="2" t="s">
        <v>2207</v>
      </c>
      <c r="AQ418" s="2" t="s">
        <v>127</v>
      </c>
      <c r="AR418" s="2" t="s">
        <v>81</v>
      </c>
      <c r="AS418" s="2">
        <v>1360</v>
      </c>
      <c r="AT418" s="2">
        <v>73</v>
      </c>
      <c r="AU418" s="2" t="s">
        <v>82</v>
      </c>
      <c r="AV418" s="2">
        <v>327.75</v>
      </c>
      <c r="AW418" s="2">
        <v>0</v>
      </c>
      <c r="AX418" s="2" t="s">
        <v>2208</v>
      </c>
      <c r="AY418" s="2" t="s">
        <v>148</v>
      </c>
      <c r="AZ418" s="4">
        <v>43435</v>
      </c>
      <c r="BA418" s="5">
        <v>4.4444444444444446E-2</v>
      </c>
      <c r="BB418" s="2">
        <v>2018</v>
      </c>
      <c r="BC418" s="2" t="s">
        <v>357</v>
      </c>
      <c r="BD418" s="2">
        <v>1</v>
      </c>
      <c r="BE418" s="4">
        <v>43114</v>
      </c>
      <c r="BF418" s="5">
        <v>4.4444444444444446E-2</v>
      </c>
      <c r="BG418" s="2" t="str" cm="1">
        <f t="array" ref="BG418">_xlfn.IFS(BF418&lt;TIMEVALUE("06:00"),"Night", BF418&gt;=TIMEVALUE("21:00"),"Night",BF418&gt;=TIMEVALUE("17:00"),"Evening",BF418&gt;=TIMEVALUE("12:00"),"Afternoon", BF418&gt;=TIMEVALUE("06:00"),"Morning")</f>
        <v>Night</v>
      </c>
      <c r="BH418" s="2">
        <v>2018</v>
      </c>
      <c r="BI418" s="2" t="s">
        <v>84</v>
      </c>
      <c r="BJ418" s="2">
        <v>14</v>
      </c>
    </row>
    <row r="419" spans="1:62" x14ac:dyDescent="0.3">
      <c r="A419" s="2" t="s">
        <v>99</v>
      </c>
      <c r="B419" s="2">
        <v>2</v>
      </c>
      <c r="C419" s="2">
        <v>1</v>
      </c>
      <c r="D419" s="2">
        <v>76.94</v>
      </c>
      <c r="E419" s="2">
        <v>245.81</v>
      </c>
      <c r="F419" s="2" t="s">
        <v>87</v>
      </c>
      <c r="G419" s="2" t="s">
        <v>88</v>
      </c>
      <c r="H419" s="2">
        <v>73</v>
      </c>
      <c r="I419" s="2" t="s">
        <v>65</v>
      </c>
      <c r="J419" s="2" t="s">
        <v>2209</v>
      </c>
      <c r="K419" s="2" t="s">
        <v>102</v>
      </c>
      <c r="L419" s="2" t="s">
        <v>2210</v>
      </c>
      <c r="M419" s="2">
        <v>19390</v>
      </c>
      <c r="N419" s="2" t="s">
        <v>1305</v>
      </c>
      <c r="O419" s="2" t="s">
        <v>113</v>
      </c>
      <c r="P419" s="2" t="s">
        <v>294</v>
      </c>
      <c r="Q419" s="2" t="s">
        <v>2211</v>
      </c>
      <c r="R419" s="2">
        <v>48197</v>
      </c>
      <c r="S419" s="2">
        <v>2</v>
      </c>
      <c r="T419" s="2" t="s">
        <v>73</v>
      </c>
      <c r="U419" s="2">
        <v>42.243988000000002</v>
      </c>
      <c r="V419" s="2">
        <v>-83.619911200000004</v>
      </c>
      <c r="W419" s="2" t="s">
        <v>74</v>
      </c>
      <c r="X419" s="2" t="s">
        <v>1442</v>
      </c>
      <c r="Y419" s="2" t="s">
        <v>1443</v>
      </c>
      <c r="Z419" s="2">
        <v>19390</v>
      </c>
      <c r="AA419" s="3">
        <v>43435.029861111114</v>
      </c>
      <c r="AB419" s="2">
        <v>75837</v>
      </c>
      <c r="AC419" s="2">
        <v>1360</v>
      </c>
      <c r="AD419" s="2">
        <v>81.94</v>
      </c>
      <c r="AE419" s="2">
        <v>0.25</v>
      </c>
      <c r="AF419" s="2" t="str" cm="1">
        <f t="array" ref="AF419">_xlfn.IFS(AE419=0, "No Discount ", AE419&lt;=0.08,"Low Discount", AE419&lt;=0.16,"Medium Discount", AE419&gt;0.16, "High Discount")</f>
        <v>High Discount</v>
      </c>
      <c r="AG419" s="2">
        <v>179152</v>
      </c>
      <c r="AH419" s="2">
        <v>327.75</v>
      </c>
      <c r="AI419" s="2">
        <v>0.31</v>
      </c>
      <c r="AJ419" s="2" t="str" cm="1">
        <f t="array" ref="AJ419">_xlfn.IFS(AI419&lt;=0, "No Profit", AI419&lt;=0.16,"Low Profit",AI419&lt;=0.32,"Medium Profit",AI419&gt;0.32,"High Profit")</f>
        <v>Medium Profit</v>
      </c>
      <c r="AK419" s="2">
        <v>1</v>
      </c>
      <c r="AL419" s="2">
        <v>327.75</v>
      </c>
      <c r="AM419" s="2">
        <v>245.81</v>
      </c>
      <c r="AN419" s="2">
        <v>76.94</v>
      </c>
      <c r="AO419" s="2" t="s">
        <v>78</v>
      </c>
      <c r="AP419" s="2" t="s">
        <v>1445</v>
      </c>
      <c r="AQ419" s="2" t="s">
        <v>108</v>
      </c>
      <c r="AR419" s="2" t="s">
        <v>81</v>
      </c>
      <c r="AS419" s="2">
        <v>1360</v>
      </c>
      <c r="AT419" s="2">
        <v>73</v>
      </c>
      <c r="AU419" s="2" t="s">
        <v>82</v>
      </c>
      <c r="AV419" s="2">
        <v>327.75</v>
      </c>
      <c r="AW419" s="2">
        <v>0</v>
      </c>
      <c r="AX419" s="2" t="s">
        <v>2212</v>
      </c>
      <c r="AY419" s="2" t="s">
        <v>148</v>
      </c>
      <c r="AZ419" s="4">
        <v>43435</v>
      </c>
      <c r="BA419" s="5">
        <v>2.9861111111111113E-2</v>
      </c>
      <c r="BB419" s="2">
        <v>2018</v>
      </c>
      <c r="BC419" s="2" t="s">
        <v>357</v>
      </c>
      <c r="BD419" s="2">
        <v>1</v>
      </c>
      <c r="BE419" s="4">
        <v>43114</v>
      </c>
      <c r="BF419" s="5">
        <v>2.9861111111111113E-2</v>
      </c>
      <c r="BG419" s="2" t="str" cm="1">
        <f t="array" ref="BG419">_xlfn.IFS(BF419&lt;TIMEVALUE("06:00"),"Night", BF419&gt;=TIMEVALUE("21:00"),"Night",BF419&gt;=TIMEVALUE("17:00"),"Evening",BF419&gt;=TIMEVALUE("12:00"),"Afternoon", BF419&gt;=TIMEVALUE("06:00"),"Morning")</f>
        <v>Night</v>
      </c>
      <c r="BH419" s="2">
        <v>2018</v>
      </c>
      <c r="BI419" s="2" t="s">
        <v>84</v>
      </c>
      <c r="BJ419" s="2">
        <v>14</v>
      </c>
    </row>
    <row r="420" spans="1:62" x14ac:dyDescent="0.3">
      <c r="A420" s="2" t="s">
        <v>99</v>
      </c>
      <c r="B420" s="2">
        <v>2</v>
      </c>
      <c r="C420" s="2">
        <v>2</v>
      </c>
      <c r="D420" s="2">
        <v>-540.79</v>
      </c>
      <c r="E420" s="2">
        <v>327.75</v>
      </c>
      <c r="F420" s="2" t="s">
        <v>100</v>
      </c>
      <c r="G420" s="2" t="s">
        <v>64</v>
      </c>
      <c r="H420" s="2">
        <v>73</v>
      </c>
      <c r="I420" s="2" t="s">
        <v>65</v>
      </c>
      <c r="J420" s="2" t="s">
        <v>1832</v>
      </c>
      <c r="K420" s="2" t="s">
        <v>102</v>
      </c>
      <c r="L420" s="2" t="s">
        <v>2213</v>
      </c>
      <c r="M420" s="2">
        <v>19389</v>
      </c>
      <c r="N420" s="2" t="s">
        <v>2214</v>
      </c>
      <c r="O420" s="2" t="s">
        <v>124</v>
      </c>
      <c r="P420" s="2" t="s">
        <v>133</v>
      </c>
      <c r="Q420" s="2" t="s">
        <v>2215</v>
      </c>
      <c r="R420" s="2">
        <v>11218</v>
      </c>
      <c r="S420" s="2">
        <v>2</v>
      </c>
      <c r="T420" s="2" t="s">
        <v>73</v>
      </c>
      <c r="U420" s="2">
        <v>40.640594499999999</v>
      </c>
      <c r="V420" s="2">
        <v>-73.975189200000003</v>
      </c>
      <c r="W420" s="2" t="s">
        <v>74</v>
      </c>
      <c r="X420" s="2" t="s">
        <v>1442</v>
      </c>
      <c r="Y420" s="2" t="s">
        <v>1443</v>
      </c>
      <c r="Z420" s="2">
        <v>19389</v>
      </c>
      <c r="AA420" s="3">
        <v>43435.015277777777</v>
      </c>
      <c r="AB420" s="2">
        <v>75836</v>
      </c>
      <c r="AC420" s="2">
        <v>1360</v>
      </c>
      <c r="AD420" s="2">
        <v>0</v>
      </c>
      <c r="AE420" s="2">
        <v>0</v>
      </c>
      <c r="AF420" s="2" t="str" cm="1">
        <f t="array" ref="AF420">_xlfn.IFS(AE420=0, "No Discount ", AE420&lt;=0.08,"Low Discount", AE420&lt;=0.16,"Medium Discount", AE420&gt;0.16, "High Discount")</f>
        <v xml:space="preserve">No Discount </v>
      </c>
      <c r="AG420" s="2">
        <v>179151</v>
      </c>
      <c r="AH420" s="2">
        <v>327.75</v>
      </c>
      <c r="AI420" s="2">
        <v>-1.65</v>
      </c>
      <c r="AJ420" s="2" t="str" cm="1">
        <f t="array" ref="AJ420">_xlfn.IFS(AI420&lt;=0, "No Profit", AI420&lt;=0.16,"Low Profit",AI420&lt;=0.32,"Medium Profit",AI420&gt;0.32,"High Profit")</f>
        <v>No Profit</v>
      </c>
      <c r="AK420" s="2">
        <v>1</v>
      </c>
      <c r="AL420" s="2">
        <v>327.75</v>
      </c>
      <c r="AM420" s="2">
        <v>327.75</v>
      </c>
      <c r="AN420" s="2">
        <v>-540.79</v>
      </c>
      <c r="AO420" s="2" t="s">
        <v>78</v>
      </c>
      <c r="AP420" s="2" t="s">
        <v>1445</v>
      </c>
      <c r="AQ420" s="2" t="s">
        <v>108</v>
      </c>
      <c r="AR420" s="2" t="s">
        <v>81</v>
      </c>
      <c r="AS420" s="2">
        <v>1360</v>
      </c>
      <c r="AT420" s="2">
        <v>73</v>
      </c>
      <c r="AU420" s="2" t="s">
        <v>82</v>
      </c>
      <c r="AV420" s="2">
        <v>327.75</v>
      </c>
      <c r="AW420" s="2">
        <v>0</v>
      </c>
      <c r="AX420" s="2" t="s">
        <v>2216</v>
      </c>
      <c r="AY420" s="2" t="s">
        <v>162</v>
      </c>
      <c r="AZ420" s="4">
        <v>43435</v>
      </c>
      <c r="BA420" s="5">
        <v>1.5277777777777777E-2</v>
      </c>
      <c r="BB420" s="2">
        <v>2018</v>
      </c>
      <c r="BC420" s="2" t="s">
        <v>357</v>
      </c>
      <c r="BD420" s="2">
        <v>1</v>
      </c>
      <c r="BE420" s="4">
        <v>43114</v>
      </c>
      <c r="BF420" s="5">
        <v>1.5277777777777777E-2</v>
      </c>
      <c r="BG420" s="2" t="str" cm="1">
        <f t="array" ref="BG420">_xlfn.IFS(BF420&lt;TIMEVALUE("06:00"),"Night", BF420&gt;=TIMEVALUE("21:00"),"Night",BF420&gt;=TIMEVALUE("17:00"),"Evening",BF420&gt;=TIMEVALUE("12:00"),"Afternoon", BF420&gt;=TIMEVALUE("06:00"),"Morning")</f>
        <v>Night</v>
      </c>
      <c r="BH420" s="2">
        <v>2018</v>
      </c>
      <c r="BI420" s="2" t="s">
        <v>84</v>
      </c>
      <c r="BJ420" s="2">
        <v>14</v>
      </c>
    </row>
    <row r="421" spans="1:62" x14ac:dyDescent="0.3">
      <c r="A421" s="2" t="s">
        <v>62</v>
      </c>
      <c r="B421" s="2">
        <v>6</v>
      </c>
      <c r="C421" s="2">
        <v>2</v>
      </c>
      <c r="D421" s="2">
        <v>-146.01</v>
      </c>
      <c r="E421" s="2">
        <v>324.47000000000003</v>
      </c>
      <c r="F421" s="2" t="s">
        <v>87</v>
      </c>
      <c r="G421" s="2" t="s">
        <v>88</v>
      </c>
      <c r="H421" s="2">
        <v>73</v>
      </c>
      <c r="I421" s="2" t="s">
        <v>65</v>
      </c>
      <c r="J421" s="2" t="s">
        <v>66</v>
      </c>
      <c r="K421" s="2" t="s">
        <v>67</v>
      </c>
      <c r="L421" s="2" t="s">
        <v>2217</v>
      </c>
      <c r="M421" s="2">
        <v>19388</v>
      </c>
      <c r="N421" s="2" t="s">
        <v>2218</v>
      </c>
      <c r="O421" s="2" t="s">
        <v>124</v>
      </c>
      <c r="P421" s="2" t="s">
        <v>71</v>
      </c>
      <c r="Q421" s="2" t="s">
        <v>2219</v>
      </c>
      <c r="R421" s="2">
        <v>725</v>
      </c>
      <c r="S421" s="2">
        <v>2</v>
      </c>
      <c r="T421" s="2" t="s">
        <v>73</v>
      </c>
      <c r="U421" s="2">
        <v>18.2886715</v>
      </c>
      <c r="V421" s="2">
        <v>-66.037063599999996</v>
      </c>
      <c r="W421" s="2" t="s">
        <v>74</v>
      </c>
      <c r="X421" s="2" t="s">
        <v>2220</v>
      </c>
      <c r="Y421" s="2" t="s">
        <v>93</v>
      </c>
      <c r="Z421" s="2">
        <v>19388</v>
      </c>
      <c r="AA421" s="3">
        <v>43435.000694444447</v>
      </c>
      <c r="AB421" s="2">
        <v>75835</v>
      </c>
      <c r="AC421" s="2">
        <v>1360</v>
      </c>
      <c r="AD421" s="2">
        <v>3.28</v>
      </c>
      <c r="AE421" s="2">
        <v>0.01</v>
      </c>
      <c r="AF421" s="2" t="str" cm="1">
        <f t="array" ref="AF421">_xlfn.IFS(AE421=0, "No Discount ", AE421&lt;=0.08,"Low Discount", AE421&lt;=0.16,"Medium Discount", AE421&gt;0.16, "High Discount")</f>
        <v>Low Discount</v>
      </c>
      <c r="AG421" s="2">
        <v>179150</v>
      </c>
      <c r="AH421" s="2">
        <v>327.75</v>
      </c>
      <c r="AI421" s="2">
        <v>-0.45</v>
      </c>
      <c r="AJ421" s="2" t="str" cm="1">
        <f t="array" ref="AJ421">_xlfn.IFS(AI421&lt;=0, "No Profit", AI421&lt;=0.16,"Low Profit",AI421&lt;=0.32,"Medium Profit",AI421&gt;0.32,"High Profit")</f>
        <v>No Profit</v>
      </c>
      <c r="AK421" s="2">
        <v>1</v>
      </c>
      <c r="AL421" s="2">
        <v>327.75</v>
      </c>
      <c r="AM421" s="2">
        <v>324.47000000000003</v>
      </c>
      <c r="AN421" s="2">
        <v>-146.01</v>
      </c>
      <c r="AO421" s="2" t="s">
        <v>95</v>
      </c>
      <c r="AP421" s="2" t="s">
        <v>1521</v>
      </c>
      <c r="AQ421" s="2" t="s">
        <v>80</v>
      </c>
      <c r="AR421" s="2" t="s">
        <v>81</v>
      </c>
      <c r="AS421" s="2">
        <v>1360</v>
      </c>
      <c r="AT421" s="2">
        <v>73</v>
      </c>
      <c r="AU421" s="2" t="s">
        <v>82</v>
      </c>
      <c r="AV421" s="2">
        <v>327.75</v>
      </c>
      <c r="AW421" s="2">
        <v>0</v>
      </c>
      <c r="AX421" s="2" t="s">
        <v>2221</v>
      </c>
      <c r="AY421" s="2" t="s">
        <v>162</v>
      </c>
      <c r="AZ421" s="4">
        <v>43435</v>
      </c>
      <c r="BA421" s="5">
        <v>6.9444444444444447E-4</v>
      </c>
      <c r="BB421" s="2">
        <v>2018</v>
      </c>
      <c r="BC421" s="2" t="s">
        <v>357</v>
      </c>
      <c r="BD421" s="2">
        <v>1</v>
      </c>
      <c r="BE421" s="4">
        <v>43118</v>
      </c>
      <c r="BF421" s="5">
        <v>6.9444444444444447E-4</v>
      </c>
      <c r="BG421" s="2" t="str" cm="1">
        <f t="array" ref="BG421">_xlfn.IFS(BF421&lt;TIMEVALUE("06:00"),"Night", BF421&gt;=TIMEVALUE("21:00"),"Night",BF421&gt;=TIMEVALUE("17:00"),"Evening",BF421&gt;=TIMEVALUE("12:00"),"Afternoon", BF421&gt;=TIMEVALUE("06:00"),"Morning")</f>
        <v>Night</v>
      </c>
      <c r="BH421" s="2">
        <v>2018</v>
      </c>
      <c r="BI421" s="2" t="s">
        <v>84</v>
      </c>
      <c r="BJ421" s="2">
        <v>18</v>
      </c>
    </row>
    <row r="422" spans="1:62" x14ac:dyDescent="0.3">
      <c r="A422" s="2" t="s">
        <v>121</v>
      </c>
      <c r="B422" s="2">
        <v>5</v>
      </c>
      <c r="C422" s="2">
        <v>2</v>
      </c>
      <c r="D422" s="2">
        <v>93.15</v>
      </c>
      <c r="E422" s="2">
        <v>321.2</v>
      </c>
      <c r="F422" s="2" t="s">
        <v>87</v>
      </c>
      <c r="G422" s="2" t="s">
        <v>88</v>
      </c>
      <c r="H422" s="2">
        <v>73</v>
      </c>
      <c r="I422" s="2" t="s">
        <v>65</v>
      </c>
      <c r="J422" s="2" t="s">
        <v>1119</v>
      </c>
      <c r="K422" s="2" t="s">
        <v>102</v>
      </c>
      <c r="L422" s="2" t="s">
        <v>2222</v>
      </c>
      <c r="M422" s="2">
        <v>19387</v>
      </c>
      <c r="N422" s="2" t="s">
        <v>2223</v>
      </c>
      <c r="O422" s="2" t="s">
        <v>124</v>
      </c>
      <c r="P422" s="2" t="s">
        <v>1254</v>
      </c>
      <c r="Q422" s="2" t="s">
        <v>2224</v>
      </c>
      <c r="R422" s="2">
        <v>85345</v>
      </c>
      <c r="S422" s="2">
        <v>2</v>
      </c>
      <c r="T422" s="2" t="s">
        <v>73</v>
      </c>
      <c r="U422" s="2">
        <v>33.578731500000004</v>
      </c>
      <c r="V422" s="2">
        <v>-112.266098</v>
      </c>
      <c r="W422" s="2" t="s">
        <v>74</v>
      </c>
      <c r="X422" s="2" t="s">
        <v>2220</v>
      </c>
      <c r="Y422" s="2" t="s">
        <v>93</v>
      </c>
      <c r="Z422" s="2">
        <v>19387</v>
      </c>
      <c r="AA422" s="3">
        <v>43405.986111111109</v>
      </c>
      <c r="AB422" s="2">
        <v>75834</v>
      </c>
      <c r="AC422" s="2">
        <v>1360</v>
      </c>
      <c r="AD422" s="2">
        <v>6.56</v>
      </c>
      <c r="AE422" s="2">
        <v>0.02</v>
      </c>
      <c r="AF422" s="2" t="str" cm="1">
        <f t="array" ref="AF422">_xlfn.IFS(AE422=0, "No Discount ", AE422&lt;=0.08,"Low Discount", AE422&lt;=0.16,"Medium Discount", AE422&gt;0.16, "High Discount")</f>
        <v>Low Discount</v>
      </c>
      <c r="AG422" s="2">
        <v>179149</v>
      </c>
      <c r="AH422" s="2">
        <v>327.75</v>
      </c>
      <c r="AI422" s="2">
        <v>0.28999999999999998</v>
      </c>
      <c r="AJ422" s="2" t="str" cm="1">
        <f t="array" ref="AJ422">_xlfn.IFS(AI422&lt;=0, "No Profit", AI422&lt;=0.16,"Low Profit",AI422&lt;=0.32,"Medium Profit",AI422&gt;0.32,"High Profit")</f>
        <v>Medium Profit</v>
      </c>
      <c r="AK422" s="2">
        <v>1</v>
      </c>
      <c r="AL422" s="2">
        <v>327.75</v>
      </c>
      <c r="AM422" s="2">
        <v>321.2</v>
      </c>
      <c r="AN422" s="2">
        <v>93.15</v>
      </c>
      <c r="AO422" s="2" t="s">
        <v>95</v>
      </c>
      <c r="AP422" s="2" t="s">
        <v>1521</v>
      </c>
      <c r="AQ422" s="2" t="s">
        <v>127</v>
      </c>
      <c r="AR422" s="2" t="s">
        <v>81</v>
      </c>
      <c r="AS422" s="2">
        <v>1360</v>
      </c>
      <c r="AT422" s="2">
        <v>73</v>
      </c>
      <c r="AU422" s="2" t="s">
        <v>82</v>
      </c>
      <c r="AV422" s="2">
        <v>327.75</v>
      </c>
      <c r="AW422" s="2">
        <v>0</v>
      </c>
      <c r="AX422" s="2" t="s">
        <v>2225</v>
      </c>
      <c r="AY422" s="2" t="s">
        <v>162</v>
      </c>
      <c r="AZ422" s="4">
        <v>43405</v>
      </c>
      <c r="BA422" s="5">
        <v>0.98611111111111116</v>
      </c>
      <c r="BB422" s="2">
        <v>2018</v>
      </c>
      <c r="BC422" s="2" t="s">
        <v>455</v>
      </c>
      <c r="BD422" s="2">
        <v>1</v>
      </c>
      <c r="BE422" s="4">
        <v>43116</v>
      </c>
      <c r="BF422" s="5">
        <v>0.98611111111111116</v>
      </c>
      <c r="BG422" s="2" t="str" cm="1">
        <f t="array" ref="BG422">_xlfn.IFS(BF422&lt;TIMEVALUE("06:00"),"Night", BF422&gt;=TIMEVALUE("21:00"),"Night",BF422&gt;=TIMEVALUE("17:00"),"Evening",BF422&gt;=TIMEVALUE("12:00"),"Afternoon", BF422&gt;=TIMEVALUE("06:00"),"Morning")</f>
        <v>Night</v>
      </c>
      <c r="BH422" s="2">
        <v>2018</v>
      </c>
      <c r="BI422" s="2" t="s">
        <v>84</v>
      </c>
      <c r="BJ422" s="2">
        <v>16</v>
      </c>
    </row>
    <row r="423" spans="1:62" x14ac:dyDescent="0.3">
      <c r="A423" s="2" t="s">
        <v>62</v>
      </c>
      <c r="B423" s="2">
        <v>2</v>
      </c>
      <c r="C423" s="2">
        <v>1</v>
      </c>
      <c r="D423" s="2">
        <v>149.41999999999999</v>
      </c>
      <c r="E423" s="2">
        <v>317.92</v>
      </c>
      <c r="F423" s="2" t="s">
        <v>87</v>
      </c>
      <c r="G423" s="2" t="s">
        <v>88</v>
      </c>
      <c r="H423" s="2">
        <v>73</v>
      </c>
      <c r="I423" s="2" t="s">
        <v>65</v>
      </c>
      <c r="J423" s="2" t="s">
        <v>66</v>
      </c>
      <c r="K423" s="2" t="s">
        <v>67</v>
      </c>
      <c r="L423" s="2" t="s">
        <v>2226</v>
      </c>
      <c r="M423" s="2">
        <v>19386</v>
      </c>
      <c r="N423" s="2" t="s">
        <v>2227</v>
      </c>
      <c r="O423" s="2" t="s">
        <v>124</v>
      </c>
      <c r="P423" s="2" t="s">
        <v>71</v>
      </c>
      <c r="Q423" s="2" t="s">
        <v>2228</v>
      </c>
      <c r="R423" s="2">
        <v>725</v>
      </c>
      <c r="S423" s="2">
        <v>2</v>
      </c>
      <c r="T423" s="2" t="s">
        <v>73</v>
      </c>
      <c r="U423" s="2">
        <v>18.209011100000001</v>
      </c>
      <c r="V423" s="2">
        <v>-66.037056000000007</v>
      </c>
      <c r="W423" s="2" t="s">
        <v>74</v>
      </c>
      <c r="X423" s="2" t="s">
        <v>2220</v>
      </c>
      <c r="Y423" s="2" t="s">
        <v>93</v>
      </c>
      <c r="Z423" s="2">
        <v>19386</v>
      </c>
      <c r="AA423" s="3">
        <v>43405.97152777778</v>
      </c>
      <c r="AB423" s="2">
        <v>75833</v>
      </c>
      <c r="AC423" s="2">
        <v>1360</v>
      </c>
      <c r="AD423" s="2">
        <v>9.83</v>
      </c>
      <c r="AE423" s="2">
        <v>0.03</v>
      </c>
      <c r="AF423" s="2" t="str" cm="1">
        <f t="array" ref="AF423">_xlfn.IFS(AE423=0, "No Discount ", AE423&lt;=0.08,"Low Discount", AE423&lt;=0.16,"Medium Discount", AE423&gt;0.16, "High Discount")</f>
        <v>Low Discount</v>
      </c>
      <c r="AG423" s="2">
        <v>179148</v>
      </c>
      <c r="AH423" s="2">
        <v>327.75</v>
      </c>
      <c r="AI423" s="2">
        <v>0.47</v>
      </c>
      <c r="AJ423" s="2" t="str" cm="1">
        <f t="array" ref="AJ423">_xlfn.IFS(AI423&lt;=0, "No Profit", AI423&lt;=0.16,"Low Profit",AI423&lt;=0.32,"Medium Profit",AI423&gt;0.32,"High Profit")</f>
        <v>High Profit</v>
      </c>
      <c r="AK423" s="2">
        <v>1</v>
      </c>
      <c r="AL423" s="2">
        <v>327.75</v>
      </c>
      <c r="AM423" s="2">
        <v>317.92</v>
      </c>
      <c r="AN423" s="2">
        <v>149.41999999999999</v>
      </c>
      <c r="AO423" s="2" t="s">
        <v>95</v>
      </c>
      <c r="AP423" s="2" t="s">
        <v>1521</v>
      </c>
      <c r="AQ423" s="2" t="s">
        <v>80</v>
      </c>
      <c r="AR423" s="2" t="s">
        <v>81</v>
      </c>
      <c r="AS423" s="2">
        <v>1360</v>
      </c>
      <c r="AT423" s="2">
        <v>73</v>
      </c>
      <c r="AU423" s="2" t="s">
        <v>82</v>
      </c>
      <c r="AV423" s="2">
        <v>327.75</v>
      </c>
      <c r="AW423" s="2">
        <v>0</v>
      </c>
      <c r="AX423" s="2" t="s">
        <v>2229</v>
      </c>
      <c r="AY423" s="2" t="s">
        <v>148</v>
      </c>
      <c r="AZ423" s="4">
        <v>43405</v>
      </c>
      <c r="BA423" s="5">
        <v>0.97152777777777777</v>
      </c>
      <c r="BB423" s="2">
        <v>2018</v>
      </c>
      <c r="BC423" s="2" t="s">
        <v>455</v>
      </c>
      <c r="BD423" s="2">
        <v>1</v>
      </c>
      <c r="BE423" s="4">
        <v>43113</v>
      </c>
      <c r="BF423" s="5">
        <v>0.97152777777777777</v>
      </c>
      <c r="BG423" s="2" t="str" cm="1">
        <f t="array" ref="BG423">_xlfn.IFS(BF423&lt;TIMEVALUE("06:00"),"Night", BF423&gt;=TIMEVALUE("21:00"),"Night",BF423&gt;=TIMEVALUE("17:00"),"Evening",BF423&gt;=TIMEVALUE("12:00"),"Afternoon", BF423&gt;=TIMEVALUE("06:00"),"Morning")</f>
        <v>Night</v>
      </c>
      <c r="BH423" s="2">
        <v>2018</v>
      </c>
      <c r="BI423" s="2" t="s">
        <v>84</v>
      </c>
      <c r="BJ423" s="2">
        <v>13</v>
      </c>
    </row>
    <row r="424" spans="1:62" x14ac:dyDescent="0.3">
      <c r="A424" s="2" t="s">
        <v>99</v>
      </c>
      <c r="B424" s="2">
        <v>2</v>
      </c>
      <c r="C424" s="2">
        <v>1</v>
      </c>
      <c r="D424" s="2">
        <v>31.46</v>
      </c>
      <c r="E424" s="2">
        <v>314.64</v>
      </c>
      <c r="F424" s="2" t="s">
        <v>87</v>
      </c>
      <c r="G424" s="2" t="s">
        <v>88</v>
      </c>
      <c r="H424" s="2">
        <v>73</v>
      </c>
      <c r="I424" s="2" t="s">
        <v>65</v>
      </c>
      <c r="J424" s="2" t="s">
        <v>1498</v>
      </c>
      <c r="K424" s="2" t="s">
        <v>102</v>
      </c>
      <c r="L424" s="2" t="s">
        <v>2230</v>
      </c>
      <c r="M424" s="2">
        <v>19385</v>
      </c>
      <c r="N424" s="2" t="s">
        <v>2231</v>
      </c>
      <c r="O424" s="2" t="s">
        <v>124</v>
      </c>
      <c r="P424" s="2" t="s">
        <v>105</v>
      </c>
      <c r="Q424" s="2" t="s">
        <v>2232</v>
      </c>
      <c r="R424" s="2">
        <v>92843</v>
      </c>
      <c r="S424" s="2">
        <v>2</v>
      </c>
      <c r="T424" s="2" t="s">
        <v>73</v>
      </c>
      <c r="U424" s="2">
        <v>33.766521500000003</v>
      </c>
      <c r="V424" s="2">
        <v>-117.94618989999999</v>
      </c>
      <c r="W424" s="2" t="s">
        <v>74</v>
      </c>
      <c r="X424" s="2" t="s">
        <v>2220</v>
      </c>
      <c r="Y424" s="2" t="s">
        <v>93</v>
      </c>
      <c r="Z424" s="2">
        <v>19385</v>
      </c>
      <c r="AA424" s="3">
        <v>43405.956944444442</v>
      </c>
      <c r="AB424" s="2">
        <v>75832</v>
      </c>
      <c r="AC424" s="2">
        <v>1360</v>
      </c>
      <c r="AD424" s="2">
        <v>13.11</v>
      </c>
      <c r="AE424" s="2">
        <v>0.04</v>
      </c>
      <c r="AF424" s="2" t="str" cm="1">
        <f t="array" ref="AF424">_xlfn.IFS(AE424=0, "No Discount ", AE424&lt;=0.08,"Low Discount", AE424&lt;=0.16,"Medium Discount", AE424&gt;0.16, "High Discount")</f>
        <v>Low Discount</v>
      </c>
      <c r="AG424" s="2">
        <v>179147</v>
      </c>
      <c r="AH424" s="2">
        <v>327.75</v>
      </c>
      <c r="AI424" s="2">
        <v>0.1</v>
      </c>
      <c r="AJ424" s="2" t="str" cm="1">
        <f t="array" ref="AJ424">_xlfn.IFS(AI424&lt;=0, "No Profit", AI424&lt;=0.16,"Low Profit",AI424&lt;=0.32,"Medium Profit",AI424&gt;0.32,"High Profit")</f>
        <v>Low Profit</v>
      </c>
      <c r="AK424" s="2">
        <v>1</v>
      </c>
      <c r="AL424" s="2">
        <v>327.75</v>
      </c>
      <c r="AM424" s="2">
        <v>314.64</v>
      </c>
      <c r="AN424" s="2">
        <v>31.46</v>
      </c>
      <c r="AO424" s="2" t="s">
        <v>95</v>
      </c>
      <c r="AP424" s="2" t="s">
        <v>1521</v>
      </c>
      <c r="AQ424" s="2" t="s">
        <v>108</v>
      </c>
      <c r="AR424" s="2" t="s">
        <v>81</v>
      </c>
      <c r="AS424" s="2">
        <v>1360</v>
      </c>
      <c r="AT424" s="2">
        <v>73</v>
      </c>
      <c r="AU424" s="2" t="s">
        <v>82</v>
      </c>
      <c r="AV424" s="2">
        <v>327.75</v>
      </c>
      <c r="AW424" s="2">
        <v>0</v>
      </c>
      <c r="AX424" s="2" t="s">
        <v>2233</v>
      </c>
      <c r="AY424" s="2" t="s">
        <v>148</v>
      </c>
      <c r="AZ424" s="4">
        <v>43405</v>
      </c>
      <c r="BA424" s="5">
        <v>0.95694444444444449</v>
      </c>
      <c r="BB424" s="2">
        <v>2018</v>
      </c>
      <c r="BC424" s="2" t="s">
        <v>455</v>
      </c>
      <c r="BD424" s="2">
        <v>1</v>
      </c>
      <c r="BE424" s="4">
        <v>43113</v>
      </c>
      <c r="BF424" s="5">
        <v>0.95694444444444449</v>
      </c>
      <c r="BG424" s="2" t="str" cm="1">
        <f t="array" ref="BG424">_xlfn.IFS(BF424&lt;TIMEVALUE("06:00"),"Night", BF424&gt;=TIMEVALUE("21:00"),"Night",BF424&gt;=TIMEVALUE("17:00"),"Evening",BF424&gt;=TIMEVALUE("12:00"),"Afternoon", BF424&gt;=TIMEVALUE("06:00"),"Morning")</f>
        <v>Night</v>
      </c>
      <c r="BH424" s="2">
        <v>2018</v>
      </c>
      <c r="BI424" s="2" t="s">
        <v>84</v>
      </c>
      <c r="BJ424" s="2">
        <v>13</v>
      </c>
    </row>
    <row r="425" spans="1:62" x14ac:dyDescent="0.3">
      <c r="A425" s="2" t="s">
        <v>121</v>
      </c>
      <c r="B425" s="2">
        <v>2</v>
      </c>
      <c r="C425" s="2">
        <v>1</v>
      </c>
      <c r="D425" s="2">
        <v>0</v>
      </c>
      <c r="E425" s="2">
        <v>311.36</v>
      </c>
      <c r="F425" s="2" t="s">
        <v>87</v>
      </c>
      <c r="G425" s="2" t="s">
        <v>88</v>
      </c>
      <c r="H425" s="2">
        <v>73</v>
      </c>
      <c r="I425" s="2" t="s">
        <v>65</v>
      </c>
      <c r="J425" s="2" t="s">
        <v>66</v>
      </c>
      <c r="K425" s="2" t="s">
        <v>67</v>
      </c>
      <c r="L425" s="2" t="s">
        <v>2234</v>
      </c>
      <c r="M425" s="2">
        <v>19384</v>
      </c>
      <c r="N425" s="2" t="s">
        <v>2235</v>
      </c>
      <c r="O425" s="2" t="s">
        <v>113</v>
      </c>
      <c r="P425" s="2" t="s">
        <v>71</v>
      </c>
      <c r="Q425" s="2" t="s">
        <v>2236</v>
      </c>
      <c r="R425" s="2">
        <v>725</v>
      </c>
      <c r="S425" s="2">
        <v>2</v>
      </c>
      <c r="T425" s="2" t="s">
        <v>73</v>
      </c>
      <c r="U425" s="2">
        <v>18.2998428</v>
      </c>
      <c r="V425" s="2">
        <v>-66.037056000000007</v>
      </c>
      <c r="W425" s="2" t="s">
        <v>74</v>
      </c>
      <c r="X425" s="2" t="s">
        <v>2237</v>
      </c>
      <c r="Y425" s="2" t="s">
        <v>93</v>
      </c>
      <c r="Z425" s="2">
        <v>19384</v>
      </c>
      <c r="AA425" s="3">
        <v>43405.942361111112</v>
      </c>
      <c r="AB425" s="2">
        <v>75831</v>
      </c>
      <c r="AC425" s="2">
        <v>1360</v>
      </c>
      <c r="AD425" s="2">
        <v>16.39</v>
      </c>
      <c r="AE425" s="2">
        <v>0.05</v>
      </c>
      <c r="AF425" s="2" t="str" cm="1">
        <f t="array" ref="AF425">_xlfn.IFS(AE425=0, "No Discount ", AE425&lt;=0.08,"Low Discount", AE425&lt;=0.16,"Medium Discount", AE425&gt;0.16, "High Discount")</f>
        <v>Low Discount</v>
      </c>
      <c r="AG425" s="2">
        <v>179146</v>
      </c>
      <c r="AH425" s="2">
        <v>327.75</v>
      </c>
      <c r="AI425" s="2">
        <v>0</v>
      </c>
      <c r="AJ425" s="2" t="str" cm="1">
        <f t="array" ref="AJ425">_xlfn.IFS(AI425&lt;=0, "No Profit", AI425&lt;=0.16,"Low Profit",AI425&lt;=0.32,"Medium Profit",AI425&gt;0.32,"High Profit")</f>
        <v>No Profit</v>
      </c>
      <c r="AK425" s="2">
        <v>1</v>
      </c>
      <c r="AL425" s="2">
        <v>327.75</v>
      </c>
      <c r="AM425" s="2">
        <v>311.36</v>
      </c>
      <c r="AN425" s="2">
        <v>0</v>
      </c>
      <c r="AO425" s="2" t="s">
        <v>95</v>
      </c>
      <c r="AP425" s="2" t="s">
        <v>2238</v>
      </c>
      <c r="AQ425" s="2" t="s">
        <v>127</v>
      </c>
      <c r="AR425" s="2" t="s">
        <v>81</v>
      </c>
      <c r="AS425" s="2">
        <v>1360</v>
      </c>
      <c r="AT425" s="2">
        <v>73</v>
      </c>
      <c r="AU425" s="2" t="s">
        <v>82</v>
      </c>
      <c r="AV425" s="2">
        <v>327.75</v>
      </c>
      <c r="AW425" s="2">
        <v>0</v>
      </c>
      <c r="AX425" s="2" t="s">
        <v>2239</v>
      </c>
      <c r="AY425" s="2" t="s">
        <v>148</v>
      </c>
      <c r="AZ425" s="4">
        <v>43405</v>
      </c>
      <c r="BA425" s="5">
        <v>0.94236111111111109</v>
      </c>
      <c r="BB425" s="2">
        <v>2018</v>
      </c>
      <c r="BC425" s="2" t="s">
        <v>455</v>
      </c>
      <c r="BD425" s="2">
        <v>1</v>
      </c>
      <c r="BE425" s="4">
        <v>43113</v>
      </c>
      <c r="BF425" s="5">
        <v>0.94236111111111109</v>
      </c>
      <c r="BG425" s="2" t="str" cm="1">
        <f t="array" ref="BG425">_xlfn.IFS(BF425&lt;TIMEVALUE("06:00"),"Night", BF425&gt;=TIMEVALUE("21:00"),"Night",BF425&gt;=TIMEVALUE("17:00"),"Evening",BF425&gt;=TIMEVALUE("12:00"),"Afternoon", BF425&gt;=TIMEVALUE("06:00"),"Morning")</f>
        <v>Night</v>
      </c>
      <c r="BH425" s="2">
        <v>2018</v>
      </c>
      <c r="BI425" s="2" t="s">
        <v>84</v>
      </c>
      <c r="BJ425" s="2">
        <v>13</v>
      </c>
    </row>
    <row r="426" spans="1:62" x14ac:dyDescent="0.3">
      <c r="A426" s="2" t="s">
        <v>121</v>
      </c>
      <c r="B426" s="2">
        <v>6</v>
      </c>
      <c r="C426" s="2">
        <v>4</v>
      </c>
      <c r="D426" s="2">
        <v>151.76</v>
      </c>
      <c r="E426" s="2">
        <v>309.72000000000003</v>
      </c>
      <c r="F426" s="2" t="s">
        <v>87</v>
      </c>
      <c r="G426" s="2" t="s">
        <v>88</v>
      </c>
      <c r="H426" s="2">
        <v>73</v>
      </c>
      <c r="I426" s="2" t="s">
        <v>65</v>
      </c>
      <c r="J426" s="2" t="s">
        <v>2240</v>
      </c>
      <c r="K426" s="2" t="s">
        <v>102</v>
      </c>
      <c r="L426" s="2" t="s">
        <v>2241</v>
      </c>
      <c r="M426" s="2">
        <v>19383</v>
      </c>
      <c r="N426" s="2" t="s">
        <v>123</v>
      </c>
      <c r="O426" s="2" t="s">
        <v>124</v>
      </c>
      <c r="P426" s="2" t="s">
        <v>1163</v>
      </c>
      <c r="Q426" s="2" t="s">
        <v>2242</v>
      </c>
      <c r="R426" s="2">
        <v>8021</v>
      </c>
      <c r="S426" s="2">
        <v>2</v>
      </c>
      <c r="T426" s="2" t="s">
        <v>73</v>
      </c>
      <c r="U426" s="2">
        <v>39.816646599999999</v>
      </c>
      <c r="V426" s="2">
        <v>-74.984672599999996</v>
      </c>
      <c r="W426" s="2" t="s">
        <v>74</v>
      </c>
      <c r="X426" s="2" t="s">
        <v>2243</v>
      </c>
      <c r="Y426" s="2" t="s">
        <v>76</v>
      </c>
      <c r="Z426" s="2">
        <v>19383</v>
      </c>
      <c r="AA426" s="3">
        <v>43405.927777777775</v>
      </c>
      <c r="AB426" s="2">
        <v>75830</v>
      </c>
      <c r="AC426" s="2">
        <v>1360</v>
      </c>
      <c r="AD426" s="2">
        <v>18.03</v>
      </c>
      <c r="AE426" s="2">
        <v>0.06</v>
      </c>
      <c r="AF426" s="2" t="str" cm="1">
        <f t="array" ref="AF426">_xlfn.IFS(AE426=0, "No Discount ", AE426&lt;=0.08,"Low Discount", AE426&lt;=0.16,"Medium Discount", AE426&gt;0.16, "High Discount")</f>
        <v>Low Discount</v>
      </c>
      <c r="AG426" s="2">
        <v>179145</v>
      </c>
      <c r="AH426" s="2">
        <v>327.75</v>
      </c>
      <c r="AI426" s="2">
        <v>0.49</v>
      </c>
      <c r="AJ426" s="2" t="str" cm="1">
        <f t="array" ref="AJ426">_xlfn.IFS(AI426&lt;=0, "No Profit", AI426&lt;=0.16,"Low Profit",AI426&lt;=0.32,"Medium Profit",AI426&gt;0.32,"High Profit")</f>
        <v>High Profit</v>
      </c>
      <c r="AK426" s="2">
        <v>1</v>
      </c>
      <c r="AL426" s="2">
        <v>327.75</v>
      </c>
      <c r="AM426" s="2">
        <v>309.72000000000003</v>
      </c>
      <c r="AN426" s="2">
        <v>151.76</v>
      </c>
      <c r="AO426" s="2" t="s">
        <v>78</v>
      </c>
      <c r="AP426" s="2" t="s">
        <v>2174</v>
      </c>
      <c r="AQ426" s="2" t="s">
        <v>127</v>
      </c>
      <c r="AR426" s="2" t="s">
        <v>81</v>
      </c>
      <c r="AS426" s="2">
        <v>1360</v>
      </c>
      <c r="AT426" s="2">
        <v>73</v>
      </c>
      <c r="AU426" s="2" t="s">
        <v>82</v>
      </c>
      <c r="AV426" s="2">
        <v>327.75</v>
      </c>
      <c r="AW426" s="2">
        <v>0</v>
      </c>
      <c r="AX426" s="2" t="s">
        <v>2244</v>
      </c>
      <c r="AY426" s="2" t="s">
        <v>83</v>
      </c>
      <c r="AZ426" s="4">
        <v>43405</v>
      </c>
      <c r="BA426" s="5">
        <v>0.92777777777777781</v>
      </c>
      <c r="BB426" s="2">
        <v>2018</v>
      </c>
      <c r="BC426" s="2" t="s">
        <v>455</v>
      </c>
      <c r="BD426" s="2">
        <v>1</v>
      </c>
      <c r="BE426" s="4">
        <v>43117</v>
      </c>
      <c r="BF426" s="5">
        <v>0.92777777777777781</v>
      </c>
      <c r="BG426" s="2" t="str" cm="1">
        <f t="array" ref="BG426">_xlfn.IFS(BF426&lt;TIMEVALUE("06:00"),"Night", BF426&gt;=TIMEVALUE("21:00"),"Night",BF426&gt;=TIMEVALUE("17:00"),"Evening",BF426&gt;=TIMEVALUE("12:00"),"Afternoon", BF426&gt;=TIMEVALUE("06:00"),"Morning")</f>
        <v>Night</v>
      </c>
      <c r="BH426" s="2">
        <v>2018</v>
      </c>
      <c r="BI426" s="2" t="s">
        <v>84</v>
      </c>
      <c r="BJ426" s="2">
        <v>17</v>
      </c>
    </row>
    <row r="427" spans="1:62" x14ac:dyDescent="0.3">
      <c r="A427" s="2" t="s">
        <v>121</v>
      </c>
      <c r="B427" s="2">
        <v>5</v>
      </c>
      <c r="C427" s="2">
        <v>4</v>
      </c>
      <c r="D427" s="2">
        <v>146.31</v>
      </c>
      <c r="E427" s="2">
        <v>304.81</v>
      </c>
      <c r="F427" s="2" t="s">
        <v>87</v>
      </c>
      <c r="G427" s="2" t="s">
        <v>88</v>
      </c>
      <c r="H427" s="2">
        <v>73</v>
      </c>
      <c r="I427" s="2" t="s">
        <v>65</v>
      </c>
      <c r="J427" s="2" t="s">
        <v>1764</v>
      </c>
      <c r="K427" s="2" t="s">
        <v>102</v>
      </c>
      <c r="L427" s="2" t="s">
        <v>2245</v>
      </c>
      <c r="M427" s="2">
        <v>19382</v>
      </c>
      <c r="N427" s="2" t="s">
        <v>2246</v>
      </c>
      <c r="O427" s="2" t="s">
        <v>124</v>
      </c>
      <c r="P427" s="2" t="s">
        <v>1765</v>
      </c>
      <c r="Q427" s="2" t="s">
        <v>2247</v>
      </c>
      <c r="R427" s="2">
        <v>38127</v>
      </c>
      <c r="S427" s="2">
        <v>2</v>
      </c>
      <c r="T427" s="2" t="s">
        <v>73</v>
      </c>
      <c r="U427" s="2">
        <v>35.282096899999999</v>
      </c>
      <c r="V427" s="2">
        <v>-89.973106400000006</v>
      </c>
      <c r="W427" s="2" t="s">
        <v>74</v>
      </c>
      <c r="X427" s="2" t="s">
        <v>2243</v>
      </c>
      <c r="Y427" s="2" t="s">
        <v>76</v>
      </c>
      <c r="Z427" s="2">
        <v>19382</v>
      </c>
      <c r="AA427" s="3">
        <v>43405.913194444445</v>
      </c>
      <c r="AB427" s="2">
        <v>75829</v>
      </c>
      <c r="AC427" s="2">
        <v>1360</v>
      </c>
      <c r="AD427" s="2">
        <v>22.94</v>
      </c>
      <c r="AE427" s="2">
        <v>7.0000000000000007E-2</v>
      </c>
      <c r="AF427" s="2" t="str" cm="1">
        <f t="array" ref="AF427">_xlfn.IFS(AE427=0, "No Discount ", AE427&lt;=0.08,"Low Discount", AE427&lt;=0.16,"Medium Discount", AE427&gt;0.16, "High Discount")</f>
        <v>Low Discount</v>
      </c>
      <c r="AG427" s="2">
        <v>179144</v>
      </c>
      <c r="AH427" s="2">
        <v>327.75</v>
      </c>
      <c r="AI427" s="2">
        <v>0.48</v>
      </c>
      <c r="AJ427" s="2" t="str" cm="1">
        <f t="array" ref="AJ427">_xlfn.IFS(AI427&lt;=0, "No Profit", AI427&lt;=0.16,"Low Profit",AI427&lt;=0.32,"Medium Profit",AI427&gt;0.32,"High Profit")</f>
        <v>High Profit</v>
      </c>
      <c r="AK427" s="2">
        <v>1</v>
      </c>
      <c r="AL427" s="2">
        <v>327.75</v>
      </c>
      <c r="AM427" s="2">
        <v>304.81</v>
      </c>
      <c r="AN427" s="2">
        <v>146.31</v>
      </c>
      <c r="AO427" s="2" t="s">
        <v>78</v>
      </c>
      <c r="AP427" s="2" t="s">
        <v>2174</v>
      </c>
      <c r="AQ427" s="2" t="s">
        <v>127</v>
      </c>
      <c r="AR427" s="2" t="s">
        <v>81</v>
      </c>
      <c r="AS427" s="2">
        <v>1360</v>
      </c>
      <c r="AT427" s="2">
        <v>73</v>
      </c>
      <c r="AU427" s="2" t="s">
        <v>82</v>
      </c>
      <c r="AV427" s="2">
        <v>327.75</v>
      </c>
      <c r="AW427" s="2">
        <v>0</v>
      </c>
      <c r="AX427" s="2" t="s">
        <v>2248</v>
      </c>
      <c r="AY427" s="2" t="s">
        <v>83</v>
      </c>
      <c r="AZ427" s="4">
        <v>43405</v>
      </c>
      <c r="BA427" s="5">
        <v>0.91319444444444442</v>
      </c>
      <c r="BB427" s="2">
        <v>2018</v>
      </c>
      <c r="BC427" s="2" t="s">
        <v>455</v>
      </c>
      <c r="BD427" s="2">
        <v>1</v>
      </c>
      <c r="BE427" s="4">
        <v>43116</v>
      </c>
      <c r="BF427" s="5">
        <v>0.91319444444444442</v>
      </c>
      <c r="BG427" s="2" t="str" cm="1">
        <f t="array" ref="BG427">_xlfn.IFS(BF427&lt;TIMEVALUE("06:00"),"Night", BF427&gt;=TIMEVALUE("21:00"),"Night",BF427&gt;=TIMEVALUE("17:00"),"Evening",BF427&gt;=TIMEVALUE("12:00"),"Afternoon", BF427&gt;=TIMEVALUE("06:00"),"Morning")</f>
        <v>Night</v>
      </c>
      <c r="BH427" s="2">
        <v>2018</v>
      </c>
      <c r="BI427" s="2" t="s">
        <v>84</v>
      </c>
      <c r="BJ427" s="2">
        <v>16</v>
      </c>
    </row>
    <row r="428" spans="1:62" x14ac:dyDescent="0.3">
      <c r="A428" s="2" t="s">
        <v>62</v>
      </c>
      <c r="B428" s="2">
        <v>4</v>
      </c>
      <c r="C428" s="2">
        <v>4</v>
      </c>
      <c r="D428" s="2">
        <v>20.88</v>
      </c>
      <c r="E428" s="2">
        <v>298.25</v>
      </c>
      <c r="F428" s="2" t="s">
        <v>100</v>
      </c>
      <c r="G428" s="2" t="s">
        <v>64</v>
      </c>
      <c r="H428" s="2">
        <v>73</v>
      </c>
      <c r="I428" s="2" t="s">
        <v>65</v>
      </c>
      <c r="J428" s="2" t="s">
        <v>2249</v>
      </c>
      <c r="K428" s="2" t="s">
        <v>102</v>
      </c>
      <c r="L428" s="2" t="s">
        <v>2250</v>
      </c>
      <c r="M428" s="2">
        <v>19381</v>
      </c>
      <c r="N428" s="2" t="s">
        <v>2251</v>
      </c>
      <c r="O428" s="2" t="s">
        <v>70</v>
      </c>
      <c r="P428" s="2" t="s">
        <v>1765</v>
      </c>
      <c r="Q428" s="2" t="s">
        <v>2252</v>
      </c>
      <c r="R428" s="2">
        <v>37013</v>
      </c>
      <c r="S428" s="2">
        <v>2</v>
      </c>
      <c r="T428" s="2" t="s">
        <v>73</v>
      </c>
      <c r="U428" s="2">
        <v>36.081005099999999</v>
      </c>
      <c r="V428" s="2">
        <v>-86.687057499999995</v>
      </c>
      <c r="W428" s="2" t="s">
        <v>74</v>
      </c>
      <c r="X428" s="2" t="s">
        <v>2243</v>
      </c>
      <c r="Y428" s="2" t="s">
        <v>76</v>
      </c>
      <c r="Z428" s="2">
        <v>19381</v>
      </c>
      <c r="AA428" s="3">
        <v>43405.898611111108</v>
      </c>
      <c r="AB428" s="2">
        <v>75828</v>
      </c>
      <c r="AC428" s="2">
        <v>1360</v>
      </c>
      <c r="AD428" s="2">
        <v>29.5</v>
      </c>
      <c r="AE428" s="2">
        <v>0.09</v>
      </c>
      <c r="AF428" s="2" t="str" cm="1">
        <f t="array" ref="AF428">_xlfn.IFS(AE428=0, "No Discount ", AE428&lt;=0.08,"Low Discount", AE428&lt;=0.16,"Medium Discount", AE428&gt;0.16, "High Discount")</f>
        <v>Medium Discount</v>
      </c>
      <c r="AG428" s="2">
        <v>179143</v>
      </c>
      <c r="AH428" s="2">
        <v>327.75</v>
      </c>
      <c r="AI428" s="2">
        <v>7.0000000000000007E-2</v>
      </c>
      <c r="AJ428" s="2" t="str" cm="1">
        <f t="array" ref="AJ428">_xlfn.IFS(AI428&lt;=0, "No Profit", AI428&lt;=0.16,"Low Profit",AI428&lt;=0.32,"Medium Profit",AI428&gt;0.32,"High Profit")</f>
        <v>Low Profit</v>
      </c>
      <c r="AK428" s="2">
        <v>1</v>
      </c>
      <c r="AL428" s="2">
        <v>327.75</v>
      </c>
      <c r="AM428" s="2">
        <v>298.25</v>
      </c>
      <c r="AN428" s="2">
        <v>20.88</v>
      </c>
      <c r="AO428" s="2" t="s">
        <v>78</v>
      </c>
      <c r="AP428" s="2" t="s">
        <v>2174</v>
      </c>
      <c r="AQ428" s="2" t="s">
        <v>308</v>
      </c>
      <c r="AR428" s="2" t="s">
        <v>81</v>
      </c>
      <c r="AS428" s="2">
        <v>1360</v>
      </c>
      <c r="AT428" s="2">
        <v>73</v>
      </c>
      <c r="AU428" s="2" t="s">
        <v>82</v>
      </c>
      <c r="AV428" s="2">
        <v>327.75</v>
      </c>
      <c r="AW428" s="2">
        <v>0</v>
      </c>
      <c r="AX428" s="2" t="s">
        <v>2253</v>
      </c>
      <c r="AY428" s="2" t="s">
        <v>83</v>
      </c>
      <c r="AZ428" s="4">
        <v>43405</v>
      </c>
      <c r="BA428" s="5">
        <v>0.89861111111111114</v>
      </c>
      <c r="BB428" s="2">
        <v>2018</v>
      </c>
      <c r="BC428" s="2" t="s">
        <v>455</v>
      </c>
      <c r="BD428" s="2">
        <v>1</v>
      </c>
      <c r="BE428" s="4">
        <v>43115</v>
      </c>
      <c r="BF428" s="5">
        <v>0.89861111111111114</v>
      </c>
      <c r="BG428" s="2" t="str" cm="1">
        <f t="array" ref="BG428">_xlfn.IFS(BF428&lt;TIMEVALUE("06:00"),"Night", BF428&gt;=TIMEVALUE("21:00"),"Night",BF428&gt;=TIMEVALUE("17:00"),"Evening",BF428&gt;=TIMEVALUE("12:00"),"Afternoon", BF428&gt;=TIMEVALUE("06:00"),"Morning")</f>
        <v>Night</v>
      </c>
      <c r="BH428" s="2">
        <v>2018</v>
      </c>
      <c r="BI428" s="2" t="s">
        <v>84</v>
      </c>
      <c r="BJ428" s="2">
        <v>15</v>
      </c>
    </row>
    <row r="429" spans="1:62" x14ac:dyDescent="0.3">
      <c r="A429" s="2" t="s">
        <v>62</v>
      </c>
      <c r="B429" s="2">
        <v>3</v>
      </c>
      <c r="C429" s="2">
        <v>4</v>
      </c>
      <c r="D429" s="2">
        <v>95.87</v>
      </c>
      <c r="E429" s="2">
        <v>294.98</v>
      </c>
      <c r="F429" s="2" t="s">
        <v>63</v>
      </c>
      <c r="G429" s="2" t="s">
        <v>64</v>
      </c>
      <c r="H429" s="2">
        <v>73</v>
      </c>
      <c r="I429" s="2" t="s">
        <v>65</v>
      </c>
      <c r="J429" s="2" t="s">
        <v>66</v>
      </c>
      <c r="K429" s="2" t="s">
        <v>67</v>
      </c>
      <c r="L429" s="2" t="s">
        <v>2254</v>
      </c>
      <c r="M429" s="2">
        <v>19380</v>
      </c>
      <c r="N429" s="2" t="s">
        <v>2255</v>
      </c>
      <c r="O429" s="2" t="s">
        <v>70</v>
      </c>
      <c r="P429" s="2" t="s">
        <v>71</v>
      </c>
      <c r="Q429" s="2" t="s">
        <v>2256</v>
      </c>
      <c r="R429" s="2">
        <v>725</v>
      </c>
      <c r="S429" s="2">
        <v>2</v>
      </c>
      <c r="T429" s="2" t="s">
        <v>73</v>
      </c>
      <c r="U429" s="2">
        <v>18.279840499999999</v>
      </c>
      <c r="V429" s="2">
        <v>-66.037048299999995</v>
      </c>
      <c r="W429" s="2" t="s">
        <v>74</v>
      </c>
      <c r="X429" s="2" t="s">
        <v>267</v>
      </c>
      <c r="Y429" s="2" t="s">
        <v>116</v>
      </c>
      <c r="Z429" s="2">
        <v>19380</v>
      </c>
      <c r="AA429" s="3">
        <v>43405.884027777778</v>
      </c>
      <c r="AB429" s="2">
        <v>75827</v>
      </c>
      <c r="AC429" s="2">
        <v>1360</v>
      </c>
      <c r="AD429" s="2">
        <v>32.78</v>
      </c>
      <c r="AE429" s="2">
        <v>0.1</v>
      </c>
      <c r="AF429" s="2" t="str" cm="1">
        <f t="array" ref="AF429">_xlfn.IFS(AE429=0, "No Discount ", AE429&lt;=0.08,"Low Discount", AE429&lt;=0.16,"Medium Discount", AE429&gt;0.16, "High Discount")</f>
        <v>Medium Discount</v>
      </c>
      <c r="AG429" s="2">
        <v>179142</v>
      </c>
      <c r="AH429" s="2">
        <v>327.75</v>
      </c>
      <c r="AI429" s="2">
        <v>0.33</v>
      </c>
      <c r="AJ429" s="2" t="str" cm="1">
        <f t="array" ref="AJ429">_xlfn.IFS(AI429&lt;=0, "No Profit", AI429&lt;=0.16,"Low Profit",AI429&lt;=0.32,"Medium Profit",AI429&gt;0.32,"High Profit")</f>
        <v>High Profit</v>
      </c>
      <c r="AK429" s="2">
        <v>1</v>
      </c>
      <c r="AL429" s="2">
        <v>327.75</v>
      </c>
      <c r="AM429" s="2">
        <v>294.98</v>
      </c>
      <c r="AN429" s="2">
        <v>95.87</v>
      </c>
      <c r="AO429" s="2" t="s">
        <v>118</v>
      </c>
      <c r="AP429" s="2" t="s">
        <v>119</v>
      </c>
      <c r="AQ429" s="2" t="s">
        <v>80</v>
      </c>
      <c r="AR429" s="2" t="s">
        <v>81</v>
      </c>
      <c r="AS429" s="2">
        <v>1360</v>
      </c>
      <c r="AT429" s="2">
        <v>73</v>
      </c>
      <c r="AU429" s="2" t="s">
        <v>82</v>
      </c>
      <c r="AV429" s="2">
        <v>327.75</v>
      </c>
      <c r="AW429" s="2">
        <v>0</v>
      </c>
      <c r="AX429" s="2" t="s">
        <v>2257</v>
      </c>
      <c r="AY429" s="2" t="s">
        <v>83</v>
      </c>
      <c r="AZ429" s="4">
        <v>43405</v>
      </c>
      <c r="BA429" s="5">
        <v>0.88402777777777775</v>
      </c>
      <c r="BB429" s="2">
        <v>2018</v>
      </c>
      <c r="BC429" s="2" t="s">
        <v>455</v>
      </c>
      <c r="BD429" s="2">
        <v>1</v>
      </c>
      <c r="BE429" s="4">
        <v>43114</v>
      </c>
      <c r="BF429" s="5">
        <v>0.88402777777777775</v>
      </c>
      <c r="BG429" s="2" t="str" cm="1">
        <f t="array" ref="BG429">_xlfn.IFS(BF429&lt;TIMEVALUE("06:00"),"Night", BF429&gt;=TIMEVALUE("21:00"),"Night",BF429&gt;=TIMEVALUE("17:00"),"Evening",BF429&gt;=TIMEVALUE("12:00"),"Afternoon", BF429&gt;=TIMEVALUE("06:00"),"Morning")</f>
        <v>Night</v>
      </c>
      <c r="BH429" s="2">
        <v>2018</v>
      </c>
      <c r="BI429" s="2" t="s">
        <v>84</v>
      </c>
      <c r="BJ429" s="2">
        <v>14</v>
      </c>
    </row>
    <row r="430" spans="1:62" x14ac:dyDescent="0.3">
      <c r="A430" s="2" t="s">
        <v>99</v>
      </c>
      <c r="B430" s="2">
        <v>2</v>
      </c>
      <c r="C430" s="2">
        <v>4</v>
      </c>
      <c r="D430" s="2">
        <v>135.56</v>
      </c>
      <c r="E430" s="2">
        <v>288.42</v>
      </c>
      <c r="F430" s="2" t="s">
        <v>63</v>
      </c>
      <c r="G430" s="2" t="s">
        <v>64</v>
      </c>
      <c r="H430" s="2">
        <v>73</v>
      </c>
      <c r="I430" s="2" t="s">
        <v>65</v>
      </c>
      <c r="J430" s="2" t="s">
        <v>2258</v>
      </c>
      <c r="K430" s="2" t="s">
        <v>102</v>
      </c>
      <c r="L430" s="2" t="s">
        <v>1621</v>
      </c>
      <c r="M430" s="2">
        <v>19379</v>
      </c>
      <c r="N430" s="2" t="s">
        <v>2259</v>
      </c>
      <c r="O430" s="2" t="s">
        <v>113</v>
      </c>
      <c r="P430" s="2" t="s">
        <v>1448</v>
      </c>
      <c r="Q430" s="2" t="s">
        <v>2260</v>
      </c>
      <c r="R430" s="2">
        <v>84118</v>
      </c>
      <c r="S430" s="2">
        <v>2</v>
      </c>
      <c r="T430" s="2" t="s">
        <v>73</v>
      </c>
      <c r="U430" s="2">
        <v>40.659874000000002</v>
      </c>
      <c r="V430" s="2">
        <v>-112.00286869999999</v>
      </c>
      <c r="W430" s="2" t="s">
        <v>74</v>
      </c>
      <c r="X430" s="2" t="s">
        <v>1372</v>
      </c>
      <c r="Y430" s="2" t="s">
        <v>1373</v>
      </c>
      <c r="Z430" s="2">
        <v>19379</v>
      </c>
      <c r="AA430" s="3">
        <v>43405.869444444441</v>
      </c>
      <c r="AB430" s="2">
        <v>75826</v>
      </c>
      <c r="AC430" s="2">
        <v>1360</v>
      </c>
      <c r="AD430" s="2">
        <v>39.33</v>
      </c>
      <c r="AE430" s="2">
        <v>0.12</v>
      </c>
      <c r="AF430" s="2" t="str" cm="1">
        <f t="array" ref="AF430">_xlfn.IFS(AE430=0, "No Discount ", AE430&lt;=0.08,"Low Discount", AE430&lt;=0.16,"Medium Discount", AE430&gt;0.16, "High Discount")</f>
        <v>Medium Discount</v>
      </c>
      <c r="AG430" s="2">
        <v>179141</v>
      </c>
      <c r="AH430" s="2">
        <v>327.75</v>
      </c>
      <c r="AI430" s="2">
        <v>0.47</v>
      </c>
      <c r="AJ430" s="2" t="str" cm="1">
        <f t="array" ref="AJ430">_xlfn.IFS(AI430&lt;=0, "No Profit", AI430&lt;=0.16,"Low Profit",AI430&lt;=0.32,"Medium Profit",AI430&gt;0.32,"High Profit")</f>
        <v>High Profit</v>
      </c>
      <c r="AK430" s="2">
        <v>1</v>
      </c>
      <c r="AL430" s="2">
        <v>327.75</v>
      </c>
      <c r="AM430" s="2">
        <v>288.42</v>
      </c>
      <c r="AN430" s="2">
        <v>135.56</v>
      </c>
      <c r="AO430" s="2" t="s">
        <v>78</v>
      </c>
      <c r="AP430" s="2" t="s">
        <v>1372</v>
      </c>
      <c r="AQ430" s="2" t="s">
        <v>108</v>
      </c>
      <c r="AR430" s="2" t="s">
        <v>81</v>
      </c>
      <c r="AS430" s="2">
        <v>1360</v>
      </c>
      <c r="AT430" s="2">
        <v>73</v>
      </c>
      <c r="AU430" s="2" t="s">
        <v>82</v>
      </c>
      <c r="AV430" s="2">
        <v>327.75</v>
      </c>
      <c r="AW430" s="2">
        <v>0</v>
      </c>
      <c r="AX430" s="2" t="s">
        <v>2261</v>
      </c>
      <c r="AY430" s="2" t="s">
        <v>83</v>
      </c>
      <c r="AZ430" s="4">
        <v>43405</v>
      </c>
      <c r="BA430" s="5">
        <v>0.86944444444444446</v>
      </c>
      <c r="BB430" s="2">
        <v>2018</v>
      </c>
      <c r="BC430" s="2" t="s">
        <v>455</v>
      </c>
      <c r="BD430" s="2">
        <v>1</v>
      </c>
      <c r="BE430" s="4">
        <v>43113</v>
      </c>
      <c r="BF430" s="5">
        <v>0.86944444444444446</v>
      </c>
      <c r="BG430" s="2" t="str" cm="1">
        <f t="array" ref="BG430">_xlfn.IFS(BF430&lt;TIMEVALUE("06:00"),"Night", BF430&gt;=TIMEVALUE("21:00"),"Night",BF430&gt;=TIMEVALUE("17:00"),"Evening",BF430&gt;=TIMEVALUE("12:00"),"Afternoon", BF430&gt;=TIMEVALUE("06:00"),"Morning")</f>
        <v>Evening</v>
      </c>
      <c r="BH430" s="2">
        <v>2018</v>
      </c>
      <c r="BI430" s="2" t="s">
        <v>84</v>
      </c>
      <c r="BJ430" s="2">
        <v>13</v>
      </c>
    </row>
    <row r="431" spans="1:62" x14ac:dyDescent="0.3">
      <c r="A431" s="2" t="s">
        <v>62</v>
      </c>
      <c r="B431" s="2">
        <v>6</v>
      </c>
      <c r="C431" s="2">
        <v>4</v>
      </c>
      <c r="D431" s="2">
        <v>74.14</v>
      </c>
      <c r="E431" s="2">
        <v>285.14</v>
      </c>
      <c r="F431" s="2" t="s">
        <v>87</v>
      </c>
      <c r="G431" s="2" t="s">
        <v>88</v>
      </c>
      <c r="H431" s="2">
        <v>73</v>
      </c>
      <c r="I431" s="2" t="s">
        <v>65</v>
      </c>
      <c r="J431" s="2" t="s">
        <v>66</v>
      </c>
      <c r="K431" s="2" t="s">
        <v>67</v>
      </c>
      <c r="L431" s="2" t="s">
        <v>2262</v>
      </c>
      <c r="M431" s="2">
        <v>19378</v>
      </c>
      <c r="N431" s="2" t="s">
        <v>2263</v>
      </c>
      <c r="O431" s="2" t="s">
        <v>70</v>
      </c>
      <c r="P431" s="2" t="s">
        <v>71</v>
      </c>
      <c r="Q431" s="2" t="s">
        <v>2264</v>
      </c>
      <c r="R431" s="2">
        <v>725</v>
      </c>
      <c r="S431" s="2">
        <v>2</v>
      </c>
      <c r="T431" s="2" t="s">
        <v>73</v>
      </c>
      <c r="U431" s="2">
        <v>18.257083900000001</v>
      </c>
      <c r="V431" s="2">
        <v>-66.037048299999995</v>
      </c>
      <c r="W431" s="2" t="s">
        <v>74</v>
      </c>
      <c r="X431" s="2" t="s">
        <v>1372</v>
      </c>
      <c r="Y431" s="2" t="s">
        <v>1373</v>
      </c>
      <c r="Z431" s="2">
        <v>19378</v>
      </c>
      <c r="AA431" s="3">
        <v>43405.854861111111</v>
      </c>
      <c r="AB431" s="2">
        <v>75825</v>
      </c>
      <c r="AC431" s="2">
        <v>1360</v>
      </c>
      <c r="AD431" s="2">
        <v>42.61</v>
      </c>
      <c r="AE431" s="2">
        <v>0.13</v>
      </c>
      <c r="AF431" s="2" t="str" cm="1">
        <f t="array" ref="AF431">_xlfn.IFS(AE431=0, "No Discount ", AE431&lt;=0.08,"Low Discount", AE431&lt;=0.16,"Medium Discount", AE431&gt;0.16, "High Discount")</f>
        <v>Medium Discount</v>
      </c>
      <c r="AG431" s="2">
        <v>179140</v>
      </c>
      <c r="AH431" s="2">
        <v>327.75</v>
      </c>
      <c r="AI431" s="2">
        <v>0.26</v>
      </c>
      <c r="AJ431" s="2" t="str" cm="1">
        <f t="array" ref="AJ431">_xlfn.IFS(AI431&lt;=0, "No Profit", AI431&lt;=0.16,"Low Profit",AI431&lt;=0.32,"Medium Profit",AI431&gt;0.32,"High Profit")</f>
        <v>Medium Profit</v>
      </c>
      <c r="AK431" s="2">
        <v>1</v>
      </c>
      <c r="AL431" s="2">
        <v>327.75</v>
      </c>
      <c r="AM431" s="2">
        <v>285.14</v>
      </c>
      <c r="AN431" s="2">
        <v>74.14</v>
      </c>
      <c r="AO431" s="2" t="s">
        <v>78</v>
      </c>
      <c r="AP431" s="2" t="s">
        <v>1372</v>
      </c>
      <c r="AQ431" s="2" t="s">
        <v>80</v>
      </c>
      <c r="AR431" s="2" t="s">
        <v>81</v>
      </c>
      <c r="AS431" s="2">
        <v>1360</v>
      </c>
      <c r="AT431" s="2">
        <v>73</v>
      </c>
      <c r="AU431" s="2" t="s">
        <v>82</v>
      </c>
      <c r="AV431" s="2">
        <v>327.75</v>
      </c>
      <c r="AW431" s="2">
        <v>0</v>
      </c>
      <c r="AX431" s="2" t="s">
        <v>2265</v>
      </c>
      <c r="AY431" s="2" t="s">
        <v>83</v>
      </c>
      <c r="AZ431" s="4">
        <v>43405</v>
      </c>
      <c r="BA431" s="5">
        <v>0.85486111111111107</v>
      </c>
      <c r="BB431" s="2">
        <v>2018</v>
      </c>
      <c r="BC431" s="2" t="s">
        <v>455</v>
      </c>
      <c r="BD431" s="2">
        <v>1</v>
      </c>
      <c r="BE431" s="4">
        <v>43117</v>
      </c>
      <c r="BF431" s="5">
        <v>0.85486111111111107</v>
      </c>
      <c r="BG431" s="2" t="str" cm="1">
        <f t="array" ref="BG431">_xlfn.IFS(BF431&lt;TIMEVALUE("06:00"),"Night", BF431&gt;=TIMEVALUE("21:00"),"Night",BF431&gt;=TIMEVALUE("17:00"),"Evening",BF431&gt;=TIMEVALUE("12:00"),"Afternoon", BF431&gt;=TIMEVALUE("06:00"),"Morning")</f>
        <v>Evening</v>
      </c>
      <c r="BH431" s="2">
        <v>2018</v>
      </c>
      <c r="BI431" s="2" t="s">
        <v>84</v>
      </c>
      <c r="BJ431" s="2">
        <v>17</v>
      </c>
    </row>
    <row r="432" spans="1:62" x14ac:dyDescent="0.3">
      <c r="A432" s="2" t="s">
        <v>99</v>
      </c>
      <c r="B432" s="2">
        <v>5</v>
      </c>
      <c r="C432" s="2">
        <v>4</v>
      </c>
      <c r="D432" s="2">
        <v>78</v>
      </c>
      <c r="E432" s="2">
        <v>278.58999999999997</v>
      </c>
      <c r="F432" s="2" t="s">
        <v>87</v>
      </c>
      <c r="G432" s="2" t="s">
        <v>88</v>
      </c>
      <c r="H432" s="2">
        <v>73</v>
      </c>
      <c r="I432" s="2" t="s">
        <v>65</v>
      </c>
      <c r="J432" s="2" t="s">
        <v>1106</v>
      </c>
      <c r="K432" s="2" t="s">
        <v>102</v>
      </c>
      <c r="L432" s="2" t="s">
        <v>2266</v>
      </c>
      <c r="M432" s="2">
        <v>19377</v>
      </c>
      <c r="N432" s="2" t="s">
        <v>853</v>
      </c>
      <c r="O432" s="2" t="s">
        <v>70</v>
      </c>
      <c r="P432" s="2" t="s">
        <v>105</v>
      </c>
      <c r="Q432" s="2" t="s">
        <v>2267</v>
      </c>
      <c r="R432" s="2">
        <v>93304</v>
      </c>
      <c r="S432" s="2">
        <v>2</v>
      </c>
      <c r="T432" s="2" t="s">
        <v>73</v>
      </c>
      <c r="U432" s="2">
        <v>35.362544999999997</v>
      </c>
      <c r="V432" s="2">
        <v>-119.01869960000001</v>
      </c>
      <c r="W432" s="2" t="s">
        <v>74</v>
      </c>
      <c r="X432" s="2" t="s">
        <v>1361</v>
      </c>
      <c r="Y432" s="2" t="s">
        <v>1362</v>
      </c>
      <c r="Z432" s="2">
        <v>19377</v>
      </c>
      <c r="AA432" s="3">
        <v>43405.840277777781</v>
      </c>
      <c r="AB432" s="2">
        <v>75824</v>
      </c>
      <c r="AC432" s="2">
        <v>1360</v>
      </c>
      <c r="AD432" s="2">
        <v>49.16</v>
      </c>
      <c r="AE432" s="2">
        <v>0.15</v>
      </c>
      <c r="AF432" s="2" t="str" cm="1">
        <f t="array" ref="AF432">_xlfn.IFS(AE432=0, "No Discount ", AE432&lt;=0.08,"Low Discount", AE432&lt;=0.16,"Medium Discount", AE432&gt;0.16, "High Discount")</f>
        <v>Medium Discount</v>
      </c>
      <c r="AG432" s="2">
        <v>179139</v>
      </c>
      <c r="AH432" s="2">
        <v>327.75</v>
      </c>
      <c r="AI432" s="2">
        <v>0.28000000000000003</v>
      </c>
      <c r="AJ432" s="2" t="str" cm="1">
        <f t="array" ref="AJ432">_xlfn.IFS(AI432&lt;=0, "No Profit", AI432&lt;=0.16,"Low Profit",AI432&lt;=0.32,"Medium Profit",AI432&gt;0.32,"High Profit")</f>
        <v>Medium Profit</v>
      </c>
      <c r="AK432" s="2">
        <v>1</v>
      </c>
      <c r="AL432" s="2">
        <v>327.75</v>
      </c>
      <c r="AM432" s="2">
        <v>278.58999999999997</v>
      </c>
      <c r="AN432" s="2">
        <v>78</v>
      </c>
      <c r="AO432" s="2" t="s">
        <v>95</v>
      </c>
      <c r="AP432" s="2" t="s">
        <v>1361</v>
      </c>
      <c r="AQ432" s="2" t="s">
        <v>108</v>
      </c>
      <c r="AR432" s="2" t="s">
        <v>81</v>
      </c>
      <c r="AS432" s="2">
        <v>1360</v>
      </c>
      <c r="AT432" s="2">
        <v>73</v>
      </c>
      <c r="AU432" s="2" t="s">
        <v>82</v>
      </c>
      <c r="AV432" s="2">
        <v>327.75</v>
      </c>
      <c r="AW432" s="2">
        <v>0</v>
      </c>
      <c r="AX432" s="2" t="s">
        <v>2268</v>
      </c>
      <c r="AY432" s="2" t="s">
        <v>83</v>
      </c>
      <c r="AZ432" s="4">
        <v>43405</v>
      </c>
      <c r="BA432" s="5">
        <v>0.84027777777777779</v>
      </c>
      <c r="BB432" s="2">
        <v>2018</v>
      </c>
      <c r="BC432" s="2" t="s">
        <v>455</v>
      </c>
      <c r="BD432" s="2">
        <v>1</v>
      </c>
      <c r="BE432" s="4">
        <v>43116</v>
      </c>
      <c r="BF432" s="5">
        <v>0.84027777777777779</v>
      </c>
      <c r="BG432" s="2" t="str" cm="1">
        <f t="array" ref="BG432">_xlfn.IFS(BF432&lt;TIMEVALUE("06:00"),"Night", BF432&gt;=TIMEVALUE("21:00"),"Night",BF432&gt;=TIMEVALUE("17:00"),"Evening",BF432&gt;=TIMEVALUE("12:00"),"Afternoon", BF432&gt;=TIMEVALUE("06:00"),"Morning")</f>
        <v>Evening</v>
      </c>
      <c r="BH432" s="2">
        <v>2018</v>
      </c>
      <c r="BI432" s="2" t="s">
        <v>84</v>
      </c>
      <c r="BJ432" s="2">
        <v>16</v>
      </c>
    </row>
    <row r="433" spans="1:62" x14ac:dyDescent="0.3">
      <c r="A433" s="2" t="s">
        <v>86</v>
      </c>
      <c r="B433" s="2">
        <v>4</v>
      </c>
      <c r="C433" s="2">
        <v>4</v>
      </c>
      <c r="D433" s="2">
        <v>-183.63</v>
      </c>
      <c r="E433" s="2">
        <v>275.31</v>
      </c>
      <c r="F433" s="2" t="s">
        <v>100</v>
      </c>
      <c r="G433" s="2" t="s">
        <v>64</v>
      </c>
      <c r="H433" s="2">
        <v>73</v>
      </c>
      <c r="I433" s="2" t="s">
        <v>65</v>
      </c>
      <c r="J433" s="2" t="s">
        <v>66</v>
      </c>
      <c r="K433" s="2" t="s">
        <v>67</v>
      </c>
      <c r="L433" s="2" t="s">
        <v>2269</v>
      </c>
      <c r="M433" s="2">
        <v>19376</v>
      </c>
      <c r="N433" s="2" t="s">
        <v>1583</v>
      </c>
      <c r="O433" s="2" t="s">
        <v>124</v>
      </c>
      <c r="P433" s="2" t="s">
        <v>71</v>
      </c>
      <c r="Q433" s="2" t="s">
        <v>2270</v>
      </c>
      <c r="R433" s="2">
        <v>725</v>
      </c>
      <c r="S433" s="2">
        <v>2</v>
      </c>
      <c r="T433" s="2" t="s">
        <v>73</v>
      </c>
      <c r="U433" s="2">
        <v>18.219507199999999</v>
      </c>
      <c r="V433" s="2">
        <v>-66.037048299999995</v>
      </c>
      <c r="W433" s="2" t="s">
        <v>74</v>
      </c>
      <c r="X433" s="2" t="s">
        <v>1361</v>
      </c>
      <c r="Y433" s="2" t="s">
        <v>1362</v>
      </c>
      <c r="Z433" s="2">
        <v>19376</v>
      </c>
      <c r="AA433" s="3">
        <v>43405.825694444444</v>
      </c>
      <c r="AB433" s="2">
        <v>75823</v>
      </c>
      <c r="AC433" s="2">
        <v>1360</v>
      </c>
      <c r="AD433" s="2">
        <v>52.44</v>
      </c>
      <c r="AE433" s="2">
        <v>0.16</v>
      </c>
      <c r="AF433" s="2" t="str" cm="1">
        <f t="array" ref="AF433">_xlfn.IFS(AE433=0, "No Discount ", AE433&lt;=0.08,"Low Discount", AE433&lt;=0.16,"Medium Discount", AE433&gt;0.16, "High Discount")</f>
        <v>Medium Discount</v>
      </c>
      <c r="AG433" s="2">
        <v>179138</v>
      </c>
      <c r="AH433" s="2">
        <v>327.75</v>
      </c>
      <c r="AI433" s="2">
        <v>-0.67</v>
      </c>
      <c r="AJ433" s="2" t="str" cm="1">
        <f t="array" ref="AJ433">_xlfn.IFS(AI433&lt;=0, "No Profit", AI433&lt;=0.16,"Low Profit",AI433&lt;=0.32,"Medium Profit",AI433&gt;0.32,"High Profit")</f>
        <v>No Profit</v>
      </c>
      <c r="AK433" s="2">
        <v>1</v>
      </c>
      <c r="AL433" s="2">
        <v>327.75</v>
      </c>
      <c r="AM433" s="2">
        <v>275.31</v>
      </c>
      <c r="AN433" s="2">
        <v>-183.63</v>
      </c>
      <c r="AO433" s="2" t="s">
        <v>95</v>
      </c>
      <c r="AP433" s="2" t="s">
        <v>1361</v>
      </c>
      <c r="AQ433" s="2" t="s">
        <v>97</v>
      </c>
      <c r="AR433" s="2" t="s">
        <v>81</v>
      </c>
      <c r="AS433" s="2">
        <v>1360</v>
      </c>
      <c r="AT433" s="2">
        <v>73</v>
      </c>
      <c r="AU433" s="2" t="s">
        <v>82</v>
      </c>
      <c r="AV433" s="2">
        <v>327.75</v>
      </c>
      <c r="AW433" s="2">
        <v>0</v>
      </c>
      <c r="AX433" s="2" t="s">
        <v>2271</v>
      </c>
      <c r="AY433" s="2" t="s">
        <v>83</v>
      </c>
      <c r="AZ433" s="4">
        <v>43405</v>
      </c>
      <c r="BA433" s="5">
        <v>0.8256944444444444</v>
      </c>
      <c r="BB433" s="2">
        <v>2018</v>
      </c>
      <c r="BC433" s="2" t="s">
        <v>455</v>
      </c>
      <c r="BD433" s="2">
        <v>1</v>
      </c>
      <c r="BE433" s="4">
        <v>43115</v>
      </c>
      <c r="BF433" s="5">
        <v>0.8256944444444444</v>
      </c>
      <c r="BG433" s="2" t="str" cm="1">
        <f t="array" ref="BG433">_xlfn.IFS(BF433&lt;TIMEVALUE("06:00"),"Night", BF433&gt;=TIMEVALUE("21:00"),"Night",BF433&gt;=TIMEVALUE("17:00"),"Evening",BF433&gt;=TIMEVALUE("12:00"),"Afternoon", BF433&gt;=TIMEVALUE("06:00"),"Morning")</f>
        <v>Evening</v>
      </c>
      <c r="BH433" s="2">
        <v>2018</v>
      </c>
      <c r="BI433" s="2" t="s">
        <v>84</v>
      </c>
      <c r="BJ433" s="2">
        <v>15</v>
      </c>
    </row>
    <row r="434" spans="1:62" x14ac:dyDescent="0.3">
      <c r="A434" s="2" t="s">
        <v>62</v>
      </c>
      <c r="B434" s="2">
        <v>3</v>
      </c>
      <c r="C434" s="2">
        <v>4</v>
      </c>
      <c r="D434" s="2">
        <v>98.75</v>
      </c>
      <c r="E434" s="2">
        <v>272.02999999999997</v>
      </c>
      <c r="F434" s="2" t="s">
        <v>63</v>
      </c>
      <c r="G434" s="2" t="s">
        <v>64</v>
      </c>
      <c r="H434" s="2">
        <v>73</v>
      </c>
      <c r="I434" s="2" t="s">
        <v>65</v>
      </c>
      <c r="J434" s="2" t="s">
        <v>2272</v>
      </c>
      <c r="K434" s="2" t="s">
        <v>102</v>
      </c>
      <c r="L434" s="2" t="s">
        <v>403</v>
      </c>
      <c r="M434" s="2">
        <v>19375</v>
      </c>
      <c r="N434" s="2" t="s">
        <v>232</v>
      </c>
      <c r="O434" s="2" t="s">
        <v>70</v>
      </c>
      <c r="P434" s="2" t="s">
        <v>105</v>
      </c>
      <c r="Q434" s="2" t="s">
        <v>2273</v>
      </c>
      <c r="R434" s="2">
        <v>91344</v>
      </c>
      <c r="S434" s="2">
        <v>2</v>
      </c>
      <c r="T434" s="2" t="s">
        <v>73</v>
      </c>
      <c r="U434" s="2">
        <v>34.073638899999999</v>
      </c>
      <c r="V434" s="2">
        <v>-117.7083511</v>
      </c>
      <c r="W434" s="2" t="s">
        <v>74</v>
      </c>
      <c r="X434" s="2" t="s">
        <v>2274</v>
      </c>
      <c r="Y434" s="2" t="s">
        <v>93</v>
      </c>
      <c r="Z434" s="2">
        <v>19375</v>
      </c>
      <c r="AA434" s="3">
        <v>43405.811111111114</v>
      </c>
      <c r="AB434" s="2">
        <v>75822</v>
      </c>
      <c r="AC434" s="2">
        <v>1360</v>
      </c>
      <c r="AD434" s="2">
        <v>55.72</v>
      </c>
      <c r="AE434" s="2">
        <v>0.17</v>
      </c>
      <c r="AF434" s="2" t="str" cm="1">
        <f t="array" ref="AF434">_xlfn.IFS(AE434=0, "No Discount ", AE434&lt;=0.08,"Low Discount", AE434&lt;=0.16,"Medium Discount", AE434&gt;0.16, "High Discount")</f>
        <v>High Discount</v>
      </c>
      <c r="AG434" s="2">
        <v>179137</v>
      </c>
      <c r="AH434" s="2">
        <v>327.75</v>
      </c>
      <c r="AI434" s="2">
        <v>0.36</v>
      </c>
      <c r="AJ434" s="2" t="str" cm="1">
        <f t="array" ref="AJ434">_xlfn.IFS(AI434&lt;=0, "No Profit", AI434&lt;=0.16,"Low Profit",AI434&lt;=0.32,"Medium Profit",AI434&gt;0.32,"High Profit")</f>
        <v>High Profit</v>
      </c>
      <c r="AK434" s="2">
        <v>1</v>
      </c>
      <c r="AL434" s="2">
        <v>327.75</v>
      </c>
      <c r="AM434" s="2">
        <v>272.02999999999997</v>
      </c>
      <c r="AN434" s="2">
        <v>98.75</v>
      </c>
      <c r="AO434" s="2" t="s">
        <v>95</v>
      </c>
      <c r="AP434" s="2" t="s">
        <v>196</v>
      </c>
      <c r="AQ434" s="2" t="s">
        <v>80</v>
      </c>
      <c r="AR434" s="2" t="s">
        <v>81</v>
      </c>
      <c r="AS434" s="2">
        <v>1360</v>
      </c>
      <c r="AT434" s="2">
        <v>73</v>
      </c>
      <c r="AU434" s="2" t="s">
        <v>82</v>
      </c>
      <c r="AV434" s="2">
        <v>327.75</v>
      </c>
      <c r="AW434" s="2">
        <v>0</v>
      </c>
      <c r="AX434" s="2" t="s">
        <v>2275</v>
      </c>
      <c r="AY434" s="2" t="s">
        <v>83</v>
      </c>
      <c r="AZ434" s="4">
        <v>43405</v>
      </c>
      <c r="BA434" s="5">
        <v>0.81111111111111112</v>
      </c>
      <c r="BB434" s="2">
        <v>2018</v>
      </c>
      <c r="BC434" s="2" t="s">
        <v>455</v>
      </c>
      <c r="BD434" s="2">
        <v>1</v>
      </c>
      <c r="BE434" s="4">
        <v>43114</v>
      </c>
      <c r="BF434" s="5">
        <v>0.81111111111111112</v>
      </c>
      <c r="BG434" s="2" t="str" cm="1">
        <f t="array" ref="BG434">_xlfn.IFS(BF434&lt;TIMEVALUE("06:00"),"Night", BF434&gt;=TIMEVALUE("21:00"),"Night",BF434&gt;=TIMEVALUE("17:00"),"Evening",BF434&gt;=TIMEVALUE("12:00"),"Afternoon", BF434&gt;=TIMEVALUE("06:00"),"Morning")</f>
        <v>Evening</v>
      </c>
      <c r="BH434" s="2">
        <v>2018</v>
      </c>
      <c r="BI434" s="2" t="s">
        <v>84</v>
      </c>
      <c r="BJ434" s="2">
        <v>14</v>
      </c>
    </row>
    <row r="435" spans="1:62" x14ac:dyDescent="0.3">
      <c r="A435" s="2" t="s">
        <v>62</v>
      </c>
      <c r="B435" s="2">
        <v>2</v>
      </c>
      <c r="C435" s="2">
        <v>4</v>
      </c>
      <c r="D435" s="2">
        <v>26.88</v>
      </c>
      <c r="E435" s="2">
        <v>268.76</v>
      </c>
      <c r="F435" s="2" t="s">
        <v>63</v>
      </c>
      <c r="G435" s="2" t="s">
        <v>64</v>
      </c>
      <c r="H435" s="2">
        <v>73</v>
      </c>
      <c r="I435" s="2" t="s">
        <v>65</v>
      </c>
      <c r="J435" s="2" t="s">
        <v>66</v>
      </c>
      <c r="K435" s="2" t="s">
        <v>67</v>
      </c>
      <c r="L435" s="2" t="s">
        <v>2276</v>
      </c>
      <c r="M435" s="2">
        <v>19374</v>
      </c>
      <c r="N435" s="2" t="s">
        <v>2018</v>
      </c>
      <c r="O435" s="2" t="s">
        <v>70</v>
      </c>
      <c r="P435" s="2" t="s">
        <v>71</v>
      </c>
      <c r="Q435" s="2" t="s">
        <v>2277</v>
      </c>
      <c r="R435" s="2">
        <v>725</v>
      </c>
      <c r="S435" s="2">
        <v>2</v>
      </c>
      <c r="T435" s="2" t="s">
        <v>73</v>
      </c>
      <c r="U435" s="2">
        <v>18.252149599999999</v>
      </c>
      <c r="V435" s="2">
        <v>-66.037056000000007</v>
      </c>
      <c r="W435" s="2" t="s">
        <v>74</v>
      </c>
      <c r="X435" s="2" t="s">
        <v>2274</v>
      </c>
      <c r="Y435" s="2" t="s">
        <v>93</v>
      </c>
      <c r="Z435" s="2">
        <v>19374</v>
      </c>
      <c r="AA435" s="3">
        <v>43405.796527777777</v>
      </c>
      <c r="AB435" s="2">
        <v>75821</v>
      </c>
      <c r="AC435" s="2">
        <v>1360</v>
      </c>
      <c r="AD435" s="2">
        <v>59</v>
      </c>
      <c r="AE435" s="2">
        <v>0.18</v>
      </c>
      <c r="AF435" s="2" t="str" cm="1">
        <f t="array" ref="AF435">_xlfn.IFS(AE435=0, "No Discount ", AE435&lt;=0.08,"Low Discount", AE435&lt;=0.16,"Medium Discount", AE435&gt;0.16, "High Discount")</f>
        <v>High Discount</v>
      </c>
      <c r="AG435" s="2">
        <v>179136</v>
      </c>
      <c r="AH435" s="2">
        <v>327.75</v>
      </c>
      <c r="AI435" s="2">
        <v>0.1</v>
      </c>
      <c r="AJ435" s="2" t="str" cm="1">
        <f t="array" ref="AJ435">_xlfn.IFS(AI435&lt;=0, "No Profit", AI435&lt;=0.16,"Low Profit",AI435&lt;=0.32,"Medium Profit",AI435&gt;0.32,"High Profit")</f>
        <v>Low Profit</v>
      </c>
      <c r="AK435" s="2">
        <v>1</v>
      </c>
      <c r="AL435" s="2">
        <v>327.75</v>
      </c>
      <c r="AM435" s="2">
        <v>268.76</v>
      </c>
      <c r="AN435" s="2">
        <v>26.88</v>
      </c>
      <c r="AO435" s="2" t="s">
        <v>95</v>
      </c>
      <c r="AP435" s="2" t="s">
        <v>196</v>
      </c>
      <c r="AQ435" s="2" t="s">
        <v>80</v>
      </c>
      <c r="AR435" s="2" t="s">
        <v>81</v>
      </c>
      <c r="AS435" s="2">
        <v>1360</v>
      </c>
      <c r="AT435" s="2">
        <v>73</v>
      </c>
      <c r="AU435" s="2" t="s">
        <v>82</v>
      </c>
      <c r="AV435" s="2">
        <v>327.75</v>
      </c>
      <c r="AW435" s="2">
        <v>0</v>
      </c>
      <c r="AX435" s="2" t="s">
        <v>2278</v>
      </c>
      <c r="AY435" s="2" t="s">
        <v>83</v>
      </c>
      <c r="AZ435" s="4">
        <v>43405</v>
      </c>
      <c r="BA435" s="5">
        <v>0.79652777777777772</v>
      </c>
      <c r="BB435" s="2">
        <v>2018</v>
      </c>
      <c r="BC435" s="2" t="s">
        <v>455</v>
      </c>
      <c r="BD435" s="2">
        <v>1</v>
      </c>
      <c r="BE435" s="4">
        <v>43113</v>
      </c>
      <c r="BF435" s="5">
        <v>0.79652777777777772</v>
      </c>
      <c r="BG435" s="2" t="str" cm="1">
        <f t="array" ref="BG435">_xlfn.IFS(BF435&lt;TIMEVALUE("06:00"),"Night", BF435&gt;=TIMEVALUE("21:00"),"Night",BF435&gt;=TIMEVALUE("17:00"),"Evening",BF435&gt;=TIMEVALUE("12:00"),"Afternoon", BF435&gt;=TIMEVALUE("06:00"),"Morning")</f>
        <v>Evening</v>
      </c>
      <c r="BH435" s="2">
        <v>2018</v>
      </c>
      <c r="BI435" s="2" t="s">
        <v>84</v>
      </c>
      <c r="BJ435" s="2">
        <v>13</v>
      </c>
    </row>
    <row r="436" spans="1:62" x14ac:dyDescent="0.3">
      <c r="A436" s="2" t="s">
        <v>62</v>
      </c>
      <c r="B436" s="2">
        <v>6</v>
      </c>
      <c r="C436" s="2">
        <v>4</v>
      </c>
      <c r="D436" s="2">
        <v>91.77</v>
      </c>
      <c r="E436" s="2">
        <v>262.2</v>
      </c>
      <c r="F436" s="2" t="s">
        <v>87</v>
      </c>
      <c r="G436" s="2" t="s">
        <v>88</v>
      </c>
      <c r="H436" s="2">
        <v>73</v>
      </c>
      <c r="I436" s="2" t="s">
        <v>65</v>
      </c>
      <c r="J436" s="2" t="s">
        <v>1682</v>
      </c>
      <c r="K436" s="2" t="s">
        <v>102</v>
      </c>
      <c r="L436" s="2" t="s">
        <v>2279</v>
      </c>
      <c r="M436" s="2">
        <v>19373</v>
      </c>
      <c r="N436" s="2" t="s">
        <v>2280</v>
      </c>
      <c r="O436" s="2" t="s">
        <v>113</v>
      </c>
      <c r="P436" s="2" t="s">
        <v>152</v>
      </c>
      <c r="Q436" s="2" t="s">
        <v>2281</v>
      </c>
      <c r="R436" s="2">
        <v>32308</v>
      </c>
      <c r="S436" s="2">
        <v>2</v>
      </c>
      <c r="T436" s="2" t="s">
        <v>73</v>
      </c>
      <c r="U436" s="2">
        <v>30.4950619</v>
      </c>
      <c r="V436" s="2">
        <v>-84.245803800000004</v>
      </c>
      <c r="W436" s="2" t="s">
        <v>74</v>
      </c>
      <c r="X436" s="2" t="s">
        <v>1372</v>
      </c>
      <c r="Y436" s="2" t="s">
        <v>1373</v>
      </c>
      <c r="Z436" s="2">
        <v>19373</v>
      </c>
      <c r="AA436" s="3">
        <v>43405.781944444447</v>
      </c>
      <c r="AB436" s="2">
        <v>75820</v>
      </c>
      <c r="AC436" s="2">
        <v>1360</v>
      </c>
      <c r="AD436" s="2">
        <v>65.55</v>
      </c>
      <c r="AE436" s="2">
        <v>0.2</v>
      </c>
      <c r="AF436" s="2" t="str" cm="1">
        <f t="array" ref="AF436">_xlfn.IFS(AE436=0, "No Discount ", AE436&lt;=0.08,"Low Discount", AE436&lt;=0.16,"Medium Discount", AE436&gt;0.16, "High Discount")</f>
        <v>High Discount</v>
      </c>
      <c r="AG436" s="2">
        <v>179135</v>
      </c>
      <c r="AH436" s="2">
        <v>327.75</v>
      </c>
      <c r="AI436" s="2">
        <v>0.35</v>
      </c>
      <c r="AJ436" s="2" t="str" cm="1">
        <f t="array" ref="AJ436">_xlfn.IFS(AI436&lt;=0, "No Profit", AI436&lt;=0.16,"Low Profit",AI436&lt;=0.32,"Medium Profit",AI436&gt;0.32,"High Profit")</f>
        <v>High Profit</v>
      </c>
      <c r="AK436" s="2">
        <v>1</v>
      </c>
      <c r="AL436" s="2">
        <v>327.75</v>
      </c>
      <c r="AM436" s="2">
        <v>262.2</v>
      </c>
      <c r="AN436" s="2">
        <v>91.77</v>
      </c>
      <c r="AO436" s="2" t="s">
        <v>78</v>
      </c>
      <c r="AP436" s="2" t="s">
        <v>1372</v>
      </c>
      <c r="AQ436" s="2" t="s">
        <v>80</v>
      </c>
      <c r="AR436" s="2" t="s">
        <v>81</v>
      </c>
      <c r="AS436" s="2">
        <v>1360</v>
      </c>
      <c r="AT436" s="2">
        <v>73</v>
      </c>
      <c r="AU436" s="2" t="s">
        <v>82</v>
      </c>
      <c r="AV436" s="2">
        <v>327.75</v>
      </c>
      <c r="AW436" s="2">
        <v>0</v>
      </c>
      <c r="AX436" s="2" t="s">
        <v>2282</v>
      </c>
      <c r="AY436" s="2" t="s">
        <v>83</v>
      </c>
      <c r="AZ436" s="4">
        <v>43405</v>
      </c>
      <c r="BA436" s="5">
        <v>0.78194444444444444</v>
      </c>
      <c r="BB436" s="2">
        <v>2018</v>
      </c>
      <c r="BC436" s="2" t="s">
        <v>455</v>
      </c>
      <c r="BD436" s="2">
        <v>1</v>
      </c>
      <c r="BE436" s="4">
        <v>43117</v>
      </c>
      <c r="BF436" s="5">
        <v>0.78194444444444444</v>
      </c>
      <c r="BG436" s="2" t="str" cm="1">
        <f t="array" ref="BG436">_xlfn.IFS(BF436&lt;TIMEVALUE("06:00"),"Night", BF436&gt;=TIMEVALUE("21:00"),"Night",BF436&gt;=TIMEVALUE("17:00"),"Evening",BF436&gt;=TIMEVALUE("12:00"),"Afternoon", BF436&gt;=TIMEVALUE("06:00"),"Morning")</f>
        <v>Evening</v>
      </c>
      <c r="BH436" s="2">
        <v>2018</v>
      </c>
      <c r="BI436" s="2" t="s">
        <v>84</v>
      </c>
      <c r="BJ436" s="2">
        <v>17</v>
      </c>
    </row>
    <row r="437" spans="1:62" x14ac:dyDescent="0.3">
      <c r="A437" s="2" t="s">
        <v>62</v>
      </c>
      <c r="B437" s="2">
        <v>5</v>
      </c>
      <c r="C437" s="2">
        <v>4</v>
      </c>
      <c r="D437" s="2">
        <v>-180.18</v>
      </c>
      <c r="E437" s="2">
        <v>245.81</v>
      </c>
      <c r="F437" s="2" t="s">
        <v>87</v>
      </c>
      <c r="G437" s="2" t="s">
        <v>88</v>
      </c>
      <c r="H437" s="2">
        <v>73</v>
      </c>
      <c r="I437" s="2" t="s">
        <v>65</v>
      </c>
      <c r="J437" s="2" t="s">
        <v>66</v>
      </c>
      <c r="K437" s="2" t="s">
        <v>67</v>
      </c>
      <c r="L437" s="2" t="s">
        <v>406</v>
      </c>
      <c r="M437" s="2">
        <v>19372</v>
      </c>
      <c r="N437" s="2" t="s">
        <v>2283</v>
      </c>
      <c r="O437" s="2" t="s">
        <v>113</v>
      </c>
      <c r="P437" s="2" t="s">
        <v>71</v>
      </c>
      <c r="Q437" s="2" t="s">
        <v>2284</v>
      </c>
      <c r="R437" s="2">
        <v>725</v>
      </c>
      <c r="S437" s="2">
        <v>2</v>
      </c>
      <c r="T437" s="2" t="s">
        <v>73</v>
      </c>
      <c r="U437" s="2">
        <v>18.253608700000001</v>
      </c>
      <c r="V437" s="2">
        <v>-66.037063599999996</v>
      </c>
      <c r="W437" s="2" t="s">
        <v>74</v>
      </c>
      <c r="X437" s="2" t="s">
        <v>2285</v>
      </c>
      <c r="Y437" s="2" t="s">
        <v>1373</v>
      </c>
      <c r="Z437" s="2">
        <v>19372</v>
      </c>
      <c r="AA437" s="3">
        <v>43405.767361111109</v>
      </c>
      <c r="AB437" s="2">
        <v>75819</v>
      </c>
      <c r="AC437" s="2">
        <v>1360</v>
      </c>
      <c r="AD437" s="2">
        <v>81.94</v>
      </c>
      <c r="AE437" s="2">
        <v>0.25</v>
      </c>
      <c r="AF437" s="2" t="str" cm="1">
        <f t="array" ref="AF437">_xlfn.IFS(AE437=0, "No Discount ", AE437&lt;=0.08,"Low Discount", AE437&lt;=0.16,"Medium Discount", AE437&gt;0.16, "High Discount")</f>
        <v>High Discount</v>
      </c>
      <c r="AG437" s="2">
        <v>179134</v>
      </c>
      <c r="AH437" s="2">
        <v>327.75</v>
      </c>
      <c r="AI437" s="2">
        <v>-0.73</v>
      </c>
      <c r="AJ437" s="2" t="str" cm="1">
        <f t="array" ref="AJ437">_xlfn.IFS(AI437&lt;=0, "No Profit", AI437&lt;=0.16,"Low Profit",AI437&lt;=0.32,"Medium Profit",AI437&gt;0.32,"High Profit")</f>
        <v>No Profit</v>
      </c>
      <c r="AK437" s="2">
        <v>1</v>
      </c>
      <c r="AL437" s="2">
        <v>327.75</v>
      </c>
      <c r="AM437" s="2">
        <v>245.81</v>
      </c>
      <c r="AN437" s="2">
        <v>-180.18</v>
      </c>
      <c r="AO437" s="2" t="s">
        <v>78</v>
      </c>
      <c r="AP437" s="2" t="s">
        <v>2285</v>
      </c>
      <c r="AQ437" s="2" t="s">
        <v>80</v>
      </c>
      <c r="AR437" s="2" t="s">
        <v>81</v>
      </c>
      <c r="AS437" s="2">
        <v>1360</v>
      </c>
      <c r="AT437" s="2">
        <v>73</v>
      </c>
      <c r="AU437" s="2" t="s">
        <v>82</v>
      </c>
      <c r="AV437" s="2">
        <v>327.75</v>
      </c>
      <c r="AW437" s="2">
        <v>0</v>
      </c>
      <c r="AX437" s="2" t="s">
        <v>2286</v>
      </c>
      <c r="AY437" s="2" t="s">
        <v>83</v>
      </c>
      <c r="AZ437" s="4">
        <v>43405</v>
      </c>
      <c r="BA437" s="5">
        <v>0.76736111111111116</v>
      </c>
      <c r="BB437" s="2">
        <v>2018</v>
      </c>
      <c r="BC437" s="2" t="s">
        <v>455</v>
      </c>
      <c r="BD437" s="2">
        <v>1</v>
      </c>
      <c r="BE437" s="4">
        <v>43116</v>
      </c>
      <c r="BF437" s="5">
        <v>0.76736111111111116</v>
      </c>
      <c r="BG437" s="2" t="str" cm="1">
        <f t="array" ref="BG437">_xlfn.IFS(BF437&lt;TIMEVALUE("06:00"),"Night", BF437&gt;=TIMEVALUE("21:00"),"Night",BF437&gt;=TIMEVALUE("17:00"),"Evening",BF437&gt;=TIMEVALUE("12:00"),"Afternoon", BF437&gt;=TIMEVALUE("06:00"),"Morning")</f>
        <v>Evening</v>
      </c>
      <c r="BH437" s="2">
        <v>2018</v>
      </c>
      <c r="BI437" s="2" t="s">
        <v>84</v>
      </c>
      <c r="BJ437" s="2">
        <v>16</v>
      </c>
    </row>
    <row r="438" spans="1:62" x14ac:dyDescent="0.3">
      <c r="A438" s="2" t="s">
        <v>86</v>
      </c>
      <c r="B438" s="2">
        <v>4</v>
      </c>
      <c r="C438" s="2">
        <v>4</v>
      </c>
      <c r="D438" s="2">
        <v>-251.38</v>
      </c>
      <c r="E438" s="2">
        <v>327.75</v>
      </c>
      <c r="F438" s="2" t="s">
        <v>100</v>
      </c>
      <c r="G438" s="2" t="s">
        <v>64</v>
      </c>
      <c r="H438" s="2">
        <v>73</v>
      </c>
      <c r="I438" s="2" t="s">
        <v>65</v>
      </c>
      <c r="J438" s="2" t="s">
        <v>2287</v>
      </c>
      <c r="K438" s="2" t="s">
        <v>102</v>
      </c>
      <c r="L438" s="2" t="s">
        <v>2288</v>
      </c>
      <c r="M438" s="2">
        <v>19371</v>
      </c>
      <c r="N438" s="2" t="s">
        <v>2289</v>
      </c>
      <c r="O438" s="2" t="s">
        <v>113</v>
      </c>
      <c r="P438" s="2" t="s">
        <v>133</v>
      </c>
      <c r="Q438" s="2" t="s">
        <v>2290</v>
      </c>
      <c r="R438" s="2">
        <v>11550</v>
      </c>
      <c r="S438" s="2">
        <v>2</v>
      </c>
      <c r="T438" s="2" t="s">
        <v>73</v>
      </c>
      <c r="U438" s="2">
        <v>40.687034599999997</v>
      </c>
      <c r="V438" s="2">
        <v>-73.624465900000004</v>
      </c>
      <c r="W438" s="2" t="s">
        <v>74</v>
      </c>
      <c r="X438" s="2" t="s">
        <v>2010</v>
      </c>
      <c r="Y438" s="2" t="s">
        <v>116</v>
      </c>
      <c r="Z438" s="2">
        <v>19371</v>
      </c>
      <c r="AA438" s="3">
        <v>43405.75277777778</v>
      </c>
      <c r="AB438" s="2">
        <v>75818</v>
      </c>
      <c r="AC438" s="2">
        <v>1360</v>
      </c>
      <c r="AD438" s="2">
        <v>0</v>
      </c>
      <c r="AE438" s="2">
        <v>0</v>
      </c>
      <c r="AF438" s="2" t="str" cm="1">
        <f t="array" ref="AF438">_xlfn.IFS(AE438=0, "No Discount ", AE438&lt;=0.08,"Low Discount", AE438&lt;=0.16,"Medium Discount", AE438&gt;0.16, "High Discount")</f>
        <v xml:space="preserve">No Discount </v>
      </c>
      <c r="AG438" s="2">
        <v>179133</v>
      </c>
      <c r="AH438" s="2">
        <v>327.75</v>
      </c>
      <c r="AI438" s="2">
        <v>-0.77</v>
      </c>
      <c r="AJ438" s="2" t="str" cm="1">
        <f t="array" ref="AJ438">_xlfn.IFS(AI438&lt;=0, "No Profit", AI438&lt;=0.16,"Low Profit",AI438&lt;=0.32,"Medium Profit",AI438&gt;0.32,"High Profit")</f>
        <v>No Profit</v>
      </c>
      <c r="AK438" s="2">
        <v>1</v>
      </c>
      <c r="AL438" s="2">
        <v>327.75</v>
      </c>
      <c r="AM438" s="2">
        <v>327.75</v>
      </c>
      <c r="AN438" s="2">
        <v>-251.38</v>
      </c>
      <c r="AO438" s="2" t="s">
        <v>118</v>
      </c>
      <c r="AP438" s="2" t="s">
        <v>355</v>
      </c>
      <c r="AQ438" s="2" t="s">
        <v>155</v>
      </c>
      <c r="AR438" s="2" t="s">
        <v>81</v>
      </c>
      <c r="AS438" s="2">
        <v>1360</v>
      </c>
      <c r="AT438" s="2">
        <v>73</v>
      </c>
      <c r="AU438" s="2" t="s">
        <v>82</v>
      </c>
      <c r="AV438" s="2">
        <v>327.75</v>
      </c>
      <c r="AW438" s="2">
        <v>0</v>
      </c>
      <c r="AX438" s="2" t="s">
        <v>2291</v>
      </c>
      <c r="AY438" s="2" t="s">
        <v>83</v>
      </c>
      <c r="AZ438" s="4">
        <v>43405</v>
      </c>
      <c r="BA438" s="5">
        <v>0.75277777777777777</v>
      </c>
      <c r="BB438" s="2">
        <v>2018</v>
      </c>
      <c r="BC438" s="2" t="s">
        <v>455</v>
      </c>
      <c r="BD438" s="2">
        <v>1</v>
      </c>
      <c r="BE438" s="4">
        <v>43115</v>
      </c>
      <c r="BF438" s="5">
        <v>0.75277777777777777</v>
      </c>
      <c r="BG438" s="2" t="str" cm="1">
        <f t="array" ref="BG438">_xlfn.IFS(BF438&lt;TIMEVALUE("06:00"),"Night", BF438&gt;=TIMEVALUE("21:00"),"Night",BF438&gt;=TIMEVALUE("17:00"),"Evening",BF438&gt;=TIMEVALUE("12:00"),"Afternoon", BF438&gt;=TIMEVALUE("06:00"),"Morning")</f>
        <v>Evening</v>
      </c>
      <c r="BH438" s="2">
        <v>2018</v>
      </c>
      <c r="BI438" s="2" t="s">
        <v>84</v>
      </c>
      <c r="BJ438" s="2">
        <v>15</v>
      </c>
    </row>
    <row r="439" spans="1:62" x14ac:dyDescent="0.3">
      <c r="A439" s="2" t="s">
        <v>99</v>
      </c>
      <c r="B439" s="2">
        <v>3</v>
      </c>
      <c r="C439" s="2">
        <v>4</v>
      </c>
      <c r="D439" s="2">
        <v>-237.84</v>
      </c>
      <c r="E439" s="2">
        <v>324.47000000000003</v>
      </c>
      <c r="F439" s="2" t="s">
        <v>63</v>
      </c>
      <c r="G439" s="2" t="s">
        <v>64</v>
      </c>
      <c r="H439" s="2">
        <v>73</v>
      </c>
      <c r="I439" s="2" t="s">
        <v>65</v>
      </c>
      <c r="J439" s="2" t="s">
        <v>66</v>
      </c>
      <c r="K439" s="2" t="s">
        <v>67</v>
      </c>
      <c r="L439" s="2" t="s">
        <v>2034</v>
      </c>
      <c r="M439" s="2">
        <v>19370</v>
      </c>
      <c r="N439" s="2" t="s">
        <v>2292</v>
      </c>
      <c r="O439" s="2" t="s">
        <v>124</v>
      </c>
      <c r="P439" s="2" t="s">
        <v>71</v>
      </c>
      <c r="Q439" s="2" t="s">
        <v>2293</v>
      </c>
      <c r="R439" s="2">
        <v>725</v>
      </c>
      <c r="S439" s="2">
        <v>2</v>
      </c>
      <c r="T439" s="2" t="s">
        <v>73</v>
      </c>
      <c r="U439" s="2">
        <v>18.263318999999999</v>
      </c>
      <c r="V439" s="2">
        <v>-66.037056000000007</v>
      </c>
      <c r="W439" s="2" t="s">
        <v>74</v>
      </c>
      <c r="X439" s="2" t="s">
        <v>2010</v>
      </c>
      <c r="Y439" s="2" t="s">
        <v>116</v>
      </c>
      <c r="Z439" s="2">
        <v>19370</v>
      </c>
      <c r="AA439" s="3">
        <v>43405.738194444442</v>
      </c>
      <c r="AB439" s="2">
        <v>75817</v>
      </c>
      <c r="AC439" s="2">
        <v>1360</v>
      </c>
      <c r="AD439" s="2">
        <v>3.28</v>
      </c>
      <c r="AE439" s="2">
        <v>0.01</v>
      </c>
      <c r="AF439" s="2" t="str" cm="1">
        <f t="array" ref="AF439">_xlfn.IFS(AE439=0, "No Discount ", AE439&lt;=0.08,"Low Discount", AE439&lt;=0.16,"Medium Discount", AE439&gt;0.16, "High Discount")</f>
        <v>Low Discount</v>
      </c>
      <c r="AG439" s="2">
        <v>179132</v>
      </c>
      <c r="AH439" s="2">
        <v>327.75</v>
      </c>
      <c r="AI439" s="2">
        <v>-0.73</v>
      </c>
      <c r="AJ439" s="2" t="str" cm="1">
        <f t="array" ref="AJ439">_xlfn.IFS(AI439&lt;=0, "No Profit", AI439&lt;=0.16,"Low Profit",AI439&lt;=0.32,"Medium Profit",AI439&gt;0.32,"High Profit")</f>
        <v>No Profit</v>
      </c>
      <c r="AK439" s="2">
        <v>1</v>
      </c>
      <c r="AL439" s="2">
        <v>327.75</v>
      </c>
      <c r="AM439" s="2">
        <v>324.47000000000003</v>
      </c>
      <c r="AN439" s="2">
        <v>-237.84</v>
      </c>
      <c r="AO439" s="2" t="s">
        <v>118</v>
      </c>
      <c r="AP439" s="2" t="s">
        <v>355</v>
      </c>
      <c r="AQ439" s="2" t="s">
        <v>108</v>
      </c>
      <c r="AR439" s="2" t="s">
        <v>81</v>
      </c>
      <c r="AS439" s="2">
        <v>1360</v>
      </c>
      <c r="AT439" s="2">
        <v>73</v>
      </c>
      <c r="AU439" s="2" t="s">
        <v>82</v>
      </c>
      <c r="AV439" s="2">
        <v>327.75</v>
      </c>
      <c r="AW439" s="2">
        <v>0</v>
      </c>
      <c r="AX439" s="2" t="s">
        <v>2294</v>
      </c>
      <c r="AY439" s="2" t="s">
        <v>83</v>
      </c>
      <c r="AZ439" s="4">
        <v>43405</v>
      </c>
      <c r="BA439" s="5">
        <v>0.73819444444444449</v>
      </c>
      <c r="BB439" s="2">
        <v>2018</v>
      </c>
      <c r="BC439" s="2" t="s">
        <v>455</v>
      </c>
      <c r="BD439" s="2">
        <v>1</v>
      </c>
      <c r="BE439" s="4">
        <v>43114</v>
      </c>
      <c r="BF439" s="5">
        <v>0.73819444444444449</v>
      </c>
      <c r="BG439" s="2" t="str" cm="1">
        <f t="array" ref="BG439">_xlfn.IFS(BF439&lt;TIMEVALUE("06:00"),"Night", BF439&gt;=TIMEVALUE("21:00"),"Night",BF439&gt;=TIMEVALUE("17:00"),"Evening",BF439&gt;=TIMEVALUE("12:00"),"Afternoon", BF439&gt;=TIMEVALUE("06:00"),"Morning")</f>
        <v>Evening</v>
      </c>
      <c r="BH439" s="2">
        <v>2018</v>
      </c>
      <c r="BI439" s="2" t="s">
        <v>84</v>
      </c>
      <c r="BJ439" s="2">
        <v>14</v>
      </c>
    </row>
    <row r="440" spans="1:62" x14ac:dyDescent="0.3">
      <c r="A440" s="2" t="s">
        <v>86</v>
      </c>
      <c r="B440" s="2">
        <v>2</v>
      </c>
      <c r="C440" s="2">
        <v>4</v>
      </c>
      <c r="D440" s="2">
        <v>28.27</v>
      </c>
      <c r="E440" s="2">
        <v>321.2</v>
      </c>
      <c r="F440" s="2" t="s">
        <v>63</v>
      </c>
      <c r="G440" s="2" t="s">
        <v>64</v>
      </c>
      <c r="H440" s="2">
        <v>73</v>
      </c>
      <c r="I440" s="2" t="s">
        <v>65</v>
      </c>
      <c r="J440" s="2" t="s">
        <v>2295</v>
      </c>
      <c r="K440" s="2" t="s">
        <v>102</v>
      </c>
      <c r="L440" s="2" t="s">
        <v>2296</v>
      </c>
      <c r="M440" s="2">
        <v>19369</v>
      </c>
      <c r="N440" s="2" t="s">
        <v>1153</v>
      </c>
      <c r="O440" s="2" t="s">
        <v>124</v>
      </c>
      <c r="P440" s="2" t="s">
        <v>133</v>
      </c>
      <c r="Q440" s="2" t="s">
        <v>2297</v>
      </c>
      <c r="R440" s="2">
        <v>11103</v>
      </c>
      <c r="S440" s="2">
        <v>2</v>
      </c>
      <c r="T440" s="2" t="s">
        <v>73</v>
      </c>
      <c r="U440" s="2">
        <v>40.7686195</v>
      </c>
      <c r="V440" s="2">
        <v>-73.909492499999999</v>
      </c>
      <c r="W440" s="2" t="s">
        <v>74</v>
      </c>
      <c r="X440" s="2" t="s">
        <v>2298</v>
      </c>
      <c r="Y440" s="2" t="s">
        <v>2299</v>
      </c>
      <c r="Z440" s="2">
        <v>19369</v>
      </c>
      <c r="AA440" s="3">
        <v>43405.723611111112</v>
      </c>
      <c r="AB440" s="2">
        <v>75816</v>
      </c>
      <c r="AC440" s="2">
        <v>1360</v>
      </c>
      <c r="AD440" s="2">
        <v>6.56</v>
      </c>
      <c r="AE440" s="2">
        <v>0.02</v>
      </c>
      <c r="AF440" s="2" t="str" cm="1">
        <f t="array" ref="AF440">_xlfn.IFS(AE440=0, "No Discount ", AE440&lt;=0.08,"Low Discount", AE440&lt;=0.16,"Medium Discount", AE440&gt;0.16, "High Discount")</f>
        <v>Low Discount</v>
      </c>
      <c r="AG440" s="2">
        <v>179131</v>
      </c>
      <c r="AH440" s="2">
        <v>327.75</v>
      </c>
      <c r="AI440" s="2">
        <v>0.09</v>
      </c>
      <c r="AJ440" s="2" t="str" cm="1">
        <f t="array" ref="AJ440">_xlfn.IFS(AI440&lt;=0, "No Profit", AI440&lt;=0.16,"Low Profit",AI440&lt;=0.32,"Medium Profit",AI440&gt;0.32,"High Profit")</f>
        <v>Low Profit</v>
      </c>
      <c r="AK440" s="2">
        <v>1</v>
      </c>
      <c r="AL440" s="2">
        <v>327.75</v>
      </c>
      <c r="AM440" s="2">
        <v>321.2</v>
      </c>
      <c r="AN440" s="2">
        <v>28.27</v>
      </c>
      <c r="AO440" s="2" t="s">
        <v>78</v>
      </c>
      <c r="AP440" s="2" t="s">
        <v>2300</v>
      </c>
      <c r="AQ440" s="2" t="s">
        <v>155</v>
      </c>
      <c r="AR440" s="2" t="s">
        <v>81</v>
      </c>
      <c r="AS440" s="2">
        <v>1360</v>
      </c>
      <c r="AT440" s="2">
        <v>73</v>
      </c>
      <c r="AU440" s="2" t="s">
        <v>82</v>
      </c>
      <c r="AV440" s="2">
        <v>327.75</v>
      </c>
      <c r="AW440" s="2">
        <v>0</v>
      </c>
      <c r="AX440" s="2" t="s">
        <v>2301</v>
      </c>
      <c r="AY440" s="2" t="s">
        <v>83</v>
      </c>
      <c r="AZ440" s="4">
        <v>43405</v>
      </c>
      <c r="BA440" s="5">
        <v>0.72361111111111109</v>
      </c>
      <c r="BB440" s="2">
        <v>2018</v>
      </c>
      <c r="BC440" s="2" t="s">
        <v>455</v>
      </c>
      <c r="BD440" s="2">
        <v>1</v>
      </c>
      <c r="BE440" s="4">
        <v>43113</v>
      </c>
      <c r="BF440" s="5">
        <v>0.72361111111111109</v>
      </c>
      <c r="BG440" s="2" t="str" cm="1">
        <f t="array" ref="BG440">_xlfn.IFS(BF440&lt;TIMEVALUE("06:00"),"Night", BF440&gt;=TIMEVALUE("21:00"),"Night",BF440&gt;=TIMEVALUE("17:00"),"Evening",BF440&gt;=TIMEVALUE("12:00"),"Afternoon", BF440&gt;=TIMEVALUE("06:00"),"Morning")</f>
        <v>Evening</v>
      </c>
      <c r="BH440" s="2">
        <v>2018</v>
      </c>
      <c r="BI440" s="2" t="s">
        <v>84</v>
      </c>
      <c r="BJ440" s="2">
        <v>13</v>
      </c>
    </row>
    <row r="441" spans="1:62" x14ac:dyDescent="0.3">
      <c r="A441" s="2" t="s">
        <v>62</v>
      </c>
      <c r="B441" s="2">
        <v>6</v>
      </c>
      <c r="C441" s="2">
        <v>4</v>
      </c>
      <c r="D441" s="2">
        <v>87.43</v>
      </c>
      <c r="E441" s="2">
        <v>317.92</v>
      </c>
      <c r="F441" s="2" t="s">
        <v>87</v>
      </c>
      <c r="G441" s="2" t="s">
        <v>88</v>
      </c>
      <c r="H441" s="2">
        <v>73</v>
      </c>
      <c r="I441" s="2" t="s">
        <v>65</v>
      </c>
      <c r="J441" s="2" t="s">
        <v>2302</v>
      </c>
      <c r="K441" s="2" t="s">
        <v>102</v>
      </c>
      <c r="L441" s="2" t="s">
        <v>2303</v>
      </c>
      <c r="M441" s="2">
        <v>19368</v>
      </c>
      <c r="N441" s="2" t="s">
        <v>2304</v>
      </c>
      <c r="O441" s="2" t="s">
        <v>70</v>
      </c>
      <c r="P441" s="2" t="s">
        <v>105</v>
      </c>
      <c r="Q441" s="2" t="s">
        <v>2305</v>
      </c>
      <c r="R441" s="2">
        <v>95020</v>
      </c>
      <c r="S441" s="2">
        <v>2</v>
      </c>
      <c r="T441" s="2" t="s">
        <v>73</v>
      </c>
      <c r="U441" s="2">
        <v>37.013706200000001</v>
      </c>
      <c r="V441" s="2">
        <v>-121.5893478</v>
      </c>
      <c r="W441" s="2" t="s">
        <v>74</v>
      </c>
      <c r="X441" s="2" t="s">
        <v>2306</v>
      </c>
      <c r="Y441" s="2" t="s">
        <v>143</v>
      </c>
      <c r="Z441" s="2">
        <v>19368</v>
      </c>
      <c r="AA441" s="3">
        <v>43405.709027777775</v>
      </c>
      <c r="AB441" s="2">
        <v>75815</v>
      </c>
      <c r="AC441" s="2">
        <v>1360</v>
      </c>
      <c r="AD441" s="2">
        <v>9.83</v>
      </c>
      <c r="AE441" s="2">
        <v>0.03</v>
      </c>
      <c r="AF441" s="2" t="str" cm="1">
        <f t="array" ref="AF441">_xlfn.IFS(AE441=0, "No Discount ", AE441&lt;=0.08,"Low Discount", AE441&lt;=0.16,"Medium Discount", AE441&gt;0.16, "High Discount")</f>
        <v>Low Discount</v>
      </c>
      <c r="AG441" s="2">
        <v>179130</v>
      </c>
      <c r="AH441" s="2">
        <v>327.75</v>
      </c>
      <c r="AI441" s="2">
        <v>0.28000000000000003</v>
      </c>
      <c r="AJ441" s="2" t="str" cm="1">
        <f t="array" ref="AJ441">_xlfn.IFS(AI441&lt;=0, "No Profit", AI441&lt;=0.16,"Low Profit",AI441&lt;=0.32,"Medium Profit",AI441&gt;0.32,"High Profit")</f>
        <v>Medium Profit</v>
      </c>
      <c r="AK441" s="2">
        <v>1</v>
      </c>
      <c r="AL441" s="2">
        <v>327.75</v>
      </c>
      <c r="AM441" s="2">
        <v>317.92</v>
      </c>
      <c r="AN441" s="2">
        <v>87.43</v>
      </c>
      <c r="AO441" s="2" t="s">
        <v>145</v>
      </c>
      <c r="AP441" s="2" t="s">
        <v>2115</v>
      </c>
      <c r="AQ441" s="2" t="s">
        <v>80</v>
      </c>
      <c r="AR441" s="2" t="s">
        <v>81</v>
      </c>
      <c r="AS441" s="2">
        <v>1360</v>
      </c>
      <c r="AT441" s="2">
        <v>73</v>
      </c>
      <c r="AU441" s="2" t="s">
        <v>82</v>
      </c>
      <c r="AV441" s="2">
        <v>327.75</v>
      </c>
      <c r="AW441" s="2">
        <v>0</v>
      </c>
      <c r="AX441" s="2" t="s">
        <v>2307</v>
      </c>
      <c r="AY441" s="2" t="s">
        <v>83</v>
      </c>
      <c r="AZ441" s="4">
        <v>43405</v>
      </c>
      <c r="BA441" s="5">
        <v>0.70902777777777781</v>
      </c>
      <c r="BB441" s="2">
        <v>2018</v>
      </c>
      <c r="BC441" s="2" t="s">
        <v>455</v>
      </c>
      <c r="BD441" s="2">
        <v>1</v>
      </c>
      <c r="BE441" s="4">
        <v>43117</v>
      </c>
      <c r="BF441" s="5">
        <v>0.70902777777777781</v>
      </c>
      <c r="BG441" s="2" t="str" cm="1">
        <f t="array" ref="BG441">_xlfn.IFS(BF441&lt;TIMEVALUE("06:00"),"Night", BF441&gt;=TIMEVALUE("21:00"),"Night",BF441&gt;=TIMEVALUE("17:00"),"Evening",BF441&gt;=TIMEVALUE("12:00"),"Afternoon", BF441&gt;=TIMEVALUE("06:00"),"Morning")</f>
        <v>Evening</v>
      </c>
      <c r="BH441" s="2">
        <v>2018</v>
      </c>
      <c r="BI441" s="2" t="s">
        <v>84</v>
      </c>
      <c r="BJ441" s="2">
        <v>17</v>
      </c>
    </row>
    <row r="442" spans="1:62" x14ac:dyDescent="0.3">
      <c r="A442" s="2" t="s">
        <v>121</v>
      </c>
      <c r="B442" s="2">
        <v>5</v>
      </c>
      <c r="C442" s="2">
        <v>4</v>
      </c>
      <c r="D442" s="2">
        <v>82.75</v>
      </c>
      <c r="E442" s="2">
        <v>314.64</v>
      </c>
      <c r="F442" s="2" t="s">
        <v>87</v>
      </c>
      <c r="G442" s="2" t="s">
        <v>88</v>
      </c>
      <c r="H442" s="2">
        <v>73</v>
      </c>
      <c r="I442" s="2" t="s">
        <v>65</v>
      </c>
      <c r="J442" s="2" t="s">
        <v>66</v>
      </c>
      <c r="K442" s="2" t="s">
        <v>67</v>
      </c>
      <c r="L442" s="2" t="s">
        <v>2308</v>
      </c>
      <c r="M442" s="2">
        <v>19367</v>
      </c>
      <c r="N442" s="2" t="s">
        <v>2309</v>
      </c>
      <c r="O442" s="2" t="s">
        <v>70</v>
      </c>
      <c r="P442" s="2" t="s">
        <v>71</v>
      </c>
      <c r="Q442" s="2" t="s">
        <v>2310</v>
      </c>
      <c r="R442" s="2">
        <v>725</v>
      </c>
      <c r="S442" s="2">
        <v>2</v>
      </c>
      <c r="T442" s="2" t="s">
        <v>73</v>
      </c>
      <c r="U442" s="2">
        <v>18.216949499999998</v>
      </c>
      <c r="V442" s="2">
        <v>-66.037056000000007</v>
      </c>
      <c r="W442" s="2" t="s">
        <v>74</v>
      </c>
      <c r="X442" s="2" t="s">
        <v>2306</v>
      </c>
      <c r="Y442" s="2" t="s">
        <v>143</v>
      </c>
      <c r="Z442" s="2">
        <v>19367</v>
      </c>
      <c r="AA442" s="3">
        <v>43405.694444444445</v>
      </c>
      <c r="AB442" s="2">
        <v>75814</v>
      </c>
      <c r="AC442" s="2">
        <v>1360</v>
      </c>
      <c r="AD442" s="2">
        <v>13.11</v>
      </c>
      <c r="AE442" s="2">
        <v>0.04</v>
      </c>
      <c r="AF442" s="2" t="str" cm="1">
        <f t="array" ref="AF442">_xlfn.IFS(AE442=0, "No Discount ", AE442&lt;=0.08,"Low Discount", AE442&lt;=0.16,"Medium Discount", AE442&gt;0.16, "High Discount")</f>
        <v>Low Discount</v>
      </c>
      <c r="AG442" s="2">
        <v>179129</v>
      </c>
      <c r="AH442" s="2">
        <v>327.75</v>
      </c>
      <c r="AI442" s="2">
        <v>0.26</v>
      </c>
      <c r="AJ442" s="2" t="str" cm="1">
        <f t="array" ref="AJ442">_xlfn.IFS(AI442&lt;=0, "No Profit", AI442&lt;=0.16,"Low Profit",AI442&lt;=0.32,"Medium Profit",AI442&gt;0.32,"High Profit")</f>
        <v>Medium Profit</v>
      </c>
      <c r="AK442" s="2">
        <v>1</v>
      </c>
      <c r="AL442" s="2">
        <v>327.75</v>
      </c>
      <c r="AM442" s="2">
        <v>314.64</v>
      </c>
      <c r="AN442" s="2">
        <v>82.75</v>
      </c>
      <c r="AO442" s="2" t="s">
        <v>145</v>
      </c>
      <c r="AP442" s="2" t="s">
        <v>2115</v>
      </c>
      <c r="AQ442" s="2" t="s">
        <v>127</v>
      </c>
      <c r="AR442" s="2" t="s">
        <v>81</v>
      </c>
      <c r="AS442" s="2">
        <v>1360</v>
      </c>
      <c r="AT442" s="2">
        <v>73</v>
      </c>
      <c r="AU442" s="2" t="s">
        <v>82</v>
      </c>
      <c r="AV442" s="2">
        <v>327.75</v>
      </c>
      <c r="AW442" s="2">
        <v>0</v>
      </c>
      <c r="AX442" s="2" t="s">
        <v>2311</v>
      </c>
      <c r="AY442" s="2" t="s">
        <v>83</v>
      </c>
      <c r="AZ442" s="4">
        <v>43405</v>
      </c>
      <c r="BA442" s="5">
        <v>0.69444444444444442</v>
      </c>
      <c r="BB442" s="2">
        <v>2018</v>
      </c>
      <c r="BC442" s="2" t="s">
        <v>455</v>
      </c>
      <c r="BD442" s="2">
        <v>1</v>
      </c>
      <c r="BE442" s="4">
        <v>43116</v>
      </c>
      <c r="BF442" s="5">
        <v>0.69444444444444442</v>
      </c>
      <c r="BG442" s="2" t="str" cm="1">
        <f t="array" ref="BG442">_xlfn.IFS(BF442&lt;TIMEVALUE("06:00"),"Night", BF442&gt;=TIMEVALUE("21:00"),"Night",BF442&gt;=TIMEVALUE("17:00"),"Evening",BF442&gt;=TIMEVALUE("12:00"),"Afternoon", BF442&gt;=TIMEVALUE("06:00"),"Morning")</f>
        <v>Afternoon</v>
      </c>
      <c r="BH442" s="2">
        <v>2018</v>
      </c>
      <c r="BI442" s="2" t="s">
        <v>84</v>
      </c>
      <c r="BJ442" s="2">
        <v>16</v>
      </c>
    </row>
    <row r="443" spans="1:62" x14ac:dyDescent="0.3">
      <c r="A443" s="2" t="s">
        <v>121</v>
      </c>
      <c r="B443" s="2">
        <v>4</v>
      </c>
      <c r="C443" s="2">
        <v>2</v>
      </c>
      <c r="D443" s="2">
        <v>116.76</v>
      </c>
      <c r="E443" s="2">
        <v>311.36</v>
      </c>
      <c r="F443" s="2" t="s">
        <v>87</v>
      </c>
      <c r="G443" s="2" t="s">
        <v>88</v>
      </c>
      <c r="H443" s="2">
        <v>73</v>
      </c>
      <c r="I443" s="2" t="s">
        <v>65</v>
      </c>
      <c r="J443" s="2" t="s">
        <v>1569</v>
      </c>
      <c r="K443" s="2" t="s">
        <v>102</v>
      </c>
      <c r="L443" s="2" t="s">
        <v>311</v>
      </c>
      <c r="M443" s="2">
        <v>19366</v>
      </c>
      <c r="N443" s="2" t="s">
        <v>2312</v>
      </c>
      <c r="O443" s="2" t="s">
        <v>70</v>
      </c>
      <c r="P443" s="2" t="s">
        <v>105</v>
      </c>
      <c r="Q443" s="2" t="s">
        <v>2313</v>
      </c>
      <c r="R443" s="2">
        <v>91702</v>
      </c>
      <c r="S443" s="2">
        <v>2</v>
      </c>
      <c r="T443" s="2" t="s">
        <v>73</v>
      </c>
      <c r="U443" s="2">
        <v>34.133609800000002</v>
      </c>
      <c r="V443" s="2">
        <v>-117.9058914</v>
      </c>
      <c r="W443" s="2" t="s">
        <v>74</v>
      </c>
      <c r="X443" s="2" t="s">
        <v>340</v>
      </c>
      <c r="Y443" s="2" t="s">
        <v>340</v>
      </c>
      <c r="Z443" s="2">
        <v>19366</v>
      </c>
      <c r="AA443" s="3">
        <v>43405.679861111108</v>
      </c>
      <c r="AB443" s="2">
        <v>75813</v>
      </c>
      <c r="AC443" s="2">
        <v>1360</v>
      </c>
      <c r="AD443" s="2">
        <v>16.39</v>
      </c>
      <c r="AE443" s="2">
        <v>0.05</v>
      </c>
      <c r="AF443" s="2" t="str" cm="1">
        <f t="array" ref="AF443">_xlfn.IFS(AE443=0, "No Discount ", AE443&lt;=0.08,"Low Discount", AE443&lt;=0.16,"Medium Discount", AE443&gt;0.16, "High Discount")</f>
        <v>Low Discount</v>
      </c>
      <c r="AG443" s="2">
        <v>179128</v>
      </c>
      <c r="AH443" s="2">
        <v>327.75</v>
      </c>
      <c r="AI443" s="2">
        <v>0.38</v>
      </c>
      <c r="AJ443" s="2" t="str" cm="1">
        <f t="array" ref="AJ443">_xlfn.IFS(AI443&lt;=0, "No Profit", AI443&lt;=0.16,"Low Profit",AI443&lt;=0.32,"Medium Profit",AI443&gt;0.32,"High Profit")</f>
        <v>High Profit</v>
      </c>
      <c r="AK443" s="2">
        <v>1</v>
      </c>
      <c r="AL443" s="2">
        <v>327.75</v>
      </c>
      <c r="AM443" s="2">
        <v>311.36</v>
      </c>
      <c r="AN443" s="2">
        <v>116.76</v>
      </c>
      <c r="AO443" s="2" t="s">
        <v>78</v>
      </c>
      <c r="AP443" s="2" t="s">
        <v>340</v>
      </c>
      <c r="AQ443" s="2" t="s">
        <v>2314</v>
      </c>
      <c r="AR443" s="2" t="s">
        <v>81</v>
      </c>
      <c r="AS443" s="2">
        <v>1360</v>
      </c>
      <c r="AT443" s="2">
        <v>73</v>
      </c>
      <c r="AU443" s="2" t="s">
        <v>82</v>
      </c>
      <c r="AV443" s="2">
        <v>327.75</v>
      </c>
      <c r="AW443" s="2">
        <v>0</v>
      </c>
      <c r="AX443" s="2" t="s">
        <v>2315</v>
      </c>
      <c r="AY443" s="2" t="s">
        <v>162</v>
      </c>
      <c r="AZ443" s="4">
        <v>43405</v>
      </c>
      <c r="BA443" s="5">
        <v>0.67986111111111114</v>
      </c>
      <c r="BB443" s="2">
        <v>2018</v>
      </c>
      <c r="BC443" s="2" t="s">
        <v>455</v>
      </c>
      <c r="BD443" s="2">
        <v>1</v>
      </c>
      <c r="BE443" s="4">
        <v>43115</v>
      </c>
      <c r="BF443" s="5">
        <v>0.67986111111111114</v>
      </c>
      <c r="BG443" s="2" t="str" cm="1">
        <f t="array" ref="BG443">_xlfn.IFS(BF443&lt;TIMEVALUE("06:00"),"Night", BF443&gt;=TIMEVALUE("21:00"),"Night",BF443&gt;=TIMEVALUE("17:00"),"Evening",BF443&gt;=TIMEVALUE("12:00"),"Afternoon", BF443&gt;=TIMEVALUE("06:00"),"Morning")</f>
        <v>Afternoon</v>
      </c>
      <c r="BH443" s="2">
        <v>2018</v>
      </c>
      <c r="BI443" s="2" t="s">
        <v>84</v>
      </c>
      <c r="BJ443" s="2">
        <v>15</v>
      </c>
    </row>
    <row r="444" spans="1:62" x14ac:dyDescent="0.3">
      <c r="A444" s="2" t="s">
        <v>121</v>
      </c>
      <c r="B444" s="2">
        <v>3</v>
      </c>
      <c r="C444" s="2">
        <v>2</v>
      </c>
      <c r="D444" s="2">
        <v>148.66999999999999</v>
      </c>
      <c r="E444" s="2">
        <v>309.72000000000003</v>
      </c>
      <c r="F444" s="2" t="s">
        <v>87</v>
      </c>
      <c r="G444" s="2" t="s">
        <v>88</v>
      </c>
      <c r="H444" s="2">
        <v>73</v>
      </c>
      <c r="I444" s="2" t="s">
        <v>65</v>
      </c>
      <c r="J444" s="2" t="s">
        <v>66</v>
      </c>
      <c r="K444" s="2" t="s">
        <v>67</v>
      </c>
      <c r="L444" s="2" t="s">
        <v>2316</v>
      </c>
      <c r="M444" s="2">
        <v>19365</v>
      </c>
      <c r="N444" s="2" t="s">
        <v>2317</v>
      </c>
      <c r="O444" s="2" t="s">
        <v>70</v>
      </c>
      <c r="P444" s="2" t="s">
        <v>71</v>
      </c>
      <c r="Q444" s="2" t="s">
        <v>2318</v>
      </c>
      <c r="R444" s="2">
        <v>725</v>
      </c>
      <c r="S444" s="2">
        <v>2</v>
      </c>
      <c r="T444" s="2" t="s">
        <v>73</v>
      </c>
      <c r="U444" s="2">
        <v>18.287202799999999</v>
      </c>
      <c r="V444" s="2">
        <v>-66.037056000000007</v>
      </c>
      <c r="W444" s="2" t="s">
        <v>74</v>
      </c>
      <c r="X444" s="2" t="s">
        <v>267</v>
      </c>
      <c r="Y444" s="2" t="s">
        <v>116</v>
      </c>
      <c r="Z444" s="2">
        <v>19365</v>
      </c>
      <c r="AA444" s="3">
        <v>43405.665277777778</v>
      </c>
      <c r="AB444" s="2">
        <v>75812</v>
      </c>
      <c r="AC444" s="2">
        <v>1360</v>
      </c>
      <c r="AD444" s="2">
        <v>18.03</v>
      </c>
      <c r="AE444" s="2">
        <v>0.06</v>
      </c>
      <c r="AF444" s="2" t="str" cm="1">
        <f t="array" ref="AF444">_xlfn.IFS(AE444=0, "No Discount ", AE444&lt;=0.08,"Low Discount", AE444&lt;=0.16,"Medium Discount", AE444&gt;0.16, "High Discount")</f>
        <v>Low Discount</v>
      </c>
      <c r="AG444" s="2">
        <v>179127</v>
      </c>
      <c r="AH444" s="2">
        <v>327.75</v>
      </c>
      <c r="AI444" s="2">
        <v>0.48</v>
      </c>
      <c r="AJ444" s="2" t="str" cm="1">
        <f t="array" ref="AJ444">_xlfn.IFS(AI444&lt;=0, "No Profit", AI444&lt;=0.16,"Low Profit",AI444&lt;=0.32,"Medium Profit",AI444&gt;0.32,"High Profit")</f>
        <v>High Profit</v>
      </c>
      <c r="AK444" s="2">
        <v>1</v>
      </c>
      <c r="AL444" s="2">
        <v>327.75</v>
      </c>
      <c r="AM444" s="2">
        <v>309.72000000000003</v>
      </c>
      <c r="AN444" s="2">
        <v>148.66999999999999</v>
      </c>
      <c r="AO444" s="2" t="s">
        <v>118</v>
      </c>
      <c r="AP444" s="2" t="s">
        <v>119</v>
      </c>
      <c r="AQ444" s="2" t="s">
        <v>127</v>
      </c>
      <c r="AR444" s="2" t="s">
        <v>81</v>
      </c>
      <c r="AS444" s="2">
        <v>1360</v>
      </c>
      <c r="AT444" s="2">
        <v>73</v>
      </c>
      <c r="AU444" s="2" t="s">
        <v>82</v>
      </c>
      <c r="AV444" s="2">
        <v>327.75</v>
      </c>
      <c r="AW444" s="2">
        <v>0</v>
      </c>
      <c r="AX444" s="2" t="s">
        <v>2319</v>
      </c>
      <c r="AY444" s="2" t="s">
        <v>162</v>
      </c>
      <c r="AZ444" s="4">
        <v>43405</v>
      </c>
      <c r="BA444" s="5">
        <v>0.66527777777777775</v>
      </c>
      <c r="BB444" s="2">
        <v>2018</v>
      </c>
      <c r="BC444" s="2" t="s">
        <v>455</v>
      </c>
      <c r="BD444" s="2">
        <v>1</v>
      </c>
      <c r="BE444" s="4">
        <v>43114</v>
      </c>
      <c r="BF444" s="5">
        <v>0.66527777777777775</v>
      </c>
      <c r="BG444" s="2" t="str" cm="1">
        <f t="array" ref="BG444">_xlfn.IFS(BF444&lt;TIMEVALUE("06:00"),"Night", BF444&gt;=TIMEVALUE("21:00"),"Night",BF444&gt;=TIMEVALUE("17:00"),"Evening",BF444&gt;=TIMEVALUE("12:00"),"Afternoon", BF444&gt;=TIMEVALUE("06:00"),"Morning")</f>
        <v>Afternoon</v>
      </c>
      <c r="BH444" s="2">
        <v>2018</v>
      </c>
      <c r="BI444" s="2" t="s">
        <v>84</v>
      </c>
      <c r="BJ444" s="2">
        <v>14</v>
      </c>
    </row>
    <row r="445" spans="1:62" x14ac:dyDescent="0.3">
      <c r="A445" s="2" t="s">
        <v>121</v>
      </c>
      <c r="B445" s="2">
        <v>2</v>
      </c>
      <c r="C445" s="2">
        <v>1</v>
      </c>
      <c r="D445" s="2">
        <v>-72.540000000000006</v>
      </c>
      <c r="E445" s="2">
        <v>304.81</v>
      </c>
      <c r="F445" s="2" t="s">
        <v>87</v>
      </c>
      <c r="G445" s="2" t="s">
        <v>88</v>
      </c>
      <c r="H445" s="2">
        <v>73</v>
      </c>
      <c r="I445" s="2" t="s">
        <v>65</v>
      </c>
      <c r="J445" s="2" t="s">
        <v>2320</v>
      </c>
      <c r="K445" s="2" t="s">
        <v>102</v>
      </c>
      <c r="L445" s="2" t="s">
        <v>2321</v>
      </c>
      <c r="M445" s="2">
        <v>19364</v>
      </c>
      <c r="N445" s="2" t="s">
        <v>445</v>
      </c>
      <c r="O445" s="2" t="s">
        <v>70</v>
      </c>
      <c r="P445" s="2" t="s">
        <v>1322</v>
      </c>
      <c r="Q445" s="2" t="s">
        <v>2322</v>
      </c>
      <c r="R445" s="2">
        <v>28645</v>
      </c>
      <c r="S445" s="2">
        <v>2</v>
      </c>
      <c r="T445" s="2" t="s">
        <v>73</v>
      </c>
      <c r="U445" s="2">
        <v>36.110199000000001</v>
      </c>
      <c r="V445" s="2">
        <v>-81.526008599999997</v>
      </c>
      <c r="W445" s="2" t="s">
        <v>74</v>
      </c>
      <c r="X445" s="2" t="s">
        <v>2323</v>
      </c>
      <c r="Y445" s="2" t="s">
        <v>143</v>
      </c>
      <c r="Z445" s="2">
        <v>19364</v>
      </c>
      <c r="AA445" s="3">
        <v>43405.650694444441</v>
      </c>
      <c r="AB445" s="2">
        <v>75811</v>
      </c>
      <c r="AC445" s="2">
        <v>1360</v>
      </c>
      <c r="AD445" s="2">
        <v>22.94</v>
      </c>
      <c r="AE445" s="2">
        <v>7.0000000000000007E-2</v>
      </c>
      <c r="AF445" s="2" t="str" cm="1">
        <f t="array" ref="AF445">_xlfn.IFS(AE445=0, "No Discount ", AE445&lt;=0.08,"Low Discount", AE445&lt;=0.16,"Medium Discount", AE445&gt;0.16, "High Discount")</f>
        <v>Low Discount</v>
      </c>
      <c r="AG445" s="2">
        <v>179126</v>
      </c>
      <c r="AH445" s="2">
        <v>327.75</v>
      </c>
      <c r="AI445" s="2">
        <v>-0.24</v>
      </c>
      <c r="AJ445" s="2" t="str" cm="1">
        <f t="array" ref="AJ445">_xlfn.IFS(AI445&lt;=0, "No Profit", AI445&lt;=0.16,"Low Profit",AI445&lt;=0.32,"Medium Profit",AI445&gt;0.32,"High Profit")</f>
        <v>No Profit</v>
      </c>
      <c r="AK445" s="2">
        <v>1</v>
      </c>
      <c r="AL445" s="2">
        <v>327.75</v>
      </c>
      <c r="AM445" s="2">
        <v>304.81</v>
      </c>
      <c r="AN445" s="2">
        <v>-72.540000000000006</v>
      </c>
      <c r="AO445" s="2" t="s">
        <v>145</v>
      </c>
      <c r="AP445" s="2" t="s">
        <v>146</v>
      </c>
      <c r="AQ445" s="2" t="s">
        <v>127</v>
      </c>
      <c r="AR445" s="2" t="s">
        <v>81</v>
      </c>
      <c r="AS445" s="2">
        <v>1360</v>
      </c>
      <c r="AT445" s="2">
        <v>73</v>
      </c>
      <c r="AU445" s="2" t="s">
        <v>82</v>
      </c>
      <c r="AV445" s="2">
        <v>327.75</v>
      </c>
      <c r="AW445" s="2">
        <v>0</v>
      </c>
      <c r="AX445" s="2" t="s">
        <v>2324</v>
      </c>
      <c r="AY445" s="2" t="s">
        <v>148</v>
      </c>
      <c r="AZ445" s="4">
        <v>43405</v>
      </c>
      <c r="BA445" s="5">
        <v>0.65069444444444446</v>
      </c>
      <c r="BB445" s="2">
        <v>2018</v>
      </c>
      <c r="BC445" s="2" t="s">
        <v>455</v>
      </c>
      <c r="BD445" s="2">
        <v>1</v>
      </c>
      <c r="BE445" s="4">
        <v>43113</v>
      </c>
      <c r="BF445" s="5">
        <v>0.65069444444444446</v>
      </c>
      <c r="BG445" s="2" t="str" cm="1">
        <f t="array" ref="BG445">_xlfn.IFS(BF445&lt;TIMEVALUE("06:00"),"Night", BF445&gt;=TIMEVALUE("21:00"),"Night",BF445&gt;=TIMEVALUE("17:00"),"Evening",BF445&gt;=TIMEVALUE("12:00"),"Afternoon", BF445&gt;=TIMEVALUE("06:00"),"Morning")</f>
        <v>Afternoon</v>
      </c>
      <c r="BH445" s="2">
        <v>2018</v>
      </c>
      <c r="BI445" s="2" t="s">
        <v>84</v>
      </c>
      <c r="BJ445" s="2">
        <v>13</v>
      </c>
    </row>
    <row r="446" spans="1:62" x14ac:dyDescent="0.3">
      <c r="A446" s="2" t="s">
        <v>62</v>
      </c>
      <c r="B446" s="2">
        <v>6</v>
      </c>
      <c r="C446" s="2">
        <v>2</v>
      </c>
      <c r="D446" s="2">
        <v>146.13999999999999</v>
      </c>
      <c r="E446" s="2">
        <v>298.25</v>
      </c>
      <c r="F446" s="2" t="s">
        <v>87</v>
      </c>
      <c r="G446" s="2" t="s">
        <v>88</v>
      </c>
      <c r="H446" s="2">
        <v>73</v>
      </c>
      <c r="I446" s="2" t="s">
        <v>65</v>
      </c>
      <c r="J446" s="2" t="s">
        <v>1130</v>
      </c>
      <c r="K446" s="2" t="s">
        <v>102</v>
      </c>
      <c r="L446" s="2" t="s">
        <v>2325</v>
      </c>
      <c r="M446" s="2">
        <v>19363</v>
      </c>
      <c r="N446" s="2" t="s">
        <v>192</v>
      </c>
      <c r="O446" s="2" t="s">
        <v>70</v>
      </c>
      <c r="P446" s="2" t="s">
        <v>1117</v>
      </c>
      <c r="Q446" s="2" t="s">
        <v>2326</v>
      </c>
      <c r="R446" s="2">
        <v>43228</v>
      </c>
      <c r="S446" s="2">
        <v>2</v>
      </c>
      <c r="T446" s="2" t="s">
        <v>73</v>
      </c>
      <c r="U446" s="2">
        <v>40.881649000000003</v>
      </c>
      <c r="V446" s="2">
        <v>-81.252281199999999</v>
      </c>
      <c r="W446" s="2" t="s">
        <v>74</v>
      </c>
      <c r="X446" s="2" t="s">
        <v>2323</v>
      </c>
      <c r="Y446" s="2" t="s">
        <v>143</v>
      </c>
      <c r="Z446" s="2">
        <v>19363</v>
      </c>
      <c r="AA446" s="3">
        <v>43405.636111111111</v>
      </c>
      <c r="AB446" s="2">
        <v>75810</v>
      </c>
      <c r="AC446" s="2">
        <v>1360</v>
      </c>
      <c r="AD446" s="2">
        <v>29.5</v>
      </c>
      <c r="AE446" s="2">
        <v>0.09</v>
      </c>
      <c r="AF446" s="2" t="str" cm="1">
        <f t="array" ref="AF446">_xlfn.IFS(AE446=0, "No Discount ", AE446&lt;=0.08,"Low Discount", AE446&lt;=0.16,"Medium Discount", AE446&gt;0.16, "High Discount")</f>
        <v>Medium Discount</v>
      </c>
      <c r="AG446" s="2">
        <v>179125</v>
      </c>
      <c r="AH446" s="2">
        <v>327.75</v>
      </c>
      <c r="AI446" s="2">
        <v>0.49</v>
      </c>
      <c r="AJ446" s="2" t="str" cm="1">
        <f t="array" ref="AJ446">_xlfn.IFS(AI446&lt;=0, "No Profit", AI446&lt;=0.16,"Low Profit",AI446&lt;=0.32,"Medium Profit",AI446&gt;0.32,"High Profit")</f>
        <v>High Profit</v>
      </c>
      <c r="AK446" s="2">
        <v>1</v>
      </c>
      <c r="AL446" s="2">
        <v>327.75</v>
      </c>
      <c r="AM446" s="2">
        <v>298.25</v>
      </c>
      <c r="AN446" s="2">
        <v>146.13999999999999</v>
      </c>
      <c r="AO446" s="2" t="s">
        <v>145</v>
      </c>
      <c r="AP446" s="2" t="s">
        <v>146</v>
      </c>
      <c r="AQ446" s="2" t="s">
        <v>308</v>
      </c>
      <c r="AR446" s="2" t="s">
        <v>81</v>
      </c>
      <c r="AS446" s="2">
        <v>1360</v>
      </c>
      <c r="AT446" s="2">
        <v>73</v>
      </c>
      <c r="AU446" s="2" t="s">
        <v>82</v>
      </c>
      <c r="AV446" s="2">
        <v>327.75</v>
      </c>
      <c r="AW446" s="2">
        <v>0</v>
      </c>
      <c r="AX446" s="2" t="s">
        <v>2327</v>
      </c>
      <c r="AY446" s="2" t="s">
        <v>162</v>
      </c>
      <c r="AZ446" s="4">
        <v>43405</v>
      </c>
      <c r="BA446" s="5">
        <v>0.63611111111111107</v>
      </c>
      <c r="BB446" s="2">
        <v>2018</v>
      </c>
      <c r="BC446" s="2" t="s">
        <v>455</v>
      </c>
      <c r="BD446" s="2">
        <v>1</v>
      </c>
      <c r="BE446" s="4">
        <v>43117</v>
      </c>
      <c r="BF446" s="5">
        <v>0.63611111111111107</v>
      </c>
      <c r="BG446" s="2" t="str" cm="1">
        <f t="array" ref="BG446">_xlfn.IFS(BF446&lt;TIMEVALUE("06:00"),"Night", BF446&gt;=TIMEVALUE("21:00"),"Night",BF446&gt;=TIMEVALUE("17:00"),"Evening",BF446&gt;=TIMEVALUE("12:00"),"Afternoon", BF446&gt;=TIMEVALUE("06:00"),"Morning")</f>
        <v>Afternoon</v>
      </c>
      <c r="BH446" s="2">
        <v>2018</v>
      </c>
      <c r="BI446" s="2" t="s">
        <v>84</v>
      </c>
      <c r="BJ446" s="2">
        <v>17</v>
      </c>
    </row>
    <row r="447" spans="1:62" x14ac:dyDescent="0.3">
      <c r="A447" s="2" t="s">
        <v>62</v>
      </c>
      <c r="B447" s="2">
        <v>5</v>
      </c>
      <c r="C447" s="2">
        <v>2</v>
      </c>
      <c r="D447" s="2">
        <v>129.79</v>
      </c>
      <c r="E447" s="2">
        <v>294.98</v>
      </c>
      <c r="F447" s="2" t="s">
        <v>87</v>
      </c>
      <c r="G447" s="2" t="s">
        <v>88</v>
      </c>
      <c r="H447" s="2">
        <v>73</v>
      </c>
      <c r="I447" s="2" t="s">
        <v>65</v>
      </c>
      <c r="J447" s="2" t="s">
        <v>2328</v>
      </c>
      <c r="K447" s="2" t="s">
        <v>102</v>
      </c>
      <c r="L447" s="2" t="s">
        <v>2329</v>
      </c>
      <c r="M447" s="2">
        <v>19362</v>
      </c>
      <c r="N447" s="2" t="s">
        <v>791</v>
      </c>
      <c r="O447" s="2" t="s">
        <v>70</v>
      </c>
      <c r="P447" s="2" t="s">
        <v>1365</v>
      </c>
      <c r="Q447" s="2" t="s">
        <v>2330</v>
      </c>
      <c r="R447" s="2">
        <v>97321</v>
      </c>
      <c r="S447" s="2">
        <v>2</v>
      </c>
      <c r="T447" s="2" t="s">
        <v>73</v>
      </c>
      <c r="U447" s="2">
        <v>44.630760199999997</v>
      </c>
      <c r="V447" s="2">
        <v>-123.1084366</v>
      </c>
      <c r="W447" s="2" t="s">
        <v>74</v>
      </c>
      <c r="X447" s="2" t="s">
        <v>2323</v>
      </c>
      <c r="Y447" s="2" t="s">
        <v>143</v>
      </c>
      <c r="Z447" s="2">
        <v>19362</v>
      </c>
      <c r="AA447" s="3">
        <v>43405.621527777781</v>
      </c>
      <c r="AB447" s="2">
        <v>75809</v>
      </c>
      <c r="AC447" s="2">
        <v>1360</v>
      </c>
      <c r="AD447" s="2">
        <v>32.78</v>
      </c>
      <c r="AE447" s="2">
        <v>0.1</v>
      </c>
      <c r="AF447" s="2" t="str" cm="1">
        <f t="array" ref="AF447">_xlfn.IFS(AE447=0, "No Discount ", AE447&lt;=0.08,"Low Discount", AE447&lt;=0.16,"Medium Discount", AE447&gt;0.16, "High Discount")</f>
        <v>Medium Discount</v>
      </c>
      <c r="AG447" s="2">
        <v>179124</v>
      </c>
      <c r="AH447" s="2">
        <v>327.75</v>
      </c>
      <c r="AI447" s="2">
        <v>0.44</v>
      </c>
      <c r="AJ447" s="2" t="str" cm="1">
        <f t="array" ref="AJ447">_xlfn.IFS(AI447&lt;=0, "No Profit", AI447&lt;=0.16,"Low Profit",AI447&lt;=0.32,"Medium Profit",AI447&gt;0.32,"High Profit")</f>
        <v>High Profit</v>
      </c>
      <c r="AK447" s="2">
        <v>1</v>
      </c>
      <c r="AL447" s="2">
        <v>327.75</v>
      </c>
      <c r="AM447" s="2">
        <v>294.98</v>
      </c>
      <c r="AN447" s="2">
        <v>129.79</v>
      </c>
      <c r="AO447" s="2" t="s">
        <v>145</v>
      </c>
      <c r="AP447" s="2" t="s">
        <v>146</v>
      </c>
      <c r="AQ447" s="2" t="s">
        <v>308</v>
      </c>
      <c r="AR447" s="2" t="s">
        <v>81</v>
      </c>
      <c r="AS447" s="2">
        <v>1360</v>
      </c>
      <c r="AT447" s="2">
        <v>73</v>
      </c>
      <c r="AU447" s="2" t="s">
        <v>82</v>
      </c>
      <c r="AV447" s="2">
        <v>327.75</v>
      </c>
      <c r="AW447" s="2">
        <v>0</v>
      </c>
      <c r="AX447" s="2" t="s">
        <v>2331</v>
      </c>
      <c r="AY447" s="2" t="s">
        <v>162</v>
      </c>
      <c r="AZ447" s="4">
        <v>43405</v>
      </c>
      <c r="BA447" s="5">
        <v>0.62152777777777779</v>
      </c>
      <c r="BB447" s="2">
        <v>2018</v>
      </c>
      <c r="BC447" s="2" t="s">
        <v>455</v>
      </c>
      <c r="BD447" s="2">
        <v>1</v>
      </c>
      <c r="BE447" s="4">
        <v>43116</v>
      </c>
      <c r="BF447" s="5">
        <v>0.62152777777777779</v>
      </c>
      <c r="BG447" s="2" t="str" cm="1">
        <f t="array" ref="BG447">_xlfn.IFS(BF447&lt;TIMEVALUE("06:00"),"Night", BF447&gt;=TIMEVALUE("21:00"),"Night",BF447&gt;=TIMEVALUE("17:00"),"Evening",BF447&gt;=TIMEVALUE("12:00"),"Afternoon", BF447&gt;=TIMEVALUE("06:00"),"Morning")</f>
        <v>Afternoon</v>
      </c>
      <c r="BH447" s="2">
        <v>2018</v>
      </c>
      <c r="BI447" s="2" t="s">
        <v>84</v>
      </c>
      <c r="BJ447" s="2">
        <v>16</v>
      </c>
    </row>
    <row r="448" spans="1:62" x14ac:dyDescent="0.3">
      <c r="A448" s="2" t="s">
        <v>62</v>
      </c>
      <c r="B448" s="2">
        <v>4</v>
      </c>
      <c r="C448" s="2">
        <v>2</v>
      </c>
      <c r="D448" s="2">
        <v>112.48</v>
      </c>
      <c r="E448" s="2">
        <v>288.42</v>
      </c>
      <c r="F448" s="2" t="s">
        <v>87</v>
      </c>
      <c r="G448" s="2" t="s">
        <v>88</v>
      </c>
      <c r="H448" s="2">
        <v>73</v>
      </c>
      <c r="I448" s="2" t="s">
        <v>65</v>
      </c>
      <c r="J448" s="2" t="s">
        <v>2332</v>
      </c>
      <c r="K448" s="2" t="s">
        <v>67</v>
      </c>
      <c r="L448" s="2" t="s">
        <v>2333</v>
      </c>
      <c r="M448" s="2">
        <v>19361</v>
      </c>
      <c r="N448" s="2" t="s">
        <v>2334</v>
      </c>
      <c r="O448" s="2" t="s">
        <v>70</v>
      </c>
      <c r="P448" s="2" t="s">
        <v>71</v>
      </c>
      <c r="Q448" s="2" t="s">
        <v>2335</v>
      </c>
      <c r="R448" s="2">
        <v>791</v>
      </c>
      <c r="S448" s="2">
        <v>2</v>
      </c>
      <c r="T448" s="2" t="s">
        <v>73</v>
      </c>
      <c r="U448" s="2">
        <v>18.1501503</v>
      </c>
      <c r="V448" s="2">
        <v>-65.825950599999999</v>
      </c>
      <c r="W448" s="2" t="s">
        <v>74</v>
      </c>
      <c r="X448" s="2" t="s">
        <v>2323</v>
      </c>
      <c r="Y448" s="2" t="s">
        <v>143</v>
      </c>
      <c r="Z448" s="2">
        <v>19361</v>
      </c>
      <c r="AA448" s="3">
        <v>43405.606944444444</v>
      </c>
      <c r="AB448" s="2">
        <v>75808</v>
      </c>
      <c r="AC448" s="2">
        <v>1360</v>
      </c>
      <c r="AD448" s="2">
        <v>39.33</v>
      </c>
      <c r="AE448" s="2">
        <v>0.12</v>
      </c>
      <c r="AF448" s="2" t="str" cm="1">
        <f t="array" ref="AF448">_xlfn.IFS(AE448=0, "No Discount ", AE448&lt;=0.08,"Low Discount", AE448&lt;=0.16,"Medium Discount", AE448&gt;0.16, "High Discount")</f>
        <v>Medium Discount</v>
      </c>
      <c r="AG448" s="2">
        <v>179123</v>
      </c>
      <c r="AH448" s="2">
        <v>327.75</v>
      </c>
      <c r="AI448" s="2">
        <v>0.39</v>
      </c>
      <c r="AJ448" s="2" t="str" cm="1">
        <f t="array" ref="AJ448">_xlfn.IFS(AI448&lt;=0, "No Profit", AI448&lt;=0.16,"Low Profit",AI448&lt;=0.32,"Medium Profit",AI448&gt;0.32,"High Profit")</f>
        <v>High Profit</v>
      </c>
      <c r="AK448" s="2">
        <v>1</v>
      </c>
      <c r="AL448" s="2">
        <v>327.75</v>
      </c>
      <c r="AM448" s="2">
        <v>288.42</v>
      </c>
      <c r="AN448" s="2">
        <v>112.48</v>
      </c>
      <c r="AO448" s="2" t="s">
        <v>145</v>
      </c>
      <c r="AP448" s="2" t="s">
        <v>146</v>
      </c>
      <c r="AQ448" s="2" t="s">
        <v>80</v>
      </c>
      <c r="AR448" s="2" t="s">
        <v>81</v>
      </c>
      <c r="AS448" s="2">
        <v>1360</v>
      </c>
      <c r="AT448" s="2">
        <v>73</v>
      </c>
      <c r="AU448" s="2" t="s">
        <v>82</v>
      </c>
      <c r="AV448" s="2">
        <v>327.75</v>
      </c>
      <c r="AW448" s="2">
        <v>0</v>
      </c>
      <c r="AX448" s="2" t="s">
        <v>2336</v>
      </c>
      <c r="AY448" s="2" t="s">
        <v>162</v>
      </c>
      <c r="AZ448" s="4">
        <v>43405</v>
      </c>
      <c r="BA448" s="5">
        <v>0.6069444444444444</v>
      </c>
      <c r="BB448" s="2">
        <v>2018</v>
      </c>
      <c r="BC448" s="2" t="s">
        <v>455</v>
      </c>
      <c r="BD448" s="2">
        <v>1</v>
      </c>
      <c r="BE448" s="4">
        <v>43115</v>
      </c>
      <c r="BF448" s="5">
        <v>0.6069444444444444</v>
      </c>
      <c r="BG448" s="2" t="str" cm="1">
        <f t="array" ref="BG448">_xlfn.IFS(BF448&lt;TIMEVALUE("06:00"),"Night", BF448&gt;=TIMEVALUE("21:00"),"Night",BF448&gt;=TIMEVALUE("17:00"),"Evening",BF448&gt;=TIMEVALUE("12:00"),"Afternoon", BF448&gt;=TIMEVALUE("06:00"),"Morning")</f>
        <v>Afternoon</v>
      </c>
      <c r="BH448" s="2">
        <v>2018</v>
      </c>
      <c r="BI448" s="2" t="s">
        <v>84</v>
      </c>
      <c r="BJ448" s="2">
        <v>15</v>
      </c>
    </row>
    <row r="449" spans="1:62" x14ac:dyDescent="0.3">
      <c r="A449" s="2" t="s">
        <v>121</v>
      </c>
      <c r="B449" s="2">
        <v>1</v>
      </c>
      <c r="C449" s="2">
        <v>0</v>
      </c>
      <c r="D449" s="2">
        <v>76.989999999999995</v>
      </c>
      <c r="E449" s="2">
        <v>285.14</v>
      </c>
      <c r="F449" s="2" t="s">
        <v>87</v>
      </c>
      <c r="G449" s="2" t="s">
        <v>88</v>
      </c>
      <c r="H449" s="2">
        <v>73</v>
      </c>
      <c r="I449" s="2" t="s">
        <v>65</v>
      </c>
      <c r="J449" s="2" t="s">
        <v>66</v>
      </c>
      <c r="K449" s="2" t="s">
        <v>67</v>
      </c>
      <c r="L449" s="2" t="s">
        <v>2210</v>
      </c>
      <c r="M449" s="2">
        <v>19360</v>
      </c>
      <c r="N449" s="2" t="s">
        <v>459</v>
      </c>
      <c r="O449" s="2" t="s">
        <v>124</v>
      </c>
      <c r="P449" s="2" t="s">
        <v>71</v>
      </c>
      <c r="Q449" s="2" t="s">
        <v>2337</v>
      </c>
      <c r="R449" s="2">
        <v>725</v>
      </c>
      <c r="S449" s="2">
        <v>2</v>
      </c>
      <c r="T449" s="2" t="s">
        <v>73</v>
      </c>
      <c r="U449" s="2">
        <v>18.2456417</v>
      </c>
      <c r="V449" s="2">
        <v>-66.037056000000007</v>
      </c>
      <c r="W449" s="2" t="s">
        <v>74</v>
      </c>
      <c r="X449" s="2" t="s">
        <v>2323</v>
      </c>
      <c r="Y449" s="2" t="s">
        <v>143</v>
      </c>
      <c r="Z449" s="2">
        <v>19360</v>
      </c>
      <c r="AA449" s="3">
        <v>43405.592361111114</v>
      </c>
      <c r="AB449" s="2">
        <v>75807</v>
      </c>
      <c r="AC449" s="2">
        <v>1360</v>
      </c>
      <c r="AD449" s="2">
        <v>42.61</v>
      </c>
      <c r="AE449" s="2">
        <v>0.13</v>
      </c>
      <c r="AF449" s="2" t="str" cm="1">
        <f t="array" ref="AF449">_xlfn.IFS(AE449=0, "No Discount ", AE449&lt;=0.08,"Low Discount", AE449&lt;=0.16,"Medium Discount", AE449&gt;0.16, "High Discount")</f>
        <v>Medium Discount</v>
      </c>
      <c r="AG449" s="2">
        <v>179122</v>
      </c>
      <c r="AH449" s="2">
        <v>327.75</v>
      </c>
      <c r="AI449" s="2">
        <v>0.27</v>
      </c>
      <c r="AJ449" s="2" t="str" cm="1">
        <f t="array" ref="AJ449">_xlfn.IFS(AI449&lt;=0, "No Profit", AI449&lt;=0.16,"Low Profit",AI449&lt;=0.32,"Medium Profit",AI449&gt;0.32,"High Profit")</f>
        <v>Medium Profit</v>
      </c>
      <c r="AK449" s="2">
        <v>1</v>
      </c>
      <c r="AL449" s="2">
        <v>327.75</v>
      </c>
      <c r="AM449" s="2">
        <v>285.14</v>
      </c>
      <c r="AN449" s="2">
        <v>76.989999999999995</v>
      </c>
      <c r="AO449" s="2" t="s">
        <v>145</v>
      </c>
      <c r="AP449" s="2" t="s">
        <v>146</v>
      </c>
      <c r="AQ449" s="2" t="s">
        <v>127</v>
      </c>
      <c r="AR449" s="2" t="s">
        <v>81</v>
      </c>
      <c r="AS449" s="2">
        <v>1360</v>
      </c>
      <c r="AT449" s="2">
        <v>73</v>
      </c>
      <c r="AU449" s="2" t="s">
        <v>82</v>
      </c>
      <c r="AV449" s="2">
        <v>327.75</v>
      </c>
      <c r="AW449" s="2">
        <v>0</v>
      </c>
      <c r="AX449" s="3">
        <v>43435.092361111114</v>
      </c>
      <c r="AY449" s="2" t="s">
        <v>238</v>
      </c>
      <c r="AZ449" s="4">
        <v>43405</v>
      </c>
      <c r="BA449" s="5">
        <v>0.59236111111111112</v>
      </c>
      <c r="BB449" s="2">
        <v>2018</v>
      </c>
      <c r="BC449" s="2" t="s">
        <v>455</v>
      </c>
      <c r="BD449" s="2">
        <v>1</v>
      </c>
      <c r="BE449" s="4">
        <v>43435</v>
      </c>
      <c r="BF449" s="5">
        <v>9.2361111111111116E-2</v>
      </c>
      <c r="BG449" s="2" t="str" cm="1">
        <f t="array" ref="BG449">_xlfn.IFS(BF449&lt;TIMEVALUE("06:00"),"Night", BF449&gt;=TIMEVALUE("21:00"),"Night",BF449&gt;=TIMEVALUE("17:00"),"Evening",BF449&gt;=TIMEVALUE("12:00"),"Afternoon", BF449&gt;=TIMEVALUE("06:00"),"Morning")</f>
        <v>Night</v>
      </c>
      <c r="BH449" s="2">
        <v>2018</v>
      </c>
      <c r="BI449" s="2" t="s">
        <v>357</v>
      </c>
      <c r="BJ449" s="2">
        <v>1</v>
      </c>
    </row>
    <row r="450" spans="1:62" x14ac:dyDescent="0.3">
      <c r="A450" s="2" t="s">
        <v>62</v>
      </c>
      <c r="B450" s="2">
        <v>1</v>
      </c>
      <c r="C450" s="2">
        <v>0</v>
      </c>
      <c r="D450" s="2">
        <v>75.22</v>
      </c>
      <c r="E450" s="2">
        <v>278.58999999999997</v>
      </c>
      <c r="F450" s="2" t="s">
        <v>87</v>
      </c>
      <c r="G450" s="2" t="s">
        <v>88</v>
      </c>
      <c r="H450" s="2">
        <v>73</v>
      </c>
      <c r="I450" s="2" t="s">
        <v>65</v>
      </c>
      <c r="J450" s="2" t="s">
        <v>2338</v>
      </c>
      <c r="K450" s="2" t="s">
        <v>102</v>
      </c>
      <c r="L450" s="2" t="s">
        <v>2339</v>
      </c>
      <c r="M450" s="2">
        <v>19359</v>
      </c>
      <c r="N450" s="2" t="s">
        <v>2037</v>
      </c>
      <c r="O450" s="2" t="s">
        <v>124</v>
      </c>
      <c r="P450" s="2" t="s">
        <v>133</v>
      </c>
      <c r="Q450" s="2" t="s">
        <v>2340</v>
      </c>
      <c r="R450" s="2">
        <v>11757</v>
      </c>
      <c r="S450" s="2">
        <v>2</v>
      </c>
      <c r="T450" s="2" t="s">
        <v>73</v>
      </c>
      <c r="U450" s="2">
        <v>40.686656999999997</v>
      </c>
      <c r="V450" s="2">
        <v>-73.375534099999996</v>
      </c>
      <c r="W450" s="2" t="s">
        <v>74</v>
      </c>
      <c r="X450" s="2" t="s">
        <v>2323</v>
      </c>
      <c r="Y450" s="2" t="s">
        <v>143</v>
      </c>
      <c r="Z450" s="2">
        <v>19359</v>
      </c>
      <c r="AA450" s="3">
        <v>43405.577777777777</v>
      </c>
      <c r="AB450" s="2">
        <v>75806</v>
      </c>
      <c r="AC450" s="2">
        <v>1360</v>
      </c>
      <c r="AD450" s="2">
        <v>49.16</v>
      </c>
      <c r="AE450" s="2">
        <v>0.15</v>
      </c>
      <c r="AF450" s="2" t="str" cm="1">
        <f t="array" ref="AF450">_xlfn.IFS(AE450=0, "No Discount ", AE450&lt;=0.08,"Low Discount", AE450&lt;=0.16,"Medium Discount", AE450&gt;0.16, "High Discount")</f>
        <v>Medium Discount</v>
      </c>
      <c r="AG450" s="2">
        <v>179121</v>
      </c>
      <c r="AH450" s="2">
        <v>327.75</v>
      </c>
      <c r="AI450" s="2">
        <v>0.27</v>
      </c>
      <c r="AJ450" s="2" t="str" cm="1">
        <f t="array" ref="AJ450">_xlfn.IFS(AI450&lt;=0, "No Profit", AI450&lt;=0.16,"Low Profit",AI450&lt;=0.32,"Medium Profit",AI450&gt;0.32,"High Profit")</f>
        <v>Medium Profit</v>
      </c>
      <c r="AK450" s="2">
        <v>1</v>
      </c>
      <c r="AL450" s="2">
        <v>327.75</v>
      </c>
      <c r="AM450" s="2">
        <v>278.58999999999997</v>
      </c>
      <c r="AN450" s="2">
        <v>75.22</v>
      </c>
      <c r="AO450" s="2" t="s">
        <v>145</v>
      </c>
      <c r="AP450" s="2" t="s">
        <v>146</v>
      </c>
      <c r="AQ450" s="2" t="s">
        <v>80</v>
      </c>
      <c r="AR450" s="2" t="s">
        <v>81</v>
      </c>
      <c r="AS450" s="2">
        <v>1360</v>
      </c>
      <c r="AT450" s="2">
        <v>73</v>
      </c>
      <c r="AU450" s="2" t="s">
        <v>82</v>
      </c>
      <c r="AV450" s="2">
        <v>327.75</v>
      </c>
      <c r="AW450" s="2">
        <v>0</v>
      </c>
      <c r="AX450" s="3">
        <v>43435.077777777777</v>
      </c>
      <c r="AY450" s="2" t="s">
        <v>238</v>
      </c>
      <c r="AZ450" s="4">
        <v>43405</v>
      </c>
      <c r="BA450" s="5">
        <v>0.57777777777777772</v>
      </c>
      <c r="BB450" s="2">
        <v>2018</v>
      </c>
      <c r="BC450" s="2" t="s">
        <v>455</v>
      </c>
      <c r="BD450" s="2">
        <v>1</v>
      </c>
      <c r="BE450" s="4">
        <v>43435</v>
      </c>
      <c r="BF450" s="5">
        <v>7.7777777777777779E-2</v>
      </c>
      <c r="BG450" s="2" t="str" cm="1">
        <f t="array" ref="BG450">_xlfn.IFS(BF450&lt;TIMEVALUE("06:00"),"Night", BF450&gt;=TIMEVALUE("21:00"),"Night",BF450&gt;=TIMEVALUE("17:00"),"Evening",BF450&gt;=TIMEVALUE("12:00"),"Afternoon", BF450&gt;=TIMEVALUE("06:00"),"Morning")</f>
        <v>Night</v>
      </c>
      <c r="BH450" s="2">
        <v>2018</v>
      </c>
      <c r="BI450" s="2" t="s">
        <v>357</v>
      </c>
      <c r="BJ450" s="2">
        <v>1</v>
      </c>
    </row>
    <row r="451" spans="1:62" x14ac:dyDescent="0.3">
      <c r="A451" s="2" t="s">
        <v>62</v>
      </c>
      <c r="B451" s="2">
        <v>1</v>
      </c>
      <c r="C451" s="2">
        <v>0</v>
      </c>
      <c r="D451" s="2">
        <v>123.89</v>
      </c>
      <c r="E451" s="2">
        <v>275.31</v>
      </c>
      <c r="F451" s="2" t="s">
        <v>87</v>
      </c>
      <c r="G451" s="2" t="s">
        <v>88</v>
      </c>
      <c r="H451" s="2">
        <v>73</v>
      </c>
      <c r="I451" s="2" t="s">
        <v>65</v>
      </c>
      <c r="J451" s="2" t="s">
        <v>2341</v>
      </c>
      <c r="K451" s="2" t="s">
        <v>102</v>
      </c>
      <c r="L451" s="2" t="s">
        <v>2342</v>
      </c>
      <c r="M451" s="2">
        <v>19358</v>
      </c>
      <c r="N451" s="2" t="s">
        <v>1223</v>
      </c>
      <c r="O451" s="2" t="s">
        <v>124</v>
      </c>
      <c r="P451" s="2" t="s">
        <v>1117</v>
      </c>
      <c r="Q451" s="2" t="s">
        <v>1817</v>
      </c>
      <c r="R451" s="2">
        <v>44035</v>
      </c>
      <c r="S451" s="2">
        <v>2</v>
      </c>
      <c r="T451" s="2" t="s">
        <v>73</v>
      </c>
      <c r="U451" s="2">
        <v>41.421482099999999</v>
      </c>
      <c r="V451" s="2">
        <v>-82.094070400000007</v>
      </c>
      <c r="W451" s="2" t="s">
        <v>74</v>
      </c>
      <c r="X451" s="2" t="s">
        <v>2343</v>
      </c>
      <c r="Y451" s="2" t="s">
        <v>116</v>
      </c>
      <c r="Z451" s="2">
        <v>19358</v>
      </c>
      <c r="AA451" s="3">
        <v>43405.563194444447</v>
      </c>
      <c r="AB451" s="2">
        <v>75805</v>
      </c>
      <c r="AC451" s="2">
        <v>1360</v>
      </c>
      <c r="AD451" s="2">
        <v>52.44</v>
      </c>
      <c r="AE451" s="2">
        <v>0.16</v>
      </c>
      <c r="AF451" s="2" t="str" cm="1">
        <f t="array" ref="AF451">_xlfn.IFS(AE451=0, "No Discount ", AE451&lt;=0.08,"Low Discount", AE451&lt;=0.16,"Medium Discount", AE451&gt;0.16, "High Discount")</f>
        <v>Medium Discount</v>
      </c>
      <c r="AG451" s="2">
        <v>179120</v>
      </c>
      <c r="AH451" s="2">
        <v>327.75</v>
      </c>
      <c r="AI451" s="2">
        <v>0.45</v>
      </c>
      <c r="AJ451" s="2" t="str" cm="1">
        <f t="array" ref="AJ451">_xlfn.IFS(AI451&lt;=0, "No Profit", AI451&lt;=0.16,"Low Profit",AI451&lt;=0.32,"Medium Profit",AI451&gt;0.32,"High Profit")</f>
        <v>High Profit</v>
      </c>
      <c r="AK451" s="2">
        <v>1</v>
      </c>
      <c r="AL451" s="2">
        <v>327.75</v>
      </c>
      <c r="AM451" s="2">
        <v>275.31</v>
      </c>
      <c r="AN451" s="2">
        <v>123.89</v>
      </c>
      <c r="AO451" s="2" t="s">
        <v>118</v>
      </c>
      <c r="AP451" s="2" t="s">
        <v>119</v>
      </c>
      <c r="AQ451" s="2" t="s">
        <v>80</v>
      </c>
      <c r="AR451" s="2" t="s">
        <v>81</v>
      </c>
      <c r="AS451" s="2">
        <v>1360</v>
      </c>
      <c r="AT451" s="2">
        <v>73</v>
      </c>
      <c r="AU451" s="2" t="s">
        <v>82</v>
      </c>
      <c r="AV451" s="2">
        <v>327.75</v>
      </c>
      <c r="AW451" s="2">
        <v>0</v>
      </c>
      <c r="AX451" s="3">
        <v>43435.063194444447</v>
      </c>
      <c r="AY451" s="2" t="s">
        <v>238</v>
      </c>
      <c r="AZ451" s="4">
        <v>43405</v>
      </c>
      <c r="BA451" s="5">
        <v>0.56319444444444444</v>
      </c>
      <c r="BB451" s="2">
        <v>2018</v>
      </c>
      <c r="BC451" s="2" t="s">
        <v>455</v>
      </c>
      <c r="BD451" s="2">
        <v>1</v>
      </c>
      <c r="BE451" s="4">
        <v>43435</v>
      </c>
      <c r="BF451" s="5">
        <v>6.3194444444444442E-2</v>
      </c>
      <c r="BG451" s="2" t="str" cm="1">
        <f t="array" ref="BG451">_xlfn.IFS(BF451&lt;TIMEVALUE("06:00"),"Night", BF451&gt;=TIMEVALUE("21:00"),"Night",BF451&gt;=TIMEVALUE("17:00"),"Evening",BF451&gt;=TIMEVALUE("12:00"),"Afternoon", BF451&gt;=TIMEVALUE("06:00"),"Morning")</f>
        <v>Night</v>
      </c>
      <c r="BH451" s="2">
        <v>2018</v>
      </c>
      <c r="BI451" s="2" t="s">
        <v>357</v>
      </c>
      <c r="BJ451" s="2">
        <v>1</v>
      </c>
    </row>
    <row r="452" spans="1:62" x14ac:dyDescent="0.3">
      <c r="A452" s="2" t="s">
        <v>62</v>
      </c>
      <c r="B452" s="2">
        <v>1</v>
      </c>
      <c r="C452" s="2">
        <v>0</v>
      </c>
      <c r="D452" s="2">
        <v>133.30000000000001</v>
      </c>
      <c r="E452" s="2">
        <v>272.02999999999997</v>
      </c>
      <c r="F452" s="2" t="s">
        <v>87</v>
      </c>
      <c r="G452" s="2" t="s">
        <v>88</v>
      </c>
      <c r="H452" s="2">
        <v>73</v>
      </c>
      <c r="I452" s="2" t="s">
        <v>65</v>
      </c>
      <c r="J452" s="2" t="s">
        <v>66</v>
      </c>
      <c r="K452" s="2" t="s">
        <v>67</v>
      </c>
      <c r="L452" s="2" t="s">
        <v>2344</v>
      </c>
      <c r="M452" s="2">
        <v>19357</v>
      </c>
      <c r="N452" s="2" t="s">
        <v>2345</v>
      </c>
      <c r="O452" s="2" t="s">
        <v>124</v>
      </c>
      <c r="P452" s="2" t="s">
        <v>71</v>
      </c>
      <c r="Q452" s="2" t="s">
        <v>2346</v>
      </c>
      <c r="R452" s="2">
        <v>725</v>
      </c>
      <c r="S452" s="2">
        <v>2</v>
      </c>
      <c r="T452" s="2" t="s">
        <v>73</v>
      </c>
      <c r="U452" s="2">
        <v>18.2009735</v>
      </c>
      <c r="V452" s="2">
        <v>-66.037048299999995</v>
      </c>
      <c r="W452" s="2" t="s">
        <v>74</v>
      </c>
      <c r="X452" s="2" t="s">
        <v>2343</v>
      </c>
      <c r="Y452" s="2" t="s">
        <v>116</v>
      </c>
      <c r="Z452" s="2">
        <v>19357</v>
      </c>
      <c r="AA452" s="3">
        <v>43405.548611111109</v>
      </c>
      <c r="AB452" s="2">
        <v>75804</v>
      </c>
      <c r="AC452" s="2">
        <v>1360</v>
      </c>
      <c r="AD452" s="2">
        <v>55.72</v>
      </c>
      <c r="AE452" s="2">
        <v>0.17</v>
      </c>
      <c r="AF452" s="2" t="str" cm="1">
        <f t="array" ref="AF452">_xlfn.IFS(AE452=0, "No Discount ", AE452&lt;=0.08,"Low Discount", AE452&lt;=0.16,"Medium Discount", AE452&gt;0.16, "High Discount")</f>
        <v>High Discount</v>
      </c>
      <c r="AG452" s="2">
        <v>179119</v>
      </c>
      <c r="AH452" s="2">
        <v>327.75</v>
      </c>
      <c r="AI452" s="2">
        <v>0.49</v>
      </c>
      <c r="AJ452" s="2" t="str" cm="1">
        <f t="array" ref="AJ452">_xlfn.IFS(AI452&lt;=0, "No Profit", AI452&lt;=0.16,"Low Profit",AI452&lt;=0.32,"Medium Profit",AI452&gt;0.32,"High Profit")</f>
        <v>High Profit</v>
      </c>
      <c r="AK452" s="2">
        <v>1</v>
      </c>
      <c r="AL452" s="2">
        <v>327.75</v>
      </c>
      <c r="AM452" s="2">
        <v>272.02999999999997</v>
      </c>
      <c r="AN452" s="2">
        <v>133.30000000000001</v>
      </c>
      <c r="AO452" s="2" t="s">
        <v>118</v>
      </c>
      <c r="AP452" s="2" t="s">
        <v>119</v>
      </c>
      <c r="AQ452" s="2" t="s">
        <v>80</v>
      </c>
      <c r="AR452" s="2" t="s">
        <v>81</v>
      </c>
      <c r="AS452" s="2">
        <v>1360</v>
      </c>
      <c r="AT452" s="2">
        <v>73</v>
      </c>
      <c r="AU452" s="2" t="s">
        <v>82</v>
      </c>
      <c r="AV452" s="2">
        <v>327.75</v>
      </c>
      <c r="AW452" s="2">
        <v>0</v>
      </c>
      <c r="AX452" s="3">
        <v>43435.048611111109</v>
      </c>
      <c r="AY452" s="2" t="s">
        <v>238</v>
      </c>
      <c r="AZ452" s="4">
        <v>43405</v>
      </c>
      <c r="BA452" s="5">
        <v>0.54861111111111116</v>
      </c>
      <c r="BB452" s="2">
        <v>2018</v>
      </c>
      <c r="BC452" s="2" t="s">
        <v>455</v>
      </c>
      <c r="BD452" s="2">
        <v>1</v>
      </c>
      <c r="BE452" s="4">
        <v>43435</v>
      </c>
      <c r="BF452" s="5">
        <v>4.8611111111111112E-2</v>
      </c>
      <c r="BG452" s="2" t="str" cm="1">
        <f t="array" ref="BG452">_xlfn.IFS(BF452&lt;TIMEVALUE("06:00"),"Night", BF452&gt;=TIMEVALUE("21:00"),"Night",BF452&gt;=TIMEVALUE("17:00"),"Evening",BF452&gt;=TIMEVALUE("12:00"),"Afternoon", BF452&gt;=TIMEVALUE("06:00"),"Morning")</f>
        <v>Night</v>
      </c>
      <c r="BH452" s="2">
        <v>2018</v>
      </c>
      <c r="BI452" s="2" t="s">
        <v>357</v>
      </c>
      <c r="BJ452" s="2">
        <v>1</v>
      </c>
    </row>
    <row r="453" spans="1:62" x14ac:dyDescent="0.3">
      <c r="A453" s="2" t="s">
        <v>99</v>
      </c>
      <c r="B453" s="2">
        <v>1</v>
      </c>
      <c r="C453" s="2">
        <v>0</v>
      </c>
      <c r="D453" s="2">
        <v>90.84</v>
      </c>
      <c r="E453" s="2">
        <v>268.76</v>
      </c>
      <c r="F453" s="2" t="s">
        <v>87</v>
      </c>
      <c r="G453" s="2" t="s">
        <v>88</v>
      </c>
      <c r="H453" s="2">
        <v>73</v>
      </c>
      <c r="I453" s="2" t="s">
        <v>65</v>
      </c>
      <c r="J453" s="2" t="s">
        <v>2347</v>
      </c>
      <c r="K453" s="2" t="s">
        <v>102</v>
      </c>
      <c r="L453" s="2" t="s">
        <v>1621</v>
      </c>
      <c r="M453" s="2">
        <v>19356</v>
      </c>
      <c r="N453" s="2" t="s">
        <v>2348</v>
      </c>
      <c r="O453" s="2" t="s">
        <v>70</v>
      </c>
      <c r="P453" s="2" t="s">
        <v>105</v>
      </c>
      <c r="Q453" s="2" t="s">
        <v>2349</v>
      </c>
      <c r="R453" s="2">
        <v>92504</v>
      </c>
      <c r="S453" s="2">
        <v>2</v>
      </c>
      <c r="T453" s="2" t="s">
        <v>73</v>
      </c>
      <c r="U453" s="2">
        <v>33.936424299999999</v>
      </c>
      <c r="V453" s="2">
        <v>-117.4205856</v>
      </c>
      <c r="W453" s="2" t="s">
        <v>74</v>
      </c>
      <c r="X453" s="2" t="s">
        <v>267</v>
      </c>
      <c r="Y453" s="2" t="s">
        <v>116</v>
      </c>
      <c r="Z453" s="2">
        <v>19356</v>
      </c>
      <c r="AA453" s="3">
        <v>43405.53402777778</v>
      </c>
      <c r="AB453" s="2">
        <v>75803</v>
      </c>
      <c r="AC453" s="2">
        <v>1360</v>
      </c>
      <c r="AD453" s="2">
        <v>59</v>
      </c>
      <c r="AE453" s="2">
        <v>0.18</v>
      </c>
      <c r="AF453" s="2" t="str" cm="1">
        <f t="array" ref="AF453">_xlfn.IFS(AE453=0, "No Discount ", AE453&lt;=0.08,"Low Discount", AE453&lt;=0.16,"Medium Discount", AE453&gt;0.16, "High Discount")</f>
        <v>High Discount</v>
      </c>
      <c r="AG453" s="2">
        <v>179118</v>
      </c>
      <c r="AH453" s="2">
        <v>327.75</v>
      </c>
      <c r="AI453" s="2">
        <v>0.34</v>
      </c>
      <c r="AJ453" s="2" t="str" cm="1">
        <f t="array" ref="AJ453">_xlfn.IFS(AI453&lt;=0, "No Profit", AI453&lt;=0.16,"Low Profit",AI453&lt;=0.32,"Medium Profit",AI453&gt;0.32,"High Profit")</f>
        <v>High Profit</v>
      </c>
      <c r="AK453" s="2">
        <v>1</v>
      </c>
      <c r="AL453" s="2">
        <v>327.75</v>
      </c>
      <c r="AM453" s="2">
        <v>268.76</v>
      </c>
      <c r="AN453" s="2">
        <v>90.84</v>
      </c>
      <c r="AO453" s="2" t="s">
        <v>118</v>
      </c>
      <c r="AP453" s="2" t="s">
        <v>119</v>
      </c>
      <c r="AQ453" s="2" t="s">
        <v>108</v>
      </c>
      <c r="AR453" s="2" t="s">
        <v>81</v>
      </c>
      <c r="AS453" s="2">
        <v>1360</v>
      </c>
      <c r="AT453" s="2">
        <v>73</v>
      </c>
      <c r="AU453" s="2" t="s">
        <v>82</v>
      </c>
      <c r="AV453" s="2">
        <v>327.75</v>
      </c>
      <c r="AW453" s="2">
        <v>0</v>
      </c>
      <c r="AX453" s="3">
        <v>43435.03402777778</v>
      </c>
      <c r="AY453" s="2" t="s">
        <v>238</v>
      </c>
      <c r="AZ453" s="4">
        <v>43405</v>
      </c>
      <c r="BA453" s="5">
        <v>0.53402777777777777</v>
      </c>
      <c r="BB453" s="2">
        <v>2018</v>
      </c>
      <c r="BC453" s="2" t="s">
        <v>455</v>
      </c>
      <c r="BD453" s="2">
        <v>1</v>
      </c>
      <c r="BE453" s="4">
        <v>43435</v>
      </c>
      <c r="BF453" s="5">
        <v>3.4027777777777775E-2</v>
      </c>
      <c r="BG453" s="2" t="str" cm="1">
        <f t="array" ref="BG453">_xlfn.IFS(BF453&lt;TIMEVALUE("06:00"),"Night", BF453&gt;=TIMEVALUE("21:00"),"Night",BF453&gt;=TIMEVALUE("17:00"),"Evening",BF453&gt;=TIMEVALUE("12:00"),"Afternoon", BF453&gt;=TIMEVALUE("06:00"),"Morning")</f>
        <v>Night</v>
      </c>
      <c r="BH453" s="2">
        <v>2018</v>
      </c>
      <c r="BI453" s="2" t="s">
        <v>357</v>
      </c>
      <c r="BJ453" s="2">
        <v>1</v>
      </c>
    </row>
    <row r="454" spans="1:62" x14ac:dyDescent="0.3">
      <c r="A454" s="2" t="s">
        <v>86</v>
      </c>
      <c r="B454" s="2">
        <v>1</v>
      </c>
      <c r="C454" s="2">
        <v>0</v>
      </c>
      <c r="D454" s="2">
        <v>-43.79</v>
      </c>
      <c r="E454" s="2">
        <v>262.2</v>
      </c>
      <c r="F454" s="2" t="s">
        <v>129</v>
      </c>
      <c r="G454" s="2" t="s">
        <v>64</v>
      </c>
      <c r="H454" s="2">
        <v>73</v>
      </c>
      <c r="I454" s="2" t="s">
        <v>65</v>
      </c>
      <c r="J454" s="2" t="s">
        <v>66</v>
      </c>
      <c r="K454" s="2" t="s">
        <v>67</v>
      </c>
      <c r="L454" s="2" t="s">
        <v>2325</v>
      </c>
      <c r="M454" s="2">
        <v>19355</v>
      </c>
      <c r="N454" s="2" t="s">
        <v>2350</v>
      </c>
      <c r="O454" s="2" t="s">
        <v>124</v>
      </c>
      <c r="P454" s="2" t="s">
        <v>71</v>
      </c>
      <c r="Q454" s="2" t="s">
        <v>2351</v>
      </c>
      <c r="R454" s="2">
        <v>725</v>
      </c>
      <c r="S454" s="2">
        <v>2</v>
      </c>
      <c r="T454" s="2" t="s">
        <v>73</v>
      </c>
      <c r="U454" s="2">
        <v>18.290395700000001</v>
      </c>
      <c r="V454" s="2">
        <v>-66.037056000000007</v>
      </c>
      <c r="W454" s="2" t="s">
        <v>74</v>
      </c>
      <c r="X454" s="2" t="s">
        <v>267</v>
      </c>
      <c r="Y454" s="2" t="s">
        <v>116</v>
      </c>
      <c r="Z454" s="2">
        <v>19355</v>
      </c>
      <c r="AA454" s="3">
        <v>43405.519444444442</v>
      </c>
      <c r="AB454" s="2">
        <v>75802</v>
      </c>
      <c r="AC454" s="2">
        <v>1360</v>
      </c>
      <c r="AD454" s="2">
        <v>65.55</v>
      </c>
      <c r="AE454" s="2">
        <v>0.2</v>
      </c>
      <c r="AF454" s="2" t="str" cm="1">
        <f t="array" ref="AF454">_xlfn.IFS(AE454=0, "No Discount ", AE454&lt;=0.08,"Low Discount", AE454&lt;=0.16,"Medium Discount", AE454&gt;0.16, "High Discount")</f>
        <v>High Discount</v>
      </c>
      <c r="AG454" s="2">
        <v>179117</v>
      </c>
      <c r="AH454" s="2">
        <v>327.75</v>
      </c>
      <c r="AI454" s="2">
        <v>-0.17</v>
      </c>
      <c r="AJ454" s="2" t="str" cm="1">
        <f t="array" ref="AJ454">_xlfn.IFS(AI454&lt;=0, "No Profit", AI454&lt;=0.16,"Low Profit",AI454&lt;=0.32,"Medium Profit",AI454&gt;0.32,"High Profit")</f>
        <v>No Profit</v>
      </c>
      <c r="AK454" s="2">
        <v>1</v>
      </c>
      <c r="AL454" s="2">
        <v>327.75</v>
      </c>
      <c r="AM454" s="2">
        <v>262.2</v>
      </c>
      <c r="AN454" s="2">
        <v>-43.79</v>
      </c>
      <c r="AO454" s="2" t="s">
        <v>118</v>
      </c>
      <c r="AP454" s="2" t="s">
        <v>119</v>
      </c>
      <c r="AQ454" s="2" t="s">
        <v>175</v>
      </c>
      <c r="AR454" s="2" t="s">
        <v>81</v>
      </c>
      <c r="AS454" s="2">
        <v>1360</v>
      </c>
      <c r="AT454" s="2">
        <v>73</v>
      </c>
      <c r="AU454" s="2" t="s">
        <v>82</v>
      </c>
      <c r="AV454" s="2">
        <v>327.75</v>
      </c>
      <c r="AW454" s="2">
        <v>0</v>
      </c>
      <c r="AX454" s="3">
        <v>43435.019444444442</v>
      </c>
      <c r="AY454" s="2" t="s">
        <v>238</v>
      </c>
      <c r="AZ454" s="4">
        <v>43405</v>
      </c>
      <c r="BA454" s="5">
        <v>0.51944444444444449</v>
      </c>
      <c r="BB454" s="2">
        <v>2018</v>
      </c>
      <c r="BC454" s="2" t="s">
        <v>455</v>
      </c>
      <c r="BD454" s="2">
        <v>1</v>
      </c>
      <c r="BE454" s="4">
        <v>43435</v>
      </c>
      <c r="BF454" s="5">
        <v>1.9444444444444445E-2</v>
      </c>
      <c r="BG454" s="2" t="str" cm="1">
        <f t="array" ref="BG454">_xlfn.IFS(BF454&lt;TIMEVALUE("06:00"),"Night", BF454&gt;=TIMEVALUE("21:00"),"Night",BF454&gt;=TIMEVALUE("17:00"),"Evening",BF454&gt;=TIMEVALUE("12:00"),"Afternoon", BF454&gt;=TIMEVALUE("06:00"),"Morning")</f>
        <v>Night</v>
      </c>
      <c r="BH454" s="2">
        <v>2018</v>
      </c>
      <c r="BI454" s="2" t="s">
        <v>357</v>
      </c>
      <c r="BJ454" s="2">
        <v>1</v>
      </c>
    </row>
    <row r="455" spans="1:62" x14ac:dyDescent="0.3">
      <c r="A455" s="2" t="s">
        <v>62</v>
      </c>
      <c r="B455" s="2">
        <v>1</v>
      </c>
      <c r="C455" s="2">
        <v>0</v>
      </c>
      <c r="D455" s="2">
        <v>92.18</v>
      </c>
      <c r="E455" s="2">
        <v>245.81</v>
      </c>
      <c r="F455" s="2" t="s">
        <v>87</v>
      </c>
      <c r="G455" s="2" t="s">
        <v>88</v>
      </c>
      <c r="H455" s="2">
        <v>73</v>
      </c>
      <c r="I455" s="2" t="s">
        <v>65</v>
      </c>
      <c r="J455" s="2" t="s">
        <v>2352</v>
      </c>
      <c r="K455" s="2" t="s">
        <v>102</v>
      </c>
      <c r="L455" s="2" t="s">
        <v>2141</v>
      </c>
      <c r="M455" s="2">
        <v>19354</v>
      </c>
      <c r="N455" s="2" t="s">
        <v>2353</v>
      </c>
      <c r="O455" s="2" t="s">
        <v>113</v>
      </c>
      <c r="P455" s="2" t="s">
        <v>105</v>
      </c>
      <c r="Q455" s="2" t="s">
        <v>2354</v>
      </c>
      <c r="R455" s="2">
        <v>90745</v>
      </c>
      <c r="S455" s="2">
        <v>2</v>
      </c>
      <c r="T455" s="2" t="s">
        <v>73</v>
      </c>
      <c r="U455" s="2">
        <v>33.831794700000003</v>
      </c>
      <c r="V455" s="2">
        <v>-118.26132200000001</v>
      </c>
      <c r="W455" s="2" t="s">
        <v>74</v>
      </c>
      <c r="X455" s="2" t="s">
        <v>2355</v>
      </c>
      <c r="Y455" s="2" t="s">
        <v>93</v>
      </c>
      <c r="Z455" s="2">
        <v>19354</v>
      </c>
      <c r="AA455" s="3">
        <v>43405.504166666666</v>
      </c>
      <c r="AB455" s="2">
        <v>75801</v>
      </c>
      <c r="AC455" s="2">
        <v>1360</v>
      </c>
      <c r="AD455" s="2">
        <v>81.94</v>
      </c>
      <c r="AE455" s="2">
        <v>0.25</v>
      </c>
      <c r="AF455" s="2" t="str" cm="1">
        <f t="array" ref="AF455">_xlfn.IFS(AE455=0, "No Discount ", AE455&lt;=0.08,"Low Discount", AE455&lt;=0.16,"Medium Discount", AE455&gt;0.16, "High Discount")</f>
        <v>High Discount</v>
      </c>
      <c r="AG455" s="2">
        <v>179116</v>
      </c>
      <c r="AH455" s="2">
        <v>327.75</v>
      </c>
      <c r="AI455" s="2">
        <v>0.38</v>
      </c>
      <c r="AJ455" s="2" t="str" cm="1">
        <f t="array" ref="AJ455">_xlfn.IFS(AI455&lt;=0, "No Profit", AI455&lt;=0.16,"Low Profit",AI455&lt;=0.32,"Medium Profit",AI455&gt;0.32,"High Profit")</f>
        <v>High Profit</v>
      </c>
      <c r="AK455" s="2">
        <v>1</v>
      </c>
      <c r="AL455" s="2">
        <v>327.75</v>
      </c>
      <c r="AM455" s="2">
        <v>245.81</v>
      </c>
      <c r="AN455" s="2">
        <v>92.18</v>
      </c>
      <c r="AO455" s="2" t="s">
        <v>95</v>
      </c>
      <c r="AP455" s="2" t="s">
        <v>96</v>
      </c>
      <c r="AQ455" s="2" t="s">
        <v>80</v>
      </c>
      <c r="AR455" s="2" t="s">
        <v>81</v>
      </c>
      <c r="AS455" s="2">
        <v>1360</v>
      </c>
      <c r="AT455" s="2">
        <v>73</v>
      </c>
      <c r="AU455" s="2" t="s">
        <v>82</v>
      </c>
      <c r="AV455" s="2">
        <v>327.75</v>
      </c>
      <c r="AW455" s="2">
        <v>0</v>
      </c>
      <c r="AX455" s="3">
        <v>43435.004166666666</v>
      </c>
      <c r="AY455" s="2" t="s">
        <v>238</v>
      </c>
      <c r="AZ455" s="4">
        <v>43405</v>
      </c>
      <c r="BA455" s="5">
        <v>0.50416666666666665</v>
      </c>
      <c r="BB455" s="2">
        <v>2018</v>
      </c>
      <c r="BC455" s="2" t="s">
        <v>455</v>
      </c>
      <c r="BD455" s="2">
        <v>1</v>
      </c>
      <c r="BE455" s="4">
        <v>43435</v>
      </c>
      <c r="BF455" s="5">
        <v>4.1666666666666666E-3</v>
      </c>
      <c r="BG455" s="2" t="str" cm="1">
        <f t="array" ref="BG455">_xlfn.IFS(BF455&lt;TIMEVALUE("06:00"),"Night", BF455&gt;=TIMEVALUE("21:00"),"Night",BF455&gt;=TIMEVALUE("17:00"),"Evening",BF455&gt;=TIMEVALUE("12:00"),"Afternoon", BF455&gt;=TIMEVALUE("06:00"),"Morning")</f>
        <v>Night</v>
      </c>
      <c r="BH455" s="2">
        <v>2018</v>
      </c>
      <c r="BI455" s="2" t="s">
        <v>357</v>
      </c>
      <c r="BJ455" s="2">
        <v>1</v>
      </c>
    </row>
    <row r="456" spans="1:62" x14ac:dyDescent="0.3">
      <c r="A456" s="2" t="s">
        <v>62</v>
      </c>
      <c r="B456" s="2">
        <v>6</v>
      </c>
      <c r="C456" s="2">
        <v>4</v>
      </c>
      <c r="D456" s="2">
        <v>40.97</v>
      </c>
      <c r="E456" s="2">
        <v>327.75</v>
      </c>
      <c r="F456" s="2" t="s">
        <v>87</v>
      </c>
      <c r="G456" s="2" t="s">
        <v>88</v>
      </c>
      <c r="H456" s="2">
        <v>73</v>
      </c>
      <c r="I456" s="2" t="s">
        <v>65</v>
      </c>
      <c r="J456" s="2" t="s">
        <v>2356</v>
      </c>
      <c r="K456" s="2" t="s">
        <v>102</v>
      </c>
      <c r="L456" s="2" t="s">
        <v>2357</v>
      </c>
      <c r="M456" s="2">
        <v>19353</v>
      </c>
      <c r="N456" s="2" t="s">
        <v>2358</v>
      </c>
      <c r="O456" s="2" t="s">
        <v>70</v>
      </c>
      <c r="P456" s="2" t="s">
        <v>1254</v>
      </c>
      <c r="Q456" s="2" t="s">
        <v>2359</v>
      </c>
      <c r="R456" s="2">
        <v>85204</v>
      </c>
      <c r="S456" s="2">
        <v>2</v>
      </c>
      <c r="T456" s="2" t="s">
        <v>73</v>
      </c>
      <c r="U456" s="2">
        <v>33.410011300000001</v>
      </c>
      <c r="V456" s="2">
        <v>-111.77179719999999</v>
      </c>
      <c r="W456" s="2" t="s">
        <v>74</v>
      </c>
      <c r="X456" s="2" t="s">
        <v>2355</v>
      </c>
      <c r="Y456" s="2" t="s">
        <v>93</v>
      </c>
      <c r="Z456" s="2">
        <v>19353</v>
      </c>
      <c r="AA456" s="3">
        <v>43405.489583333336</v>
      </c>
      <c r="AB456" s="2">
        <v>75800</v>
      </c>
      <c r="AC456" s="2">
        <v>1360</v>
      </c>
      <c r="AD456" s="2">
        <v>0</v>
      </c>
      <c r="AE456" s="2">
        <v>0</v>
      </c>
      <c r="AF456" s="2" t="str" cm="1">
        <f t="array" ref="AF456">_xlfn.IFS(AE456=0, "No Discount ", AE456&lt;=0.08,"Low Discount", AE456&lt;=0.16,"Medium Discount", AE456&gt;0.16, "High Discount")</f>
        <v xml:space="preserve">No Discount </v>
      </c>
      <c r="AG456" s="2">
        <v>179115</v>
      </c>
      <c r="AH456" s="2">
        <v>327.75</v>
      </c>
      <c r="AI456" s="2">
        <v>0.13</v>
      </c>
      <c r="AJ456" s="2" t="str" cm="1">
        <f t="array" ref="AJ456">_xlfn.IFS(AI456&lt;=0, "No Profit", AI456&lt;=0.16,"Low Profit",AI456&lt;=0.32,"Medium Profit",AI456&gt;0.32,"High Profit")</f>
        <v>Low Profit</v>
      </c>
      <c r="AK456" s="2">
        <v>1</v>
      </c>
      <c r="AL456" s="2">
        <v>327.75</v>
      </c>
      <c r="AM456" s="2">
        <v>327.75</v>
      </c>
      <c r="AN456" s="2">
        <v>40.97</v>
      </c>
      <c r="AO456" s="2" t="s">
        <v>95</v>
      </c>
      <c r="AP456" s="2" t="s">
        <v>96</v>
      </c>
      <c r="AQ456" s="2" t="s">
        <v>80</v>
      </c>
      <c r="AR456" s="2" t="s">
        <v>81</v>
      </c>
      <c r="AS456" s="2">
        <v>1360</v>
      </c>
      <c r="AT456" s="2">
        <v>73</v>
      </c>
      <c r="AU456" s="2" t="s">
        <v>82</v>
      </c>
      <c r="AV456" s="2">
        <v>327.75</v>
      </c>
      <c r="AW456" s="2">
        <v>0</v>
      </c>
      <c r="AX456" s="2" t="s">
        <v>2360</v>
      </c>
      <c r="AY456" s="2" t="s">
        <v>83</v>
      </c>
      <c r="AZ456" s="4">
        <v>43405</v>
      </c>
      <c r="BA456" s="5">
        <v>0.48958333333333331</v>
      </c>
      <c r="BB456" s="2">
        <v>2018</v>
      </c>
      <c r="BC456" s="2" t="s">
        <v>455</v>
      </c>
      <c r="BD456" s="2">
        <v>1</v>
      </c>
      <c r="BE456" s="4">
        <v>43117</v>
      </c>
      <c r="BF456" s="5">
        <v>0.48958333333333331</v>
      </c>
      <c r="BG456" s="2" t="str" cm="1">
        <f t="array" ref="BG456">_xlfn.IFS(BF456&lt;TIMEVALUE("06:00"),"Night", BF456&gt;=TIMEVALUE("21:00"),"Night",BF456&gt;=TIMEVALUE("17:00"),"Evening",BF456&gt;=TIMEVALUE("12:00"),"Afternoon", BF456&gt;=TIMEVALUE("06:00"),"Morning")</f>
        <v>Morning</v>
      </c>
      <c r="BH456" s="2">
        <v>2018</v>
      </c>
      <c r="BI456" s="2" t="s">
        <v>84</v>
      </c>
      <c r="BJ456" s="2">
        <v>17</v>
      </c>
    </row>
    <row r="457" spans="1:62" x14ac:dyDescent="0.3">
      <c r="A457" s="2" t="s">
        <v>62</v>
      </c>
      <c r="B457" s="2">
        <v>5</v>
      </c>
      <c r="C457" s="2">
        <v>4</v>
      </c>
      <c r="D457" s="2">
        <v>45.43</v>
      </c>
      <c r="E457" s="2">
        <v>324.47000000000003</v>
      </c>
      <c r="F457" s="2" t="s">
        <v>87</v>
      </c>
      <c r="G457" s="2" t="s">
        <v>88</v>
      </c>
      <c r="H457" s="2">
        <v>73</v>
      </c>
      <c r="I457" s="2" t="s">
        <v>65</v>
      </c>
      <c r="J457" s="2" t="s">
        <v>66</v>
      </c>
      <c r="K457" s="2" t="s">
        <v>67</v>
      </c>
      <c r="L457" s="2" t="s">
        <v>2141</v>
      </c>
      <c r="M457" s="2">
        <v>19352</v>
      </c>
      <c r="N457" s="2" t="s">
        <v>2361</v>
      </c>
      <c r="O457" s="2" t="s">
        <v>113</v>
      </c>
      <c r="P457" s="2" t="s">
        <v>71</v>
      </c>
      <c r="Q457" s="2" t="s">
        <v>2362</v>
      </c>
      <c r="R457" s="2">
        <v>725</v>
      </c>
      <c r="S457" s="2">
        <v>2</v>
      </c>
      <c r="T457" s="2" t="s">
        <v>73</v>
      </c>
      <c r="U457" s="2">
        <v>18.263086300000001</v>
      </c>
      <c r="V457" s="2">
        <v>-66.037056000000007</v>
      </c>
      <c r="W457" s="2" t="s">
        <v>74</v>
      </c>
      <c r="X457" s="2" t="s">
        <v>2179</v>
      </c>
      <c r="Y457" s="2" t="s">
        <v>2180</v>
      </c>
      <c r="Z457" s="2">
        <v>19352</v>
      </c>
      <c r="AA457" s="3">
        <v>43405.474999999999</v>
      </c>
      <c r="AB457" s="2">
        <v>75799</v>
      </c>
      <c r="AC457" s="2">
        <v>1360</v>
      </c>
      <c r="AD457" s="2">
        <v>3.28</v>
      </c>
      <c r="AE457" s="2">
        <v>0.01</v>
      </c>
      <c r="AF457" s="2" t="str" cm="1">
        <f t="array" ref="AF457">_xlfn.IFS(AE457=0, "No Discount ", AE457&lt;=0.08,"Low Discount", AE457&lt;=0.16,"Medium Discount", AE457&gt;0.16, "High Discount")</f>
        <v>Low Discount</v>
      </c>
      <c r="AG457" s="2">
        <v>179114</v>
      </c>
      <c r="AH457" s="2">
        <v>327.75</v>
      </c>
      <c r="AI457" s="2">
        <v>0.14000000000000001</v>
      </c>
      <c r="AJ457" s="2" t="str" cm="1">
        <f t="array" ref="AJ457">_xlfn.IFS(AI457&lt;=0, "No Profit", AI457&lt;=0.16,"Low Profit",AI457&lt;=0.32,"Medium Profit",AI457&gt;0.32,"High Profit")</f>
        <v>Low Profit</v>
      </c>
      <c r="AK457" s="2">
        <v>1</v>
      </c>
      <c r="AL457" s="2">
        <v>327.75</v>
      </c>
      <c r="AM457" s="2">
        <v>324.47000000000003</v>
      </c>
      <c r="AN457" s="2">
        <v>45.43</v>
      </c>
      <c r="AO457" s="2" t="s">
        <v>78</v>
      </c>
      <c r="AP457" s="2" t="s">
        <v>2181</v>
      </c>
      <c r="AQ457" s="2" t="s">
        <v>80</v>
      </c>
      <c r="AR457" s="2" t="s">
        <v>81</v>
      </c>
      <c r="AS457" s="2">
        <v>1360</v>
      </c>
      <c r="AT457" s="2">
        <v>73</v>
      </c>
      <c r="AU457" s="2" t="s">
        <v>82</v>
      </c>
      <c r="AV457" s="2">
        <v>327.75</v>
      </c>
      <c r="AW457" s="2">
        <v>0</v>
      </c>
      <c r="AX457" s="2" t="s">
        <v>2363</v>
      </c>
      <c r="AY457" s="2" t="s">
        <v>83</v>
      </c>
      <c r="AZ457" s="4">
        <v>43405</v>
      </c>
      <c r="BA457" s="5">
        <v>0.47499999999999998</v>
      </c>
      <c r="BB457" s="2">
        <v>2018</v>
      </c>
      <c r="BC457" s="2" t="s">
        <v>455</v>
      </c>
      <c r="BD457" s="2">
        <v>1</v>
      </c>
      <c r="BE457" s="4">
        <v>43116</v>
      </c>
      <c r="BF457" s="5">
        <v>0.47499999999999998</v>
      </c>
      <c r="BG457" s="2" t="str" cm="1">
        <f t="array" ref="BG457">_xlfn.IFS(BF457&lt;TIMEVALUE("06:00"),"Night", BF457&gt;=TIMEVALUE("21:00"),"Night",BF457&gt;=TIMEVALUE("17:00"),"Evening",BF457&gt;=TIMEVALUE("12:00"),"Afternoon", BF457&gt;=TIMEVALUE("06:00"),"Morning")</f>
        <v>Morning</v>
      </c>
      <c r="BH457" s="2">
        <v>2018</v>
      </c>
      <c r="BI457" s="2" t="s">
        <v>84</v>
      </c>
      <c r="BJ457" s="2">
        <v>16</v>
      </c>
    </row>
    <row r="458" spans="1:62" x14ac:dyDescent="0.3">
      <c r="A458" s="2" t="s">
        <v>86</v>
      </c>
      <c r="B458" s="2">
        <v>4</v>
      </c>
      <c r="C458" s="2">
        <v>4</v>
      </c>
      <c r="D458" s="2">
        <v>144.54</v>
      </c>
      <c r="E458" s="2">
        <v>321.2</v>
      </c>
      <c r="F458" s="2" t="s">
        <v>100</v>
      </c>
      <c r="G458" s="2" t="s">
        <v>64</v>
      </c>
      <c r="H458" s="2">
        <v>73</v>
      </c>
      <c r="I458" s="2" t="s">
        <v>65</v>
      </c>
      <c r="J458" s="2" t="s">
        <v>1212</v>
      </c>
      <c r="K458" s="2" t="s">
        <v>102</v>
      </c>
      <c r="L458" s="2" t="s">
        <v>959</v>
      </c>
      <c r="M458" s="2">
        <v>19351</v>
      </c>
      <c r="N458" s="2" t="s">
        <v>2364</v>
      </c>
      <c r="O458" s="2" t="s">
        <v>113</v>
      </c>
      <c r="P458" s="2" t="s">
        <v>1154</v>
      </c>
      <c r="Q458" s="2" t="s">
        <v>2365</v>
      </c>
      <c r="R458" s="2">
        <v>96818</v>
      </c>
      <c r="S458" s="2">
        <v>2</v>
      </c>
      <c r="T458" s="2" t="s">
        <v>73</v>
      </c>
      <c r="U458" s="2">
        <v>21.343153000000001</v>
      </c>
      <c r="V458" s="2">
        <v>-157.90660099999999</v>
      </c>
      <c r="W458" s="2" t="s">
        <v>74</v>
      </c>
      <c r="X458" s="2" t="s">
        <v>461</v>
      </c>
      <c r="Y458" s="2" t="s">
        <v>93</v>
      </c>
      <c r="Z458" s="2">
        <v>19351</v>
      </c>
      <c r="AA458" s="3">
        <v>43405.460416666669</v>
      </c>
      <c r="AB458" s="2">
        <v>75798</v>
      </c>
      <c r="AC458" s="2">
        <v>1360</v>
      </c>
      <c r="AD458" s="2">
        <v>6.56</v>
      </c>
      <c r="AE458" s="2">
        <v>0.02</v>
      </c>
      <c r="AF458" s="2" t="str" cm="1">
        <f t="array" ref="AF458">_xlfn.IFS(AE458=0, "No Discount ", AE458&lt;=0.08,"Low Discount", AE458&lt;=0.16,"Medium Discount", AE458&gt;0.16, "High Discount")</f>
        <v>Low Discount</v>
      </c>
      <c r="AG458" s="2">
        <v>179113</v>
      </c>
      <c r="AH458" s="2">
        <v>327.75</v>
      </c>
      <c r="AI458" s="2">
        <v>0.45</v>
      </c>
      <c r="AJ458" s="2" t="str" cm="1">
        <f t="array" ref="AJ458">_xlfn.IFS(AI458&lt;=0, "No Profit", AI458&lt;=0.16,"Low Profit",AI458&lt;=0.32,"Medium Profit",AI458&gt;0.32,"High Profit")</f>
        <v>High Profit</v>
      </c>
      <c r="AK458" s="2">
        <v>1</v>
      </c>
      <c r="AL458" s="2">
        <v>327.75</v>
      </c>
      <c r="AM458" s="2">
        <v>321.2</v>
      </c>
      <c r="AN458" s="2">
        <v>144.54</v>
      </c>
      <c r="AO458" s="2" t="s">
        <v>95</v>
      </c>
      <c r="AP458" s="2" t="s">
        <v>1985</v>
      </c>
      <c r="AQ458" s="2" t="s">
        <v>155</v>
      </c>
      <c r="AR458" s="2" t="s">
        <v>81</v>
      </c>
      <c r="AS458" s="2">
        <v>1360</v>
      </c>
      <c r="AT458" s="2">
        <v>73</v>
      </c>
      <c r="AU458" s="2" t="s">
        <v>82</v>
      </c>
      <c r="AV458" s="2">
        <v>327.75</v>
      </c>
      <c r="AW458" s="2">
        <v>0</v>
      </c>
      <c r="AX458" s="2" t="s">
        <v>2366</v>
      </c>
      <c r="AY458" s="2" t="s">
        <v>83</v>
      </c>
      <c r="AZ458" s="4">
        <v>43405</v>
      </c>
      <c r="BA458" s="5">
        <v>0.46041666666666664</v>
      </c>
      <c r="BB458" s="2">
        <v>2018</v>
      </c>
      <c r="BC458" s="2" t="s">
        <v>455</v>
      </c>
      <c r="BD458" s="2">
        <v>1</v>
      </c>
      <c r="BE458" s="4">
        <v>43115</v>
      </c>
      <c r="BF458" s="5">
        <v>0.46041666666666664</v>
      </c>
      <c r="BG458" s="2" t="str" cm="1">
        <f t="array" ref="BG458">_xlfn.IFS(BF458&lt;TIMEVALUE("06:00"),"Night", BF458&gt;=TIMEVALUE("21:00"),"Night",BF458&gt;=TIMEVALUE("17:00"),"Evening",BF458&gt;=TIMEVALUE("12:00"),"Afternoon", BF458&gt;=TIMEVALUE("06:00"),"Morning")</f>
        <v>Morning</v>
      </c>
      <c r="BH458" s="2">
        <v>2018</v>
      </c>
      <c r="BI458" s="2" t="s">
        <v>84</v>
      </c>
      <c r="BJ458" s="2">
        <v>15</v>
      </c>
    </row>
    <row r="459" spans="1:62" x14ac:dyDescent="0.3">
      <c r="A459" s="2" t="s">
        <v>86</v>
      </c>
      <c r="B459" s="2">
        <v>3</v>
      </c>
      <c r="C459" s="2">
        <v>4</v>
      </c>
      <c r="D459" s="2">
        <v>31.79</v>
      </c>
      <c r="E459" s="2">
        <v>317.92</v>
      </c>
      <c r="F459" s="2" t="s">
        <v>63</v>
      </c>
      <c r="G459" s="2" t="s">
        <v>64</v>
      </c>
      <c r="H459" s="2">
        <v>73</v>
      </c>
      <c r="I459" s="2" t="s">
        <v>65</v>
      </c>
      <c r="J459" s="2" t="s">
        <v>66</v>
      </c>
      <c r="K459" s="2" t="s">
        <v>67</v>
      </c>
      <c r="L459" s="2" t="s">
        <v>2367</v>
      </c>
      <c r="M459" s="2">
        <v>19350</v>
      </c>
      <c r="N459" s="2" t="s">
        <v>2368</v>
      </c>
      <c r="O459" s="2" t="s">
        <v>70</v>
      </c>
      <c r="P459" s="2" t="s">
        <v>71</v>
      </c>
      <c r="Q459" s="2" t="s">
        <v>2369</v>
      </c>
      <c r="R459" s="2">
        <v>725</v>
      </c>
      <c r="S459" s="2">
        <v>2</v>
      </c>
      <c r="T459" s="2" t="s">
        <v>73</v>
      </c>
      <c r="U459" s="2">
        <v>18.2668781</v>
      </c>
      <c r="V459" s="2">
        <v>-66.037056000000007</v>
      </c>
      <c r="W459" s="2" t="s">
        <v>74</v>
      </c>
      <c r="X459" s="2" t="s">
        <v>2370</v>
      </c>
      <c r="Y459" s="2" t="s">
        <v>143</v>
      </c>
      <c r="Z459" s="2">
        <v>19350</v>
      </c>
      <c r="AA459" s="3">
        <v>43405.445833333331</v>
      </c>
      <c r="AB459" s="2">
        <v>75797</v>
      </c>
      <c r="AC459" s="2">
        <v>1360</v>
      </c>
      <c r="AD459" s="2">
        <v>9.83</v>
      </c>
      <c r="AE459" s="2">
        <v>0.03</v>
      </c>
      <c r="AF459" s="2" t="str" cm="1">
        <f t="array" ref="AF459">_xlfn.IFS(AE459=0, "No Discount ", AE459&lt;=0.08,"Low Discount", AE459&lt;=0.16,"Medium Discount", AE459&gt;0.16, "High Discount")</f>
        <v>Low Discount</v>
      </c>
      <c r="AG459" s="2">
        <v>179112</v>
      </c>
      <c r="AH459" s="2">
        <v>327.75</v>
      </c>
      <c r="AI459" s="2">
        <v>0.1</v>
      </c>
      <c r="AJ459" s="2" t="str" cm="1">
        <f t="array" ref="AJ459">_xlfn.IFS(AI459&lt;=0, "No Profit", AI459&lt;=0.16,"Low Profit",AI459&lt;=0.32,"Medium Profit",AI459&gt;0.32,"High Profit")</f>
        <v>Low Profit</v>
      </c>
      <c r="AK459" s="2">
        <v>1</v>
      </c>
      <c r="AL459" s="2">
        <v>327.75</v>
      </c>
      <c r="AM459" s="2">
        <v>317.92</v>
      </c>
      <c r="AN459" s="2">
        <v>31.79</v>
      </c>
      <c r="AO459" s="2" t="s">
        <v>145</v>
      </c>
      <c r="AP459" s="2" t="s">
        <v>1484</v>
      </c>
      <c r="AQ459" s="2" t="s">
        <v>97</v>
      </c>
      <c r="AR459" s="2" t="s">
        <v>81</v>
      </c>
      <c r="AS459" s="2">
        <v>1360</v>
      </c>
      <c r="AT459" s="2">
        <v>73</v>
      </c>
      <c r="AU459" s="2" t="s">
        <v>82</v>
      </c>
      <c r="AV459" s="2">
        <v>327.75</v>
      </c>
      <c r="AW459" s="2">
        <v>0</v>
      </c>
      <c r="AX459" s="2" t="s">
        <v>2371</v>
      </c>
      <c r="AY459" s="2" t="s">
        <v>83</v>
      </c>
      <c r="AZ459" s="4">
        <v>43405</v>
      </c>
      <c r="BA459" s="5">
        <v>0.44583333333333336</v>
      </c>
      <c r="BB459" s="2">
        <v>2018</v>
      </c>
      <c r="BC459" s="2" t="s">
        <v>455</v>
      </c>
      <c r="BD459" s="2">
        <v>1</v>
      </c>
      <c r="BE459" s="4">
        <v>43114</v>
      </c>
      <c r="BF459" s="5">
        <v>0.44583333333333336</v>
      </c>
      <c r="BG459" s="2" t="str" cm="1">
        <f t="array" ref="BG459">_xlfn.IFS(BF459&lt;TIMEVALUE("06:00"),"Night", BF459&gt;=TIMEVALUE("21:00"),"Night",BF459&gt;=TIMEVALUE("17:00"),"Evening",BF459&gt;=TIMEVALUE("12:00"),"Afternoon", BF459&gt;=TIMEVALUE("06:00"),"Morning")</f>
        <v>Morning</v>
      </c>
      <c r="BH459" s="2">
        <v>2018</v>
      </c>
      <c r="BI459" s="2" t="s">
        <v>84</v>
      </c>
      <c r="BJ459" s="2">
        <v>14</v>
      </c>
    </row>
    <row r="460" spans="1:62" x14ac:dyDescent="0.3">
      <c r="A460" s="2" t="s">
        <v>121</v>
      </c>
      <c r="B460" s="2">
        <v>6</v>
      </c>
      <c r="C460" s="2">
        <v>2</v>
      </c>
      <c r="D460" s="2">
        <v>57.6</v>
      </c>
      <c r="E460" s="2">
        <v>120</v>
      </c>
      <c r="F460" s="2" t="s">
        <v>87</v>
      </c>
      <c r="G460" s="2" t="s">
        <v>88</v>
      </c>
      <c r="H460" s="2">
        <v>24</v>
      </c>
      <c r="I460" s="2" t="s">
        <v>435</v>
      </c>
      <c r="J460" s="2" t="s">
        <v>66</v>
      </c>
      <c r="K460" s="2" t="s">
        <v>67</v>
      </c>
      <c r="L460" s="2" t="s">
        <v>580</v>
      </c>
      <c r="M460" s="2">
        <v>8707</v>
      </c>
      <c r="N460" s="2" t="s">
        <v>425</v>
      </c>
      <c r="O460" s="2" t="s">
        <v>113</v>
      </c>
      <c r="P460" s="2" t="s">
        <v>71</v>
      </c>
      <c r="Q460" s="2" t="s">
        <v>581</v>
      </c>
      <c r="R460" s="2">
        <v>725</v>
      </c>
      <c r="S460" s="2">
        <v>5</v>
      </c>
      <c r="T460" s="2" t="s">
        <v>427</v>
      </c>
      <c r="U460" s="2">
        <v>18.231313700000001</v>
      </c>
      <c r="V460" s="2">
        <v>-66.370628400000001</v>
      </c>
      <c r="W460" s="2" t="s">
        <v>582</v>
      </c>
      <c r="X460" s="2" t="s">
        <v>583</v>
      </c>
      <c r="Y460" s="2" t="s">
        <v>584</v>
      </c>
      <c r="Z460" s="2">
        <v>8707</v>
      </c>
      <c r="AA460" s="2" t="s">
        <v>585</v>
      </c>
      <c r="AB460" s="2">
        <v>5895</v>
      </c>
      <c r="AC460" s="2">
        <v>502</v>
      </c>
      <c r="AD460" s="2">
        <v>30</v>
      </c>
      <c r="AE460" s="2">
        <v>0.2</v>
      </c>
      <c r="AF460" s="2" t="str" cm="1">
        <f t="array" ref="AF460">_xlfn.IFS(AE460=0, "No Discount ", AE460&lt;=0.08,"Low Discount", AE460&lt;=0.16,"Medium Discount", AE460&gt;0.16, "High Discount")</f>
        <v>High Discount</v>
      </c>
      <c r="AG460" s="2">
        <v>14667</v>
      </c>
      <c r="AH460" s="2">
        <v>50</v>
      </c>
      <c r="AI460" s="2">
        <v>0.48</v>
      </c>
      <c r="AJ460" s="2" t="str" cm="1">
        <f t="array" ref="AJ460">_xlfn.IFS(AI460&lt;=0, "No Profit", AI460&lt;=0.16,"Low Profit",AI460&lt;=0.32,"Medium Profit",AI460&gt;0.32,"High Profit")</f>
        <v>High Profit</v>
      </c>
      <c r="AK460" s="2">
        <v>3</v>
      </c>
      <c r="AL460" s="2">
        <v>150</v>
      </c>
      <c r="AM460" s="2">
        <v>120</v>
      </c>
      <c r="AN460" s="2">
        <v>57.6</v>
      </c>
      <c r="AO460" s="2" t="s">
        <v>586</v>
      </c>
      <c r="AP460" s="2" t="s">
        <v>584</v>
      </c>
      <c r="AQ460" s="2" t="s">
        <v>127</v>
      </c>
      <c r="AR460" s="2" t="s">
        <v>81</v>
      </c>
      <c r="AS460" s="2">
        <v>502</v>
      </c>
      <c r="AT460" s="2">
        <v>24</v>
      </c>
      <c r="AU460" s="2" t="s">
        <v>442</v>
      </c>
      <c r="AV460" s="2">
        <v>50</v>
      </c>
      <c r="AW460" s="2">
        <v>0</v>
      </c>
      <c r="AX460" s="3">
        <v>42067.038194444445</v>
      </c>
      <c r="AY460" s="2" t="s">
        <v>162</v>
      </c>
      <c r="AZ460" s="4">
        <v>42091</v>
      </c>
      <c r="BA460" s="5">
        <v>3.8194444444444448E-2</v>
      </c>
      <c r="BB460" s="2">
        <v>2015</v>
      </c>
      <c r="BC460" s="2" t="s">
        <v>85</v>
      </c>
      <c r="BD460" s="2">
        <v>28</v>
      </c>
      <c r="BE460" s="4">
        <v>42067</v>
      </c>
      <c r="BF460" s="5">
        <v>3.8194444444444448E-2</v>
      </c>
      <c r="BG460" s="2" t="str" cm="1">
        <f t="array" ref="BG460">_xlfn.IFS(BF460&lt;TIMEVALUE("06:00"),"Night", BF460&gt;=TIMEVALUE("21:00"),"Night",BF460&gt;=TIMEVALUE("17:00"),"Evening",BF460&gt;=TIMEVALUE("12:00"),"Afternoon", BF460&gt;=TIMEVALUE("06:00"),"Morning")</f>
        <v>Night</v>
      </c>
      <c r="BH460" s="2">
        <v>2015</v>
      </c>
      <c r="BI460" s="2" t="s">
        <v>85</v>
      </c>
      <c r="BJ460" s="2">
        <v>4</v>
      </c>
    </row>
    <row r="461" spans="1:62" x14ac:dyDescent="0.3">
      <c r="A461" s="2" t="s">
        <v>121</v>
      </c>
      <c r="B461" s="2">
        <v>6</v>
      </c>
      <c r="C461" s="2">
        <v>2</v>
      </c>
      <c r="D461" s="2">
        <v>12.71</v>
      </c>
      <c r="E461" s="2">
        <v>112.5</v>
      </c>
      <c r="F461" s="2" t="s">
        <v>87</v>
      </c>
      <c r="G461" s="2" t="s">
        <v>88</v>
      </c>
      <c r="H461" s="2">
        <v>24</v>
      </c>
      <c r="I461" s="2" t="s">
        <v>435</v>
      </c>
      <c r="J461" s="2" t="s">
        <v>66</v>
      </c>
      <c r="K461" s="2" t="s">
        <v>67</v>
      </c>
      <c r="L461" s="2" t="s">
        <v>2372</v>
      </c>
      <c r="M461" s="2">
        <v>12069</v>
      </c>
      <c r="N461" s="2" t="s">
        <v>2373</v>
      </c>
      <c r="O461" s="2" t="s">
        <v>113</v>
      </c>
      <c r="P461" s="2" t="s">
        <v>71</v>
      </c>
      <c r="Q461" s="2" t="s">
        <v>2374</v>
      </c>
      <c r="R461" s="2">
        <v>725</v>
      </c>
      <c r="S461" s="2">
        <v>5</v>
      </c>
      <c r="T461" s="2" t="s">
        <v>427</v>
      </c>
      <c r="U461" s="2">
        <v>18.222986200000001</v>
      </c>
      <c r="V461" s="2">
        <v>-66.370628400000001</v>
      </c>
      <c r="W461" s="2" t="s">
        <v>582</v>
      </c>
      <c r="X461" s="2" t="s">
        <v>2375</v>
      </c>
      <c r="Y461" s="2" t="s">
        <v>749</v>
      </c>
      <c r="Z461" s="2">
        <v>12069</v>
      </c>
      <c r="AA461" s="2" t="s">
        <v>2376</v>
      </c>
      <c r="AB461" s="2">
        <v>3130</v>
      </c>
      <c r="AC461" s="2">
        <v>502</v>
      </c>
      <c r="AD461" s="2">
        <v>37.5</v>
      </c>
      <c r="AE461" s="2">
        <v>0.25</v>
      </c>
      <c r="AF461" s="2" t="str" cm="1">
        <f t="array" ref="AF461">_xlfn.IFS(AE461=0, "No Discount ", AE461&lt;=0.08,"Low Discount", AE461&lt;=0.16,"Medium Discount", AE461&gt;0.16, "High Discount")</f>
        <v>High Discount</v>
      </c>
      <c r="AG461" s="2">
        <v>7792</v>
      </c>
      <c r="AH461" s="2">
        <v>50</v>
      </c>
      <c r="AI461" s="2">
        <v>0.11</v>
      </c>
      <c r="AJ461" s="2" t="str" cm="1">
        <f t="array" ref="AJ461">_xlfn.IFS(AI461&lt;=0, "No Profit", AI461&lt;=0.16,"Low Profit",AI461&lt;=0.32,"Medium Profit",AI461&gt;0.32,"High Profit")</f>
        <v>Low Profit</v>
      </c>
      <c r="AK461" s="2">
        <v>3</v>
      </c>
      <c r="AL461" s="2">
        <v>150</v>
      </c>
      <c r="AM461" s="2">
        <v>112.5</v>
      </c>
      <c r="AN461" s="2">
        <v>12.71</v>
      </c>
      <c r="AO461" s="2" t="s">
        <v>586</v>
      </c>
      <c r="AP461" s="2" t="s">
        <v>748</v>
      </c>
      <c r="AQ461" s="2" t="s">
        <v>127</v>
      </c>
      <c r="AR461" s="2" t="s">
        <v>81</v>
      </c>
      <c r="AS461" s="2">
        <v>502</v>
      </c>
      <c r="AT461" s="2">
        <v>24</v>
      </c>
      <c r="AU461" s="2" t="s">
        <v>442</v>
      </c>
      <c r="AV461" s="2">
        <v>50</v>
      </c>
      <c r="AW461" s="2">
        <v>0</v>
      </c>
      <c r="AX461" s="2" t="s">
        <v>2377</v>
      </c>
      <c r="AY461" s="2" t="s">
        <v>162</v>
      </c>
      <c r="AZ461" s="4">
        <v>42050</v>
      </c>
      <c r="BA461" s="5">
        <v>0.67569444444444449</v>
      </c>
      <c r="BB461" s="2">
        <v>2015</v>
      </c>
      <c r="BC461" s="2" t="s">
        <v>423</v>
      </c>
      <c r="BD461" s="2">
        <v>15</v>
      </c>
      <c r="BE461" s="4">
        <v>42056</v>
      </c>
      <c r="BF461" s="5">
        <v>0.67569444444444449</v>
      </c>
      <c r="BG461" s="2" t="str" cm="1">
        <f t="array" ref="BG461">_xlfn.IFS(BF461&lt;TIMEVALUE("06:00"),"Night", BF461&gt;=TIMEVALUE("21:00"),"Night",BF461&gt;=TIMEVALUE("17:00"),"Evening",BF461&gt;=TIMEVALUE("12:00"),"Afternoon", BF461&gt;=TIMEVALUE("06:00"),"Morning")</f>
        <v>Afternoon</v>
      </c>
      <c r="BH461" s="2">
        <v>2015</v>
      </c>
      <c r="BI461" s="2" t="s">
        <v>423</v>
      </c>
      <c r="BJ461" s="2">
        <v>21</v>
      </c>
    </row>
    <row r="462" spans="1:62" x14ac:dyDescent="0.3">
      <c r="A462" s="2" t="s">
        <v>121</v>
      </c>
      <c r="B462" s="2">
        <v>2</v>
      </c>
      <c r="C462" s="2">
        <v>2</v>
      </c>
      <c r="D462" s="2">
        <v>95.62</v>
      </c>
      <c r="E462" s="2">
        <v>254.97</v>
      </c>
      <c r="F462" s="2" t="s">
        <v>100</v>
      </c>
      <c r="G462" s="2" t="s">
        <v>64</v>
      </c>
      <c r="H462" s="2">
        <v>9</v>
      </c>
      <c r="I462" s="2" t="s">
        <v>496</v>
      </c>
      <c r="J462" s="2" t="s">
        <v>66</v>
      </c>
      <c r="K462" s="2" t="s">
        <v>67</v>
      </c>
      <c r="L462" s="2" t="s">
        <v>2378</v>
      </c>
      <c r="M462" s="2">
        <v>9597</v>
      </c>
      <c r="N462" s="2" t="s">
        <v>2379</v>
      </c>
      <c r="O462" s="2" t="s">
        <v>113</v>
      </c>
      <c r="P462" s="2" t="s">
        <v>71</v>
      </c>
      <c r="Q462" s="2" t="s">
        <v>514</v>
      </c>
      <c r="R462" s="2">
        <v>725</v>
      </c>
      <c r="S462" s="2">
        <v>3</v>
      </c>
      <c r="T462" s="2" t="s">
        <v>466</v>
      </c>
      <c r="U462" s="2">
        <v>18.241153700000002</v>
      </c>
      <c r="V462" s="2">
        <v>-66.370567300000005</v>
      </c>
      <c r="W462" s="2" t="s">
        <v>74</v>
      </c>
      <c r="X462" s="2" t="s">
        <v>2380</v>
      </c>
      <c r="Y462" s="2" t="s">
        <v>1397</v>
      </c>
      <c r="Z462" s="2">
        <v>9597</v>
      </c>
      <c r="AA462" s="2" t="s">
        <v>2381</v>
      </c>
      <c r="AB462" s="2">
        <v>49521</v>
      </c>
      <c r="AC462" s="2">
        <v>191</v>
      </c>
      <c r="AD462" s="2">
        <v>45</v>
      </c>
      <c r="AE462" s="2">
        <v>0.15</v>
      </c>
      <c r="AF462" s="2" t="str" cm="1">
        <f t="array" ref="AF462">_xlfn.IFS(AE462=0, "No Discount ", AE462&lt;=0.08,"Low Discount", AE462&lt;=0.16,"Medium Discount", AE462&gt;0.16, "High Discount")</f>
        <v>Medium Discount</v>
      </c>
      <c r="AG462" s="2">
        <v>123770</v>
      </c>
      <c r="AH462" s="2">
        <v>99.99</v>
      </c>
      <c r="AI462" s="2">
        <v>0.38</v>
      </c>
      <c r="AJ462" s="2" t="str" cm="1">
        <f t="array" ref="AJ462">_xlfn.IFS(AI462&lt;=0, "No Profit", AI462&lt;=0.16,"Low Profit",AI462&lt;=0.32,"Medium Profit",AI462&gt;0.32,"High Profit")</f>
        <v>High Profit</v>
      </c>
      <c r="AK462" s="2">
        <v>3</v>
      </c>
      <c r="AL462" s="2">
        <v>299.97000000000003</v>
      </c>
      <c r="AM462" s="2">
        <v>254.97</v>
      </c>
      <c r="AN462" s="2">
        <v>95.62</v>
      </c>
      <c r="AO462" s="2" t="s">
        <v>431</v>
      </c>
      <c r="AP462" s="2" t="s">
        <v>2380</v>
      </c>
      <c r="AQ462" s="2" t="s">
        <v>2314</v>
      </c>
      <c r="AR462" s="2" t="s">
        <v>81</v>
      </c>
      <c r="AS462" s="2">
        <v>191</v>
      </c>
      <c r="AT462" s="2">
        <v>9</v>
      </c>
      <c r="AU462" s="2" t="s">
        <v>505</v>
      </c>
      <c r="AV462" s="2">
        <v>99.99</v>
      </c>
      <c r="AW462" s="2">
        <v>0</v>
      </c>
      <c r="AX462" s="2" t="s">
        <v>2382</v>
      </c>
      <c r="AY462" s="2" t="s">
        <v>162</v>
      </c>
      <c r="AZ462" s="4">
        <v>42727</v>
      </c>
      <c r="BA462" s="5">
        <v>0.87708333333333333</v>
      </c>
      <c r="BB462" s="2">
        <v>2016</v>
      </c>
      <c r="BC462" s="2" t="s">
        <v>357</v>
      </c>
      <c r="BD462" s="2">
        <v>23</v>
      </c>
      <c r="BE462" s="4">
        <v>42729</v>
      </c>
      <c r="BF462" s="5">
        <v>0.87708333333333333</v>
      </c>
      <c r="BG462" s="2" t="str" cm="1">
        <f t="array" ref="BG462">_xlfn.IFS(BF462&lt;TIMEVALUE("06:00"),"Night", BF462&gt;=TIMEVALUE("21:00"),"Night",BF462&gt;=TIMEVALUE("17:00"),"Evening",BF462&gt;=TIMEVALUE("12:00"),"Afternoon", BF462&gt;=TIMEVALUE("06:00"),"Morning")</f>
        <v>Night</v>
      </c>
      <c r="BH462" s="2">
        <v>2016</v>
      </c>
      <c r="BI462" s="2" t="s">
        <v>357</v>
      </c>
      <c r="BJ462" s="2">
        <v>25</v>
      </c>
    </row>
    <row r="463" spans="1:62" x14ac:dyDescent="0.3">
      <c r="A463" s="2" t="s">
        <v>121</v>
      </c>
      <c r="B463" s="2">
        <v>6</v>
      </c>
      <c r="C463" s="2">
        <v>2</v>
      </c>
      <c r="D463" s="2">
        <v>35.33</v>
      </c>
      <c r="E463" s="2">
        <v>113.97</v>
      </c>
      <c r="F463" s="2" t="s">
        <v>87</v>
      </c>
      <c r="G463" s="2" t="s">
        <v>88</v>
      </c>
      <c r="H463" s="2">
        <v>29</v>
      </c>
      <c r="I463" s="2" t="s">
        <v>424</v>
      </c>
      <c r="J463" s="2" t="s">
        <v>66</v>
      </c>
      <c r="K463" s="2" t="s">
        <v>67</v>
      </c>
      <c r="L463" s="2" t="s">
        <v>444</v>
      </c>
      <c r="M463" s="2">
        <v>9702</v>
      </c>
      <c r="N463" s="2" t="s">
        <v>445</v>
      </c>
      <c r="O463" s="2" t="s">
        <v>113</v>
      </c>
      <c r="P463" s="2" t="s">
        <v>71</v>
      </c>
      <c r="Q463" s="2" t="s">
        <v>446</v>
      </c>
      <c r="R463" s="2">
        <v>725</v>
      </c>
      <c r="S463" s="2">
        <v>5</v>
      </c>
      <c r="T463" s="2" t="s">
        <v>427</v>
      </c>
      <c r="U463" s="2">
        <v>18.273838000000001</v>
      </c>
      <c r="V463" s="2">
        <v>-66.370636000000005</v>
      </c>
      <c r="W463" s="2" t="s">
        <v>74</v>
      </c>
      <c r="X463" s="2" t="s">
        <v>2383</v>
      </c>
      <c r="Y463" s="2" t="s">
        <v>1342</v>
      </c>
      <c r="Z463" s="2">
        <v>9702</v>
      </c>
      <c r="AA463" s="2" t="s">
        <v>2384</v>
      </c>
      <c r="AB463" s="2">
        <v>30305</v>
      </c>
      <c r="AC463" s="2">
        <v>627</v>
      </c>
      <c r="AD463" s="2">
        <v>6</v>
      </c>
      <c r="AE463" s="2">
        <v>0.05</v>
      </c>
      <c r="AF463" s="2" t="str" cm="1">
        <f t="array" ref="AF463">_xlfn.IFS(AE463=0, "No Discount ", AE463&lt;=0.08,"Low Discount", AE463&lt;=0.16,"Medium Discount", AE463&gt;0.16, "High Discount")</f>
        <v>Low Discount</v>
      </c>
      <c r="AG463" s="2">
        <v>75732</v>
      </c>
      <c r="AH463" s="2">
        <v>39.99</v>
      </c>
      <c r="AI463" s="2">
        <v>0.31</v>
      </c>
      <c r="AJ463" s="2" t="str" cm="1">
        <f t="array" ref="AJ463">_xlfn.IFS(AI463&lt;=0, "No Profit", AI463&lt;=0.16,"Low Profit",AI463&lt;=0.32,"Medium Profit",AI463&gt;0.32,"High Profit")</f>
        <v>Medium Profit</v>
      </c>
      <c r="AK463" s="2">
        <v>3</v>
      </c>
      <c r="AL463" s="2">
        <v>119.97</v>
      </c>
      <c r="AM463" s="2">
        <v>113.97</v>
      </c>
      <c r="AN463" s="2">
        <v>35.33</v>
      </c>
      <c r="AO463" s="2" t="s">
        <v>118</v>
      </c>
      <c r="AP463" s="2" t="s">
        <v>2385</v>
      </c>
      <c r="AQ463" s="2" t="s">
        <v>2314</v>
      </c>
      <c r="AR463" s="2" t="s">
        <v>81</v>
      </c>
      <c r="AS463" s="2">
        <v>627</v>
      </c>
      <c r="AT463" s="2">
        <v>29</v>
      </c>
      <c r="AU463" s="2" t="s">
        <v>432</v>
      </c>
      <c r="AV463" s="2">
        <v>39.99</v>
      </c>
      <c r="AW463" s="2">
        <v>0</v>
      </c>
      <c r="AX463" s="2" t="s">
        <v>2386</v>
      </c>
      <c r="AY463" s="2" t="s">
        <v>162</v>
      </c>
      <c r="AZ463" s="4">
        <v>42447</v>
      </c>
      <c r="BA463" s="5">
        <v>0.36805555555555558</v>
      </c>
      <c r="BB463" s="2">
        <v>2016</v>
      </c>
      <c r="BC463" s="2" t="s">
        <v>85</v>
      </c>
      <c r="BD463" s="2">
        <v>18</v>
      </c>
      <c r="BE463" s="4">
        <v>42453</v>
      </c>
      <c r="BF463" s="5">
        <v>0.36805555555555558</v>
      </c>
      <c r="BG463" s="2" t="str" cm="1">
        <f t="array" ref="BG463">_xlfn.IFS(BF463&lt;TIMEVALUE("06:00"),"Night", BF463&gt;=TIMEVALUE("21:00"),"Night",BF463&gt;=TIMEVALUE("17:00"),"Evening",BF463&gt;=TIMEVALUE("12:00"),"Afternoon", BF463&gt;=TIMEVALUE("06:00"),"Morning")</f>
        <v>Morning</v>
      </c>
      <c r="BH463" s="2">
        <v>2016</v>
      </c>
      <c r="BI463" s="2" t="s">
        <v>85</v>
      </c>
      <c r="BJ463" s="2">
        <v>24</v>
      </c>
    </row>
    <row r="464" spans="1:62" x14ac:dyDescent="0.3">
      <c r="A464" s="2" t="s">
        <v>121</v>
      </c>
      <c r="B464" s="2">
        <v>5</v>
      </c>
      <c r="C464" s="2">
        <v>2</v>
      </c>
      <c r="D464" s="2">
        <v>-19.12</v>
      </c>
      <c r="E464" s="2">
        <v>254.97</v>
      </c>
      <c r="F464" s="2" t="s">
        <v>87</v>
      </c>
      <c r="G464" s="2" t="s">
        <v>88</v>
      </c>
      <c r="H464" s="2">
        <v>9</v>
      </c>
      <c r="I464" s="2" t="s">
        <v>496</v>
      </c>
      <c r="J464" s="2" t="s">
        <v>66</v>
      </c>
      <c r="K464" s="2" t="s">
        <v>67</v>
      </c>
      <c r="L464" s="2" t="s">
        <v>456</v>
      </c>
      <c r="M464" s="2">
        <v>1362</v>
      </c>
      <c r="N464" s="2" t="s">
        <v>425</v>
      </c>
      <c r="O464" s="2" t="s">
        <v>113</v>
      </c>
      <c r="P464" s="2" t="s">
        <v>71</v>
      </c>
      <c r="Q464" s="2" t="s">
        <v>457</v>
      </c>
      <c r="R464" s="2">
        <v>725</v>
      </c>
      <c r="S464" s="2">
        <v>3</v>
      </c>
      <c r="T464" s="2" t="s">
        <v>466</v>
      </c>
      <c r="U464" s="2">
        <v>18.294967700000001</v>
      </c>
      <c r="V464" s="2">
        <v>-66.370506300000002</v>
      </c>
      <c r="W464" s="2" t="s">
        <v>74</v>
      </c>
      <c r="X464" s="2" t="s">
        <v>449</v>
      </c>
      <c r="Y464" s="2" t="s">
        <v>429</v>
      </c>
      <c r="Z464" s="2">
        <v>1362</v>
      </c>
      <c r="AA464" s="2" t="s">
        <v>458</v>
      </c>
      <c r="AB464" s="2">
        <v>50054</v>
      </c>
      <c r="AC464" s="2">
        <v>191</v>
      </c>
      <c r="AD464" s="2">
        <v>45</v>
      </c>
      <c r="AE464" s="2">
        <v>0.15</v>
      </c>
      <c r="AF464" s="2" t="str" cm="1">
        <f t="array" ref="AF464">_xlfn.IFS(AE464=0, "No Discount ", AE464&lt;=0.08,"Low Discount", AE464&lt;=0.16,"Medium Discount", AE464&gt;0.16, "High Discount")</f>
        <v>Medium Discount</v>
      </c>
      <c r="AG464" s="2">
        <v>125134</v>
      </c>
      <c r="AH464" s="2">
        <v>99.99</v>
      </c>
      <c r="AI464" s="2">
        <v>-0.08</v>
      </c>
      <c r="AJ464" s="2" t="str" cm="1">
        <f t="array" ref="AJ464">_xlfn.IFS(AI464&lt;=0, "No Profit", AI464&lt;=0.16,"Low Profit",AI464&lt;=0.32,"Medium Profit",AI464&gt;0.32,"High Profit")</f>
        <v>No Profit</v>
      </c>
      <c r="AK464" s="2">
        <v>3</v>
      </c>
      <c r="AL464" s="2">
        <v>299.97000000000003</v>
      </c>
      <c r="AM464" s="2">
        <v>254.97</v>
      </c>
      <c r="AN464" s="2">
        <v>-19.12</v>
      </c>
      <c r="AO464" s="2" t="s">
        <v>431</v>
      </c>
      <c r="AP464" s="2" t="s">
        <v>449</v>
      </c>
      <c r="AQ464" s="2" t="s">
        <v>127</v>
      </c>
      <c r="AR464" s="2" t="s">
        <v>81</v>
      </c>
      <c r="AS464" s="2">
        <v>191</v>
      </c>
      <c r="AT464" s="2">
        <v>9</v>
      </c>
      <c r="AU464" s="2" t="s">
        <v>505</v>
      </c>
      <c r="AV464" s="2">
        <v>99.99</v>
      </c>
      <c r="AW464" s="2">
        <v>0</v>
      </c>
      <c r="AX464" s="3">
        <v>42856.657638888886</v>
      </c>
      <c r="AY464" s="2" t="s">
        <v>162</v>
      </c>
      <c r="AZ464" s="4">
        <v>42735</v>
      </c>
      <c r="BA464" s="5">
        <v>0.65763888888888888</v>
      </c>
      <c r="BB464" s="2">
        <v>2016</v>
      </c>
      <c r="BC464" s="2" t="s">
        <v>357</v>
      </c>
      <c r="BD464" s="2">
        <v>31</v>
      </c>
      <c r="BE464" s="4">
        <v>42856</v>
      </c>
      <c r="BF464" s="5">
        <v>0.65763888888888888</v>
      </c>
      <c r="BG464" s="2" t="str" cm="1">
        <f t="array" ref="BG464">_xlfn.IFS(BF464&lt;TIMEVALUE("06:00"),"Night", BF464&gt;=TIMEVALUE("21:00"),"Night",BF464&gt;=TIMEVALUE("17:00"),"Evening",BF464&gt;=TIMEVALUE("12:00"),"Afternoon", BF464&gt;=TIMEVALUE("06:00"),"Morning")</f>
        <v>Afternoon</v>
      </c>
      <c r="BH464" s="2">
        <v>2017</v>
      </c>
      <c r="BI464" s="2" t="s">
        <v>443</v>
      </c>
      <c r="BJ464" s="2">
        <v>1</v>
      </c>
    </row>
    <row r="465" spans="1:62" x14ac:dyDescent="0.3">
      <c r="A465" s="2" t="s">
        <v>121</v>
      </c>
      <c r="B465" s="2">
        <v>3</v>
      </c>
      <c r="C465" s="2">
        <v>2</v>
      </c>
      <c r="D465" s="2">
        <v>28.51</v>
      </c>
      <c r="E465" s="2">
        <v>178.17</v>
      </c>
      <c r="F465" s="2" t="s">
        <v>87</v>
      </c>
      <c r="G465" s="2" t="s">
        <v>88</v>
      </c>
      <c r="H465" s="2">
        <v>17</v>
      </c>
      <c r="I465" s="2" t="s">
        <v>412</v>
      </c>
      <c r="J465" s="2" t="s">
        <v>66</v>
      </c>
      <c r="K465" s="2" t="s">
        <v>67</v>
      </c>
      <c r="L465" s="2" t="s">
        <v>2387</v>
      </c>
      <c r="M465" s="2">
        <v>9467</v>
      </c>
      <c r="N465" s="2" t="s">
        <v>1678</v>
      </c>
      <c r="O465" s="2" t="s">
        <v>113</v>
      </c>
      <c r="P465" s="2" t="s">
        <v>71</v>
      </c>
      <c r="Q465" s="2" t="s">
        <v>2388</v>
      </c>
      <c r="R465" s="2">
        <v>725</v>
      </c>
      <c r="S465" s="2">
        <v>4</v>
      </c>
      <c r="T465" s="2" t="s">
        <v>417</v>
      </c>
      <c r="U465" s="2">
        <v>18.2450352</v>
      </c>
      <c r="V465" s="2">
        <v>-66.3706131</v>
      </c>
      <c r="W465" s="2" t="s">
        <v>74</v>
      </c>
      <c r="X465" s="2" t="s">
        <v>2389</v>
      </c>
      <c r="Y465" s="2" t="s">
        <v>76</v>
      </c>
      <c r="Z465" s="2">
        <v>9467</v>
      </c>
      <c r="AA465" s="3">
        <v>42645.392361111109</v>
      </c>
      <c r="AB465" s="2">
        <v>27772</v>
      </c>
      <c r="AC465" s="2">
        <v>365</v>
      </c>
      <c r="AD465" s="2">
        <v>1.8</v>
      </c>
      <c r="AE465" s="2">
        <v>0.01</v>
      </c>
      <c r="AF465" s="2" t="str" cm="1">
        <f t="array" ref="AF465">_xlfn.IFS(AE465=0, "No Discount ", AE465&lt;=0.08,"Low Discount", AE465&lt;=0.16,"Medium Discount", AE465&gt;0.16, "High Discount")</f>
        <v>Low Discount</v>
      </c>
      <c r="AG465" s="2">
        <v>69517</v>
      </c>
      <c r="AH465" s="2">
        <v>59.99</v>
      </c>
      <c r="AI465" s="2">
        <v>0.16</v>
      </c>
      <c r="AJ465" s="2" t="str" cm="1">
        <f t="array" ref="AJ465">_xlfn.IFS(AI465&lt;=0, "No Profit", AI465&lt;=0.16,"Low Profit",AI465&lt;=0.32,"Medium Profit",AI465&gt;0.32,"High Profit")</f>
        <v>Low Profit</v>
      </c>
      <c r="AK465" s="2">
        <v>3</v>
      </c>
      <c r="AL465" s="2">
        <v>179.97</v>
      </c>
      <c r="AM465" s="2">
        <v>178.17</v>
      </c>
      <c r="AN465" s="2">
        <v>28.51</v>
      </c>
      <c r="AO465" s="2" t="s">
        <v>78</v>
      </c>
      <c r="AP465" s="2" t="s">
        <v>2389</v>
      </c>
      <c r="AQ465" s="2" t="s">
        <v>127</v>
      </c>
      <c r="AR465" s="2" t="s">
        <v>81</v>
      </c>
      <c r="AS465" s="2">
        <v>365</v>
      </c>
      <c r="AT465" s="2">
        <v>17</v>
      </c>
      <c r="AU465" s="2" t="s">
        <v>421</v>
      </c>
      <c r="AV465" s="2">
        <v>59.99</v>
      </c>
      <c r="AW465" s="2">
        <v>0</v>
      </c>
      <c r="AX465" s="2" t="s">
        <v>2390</v>
      </c>
      <c r="AY465" s="2" t="s">
        <v>162</v>
      </c>
      <c r="AZ465" s="4">
        <v>42645</v>
      </c>
      <c r="BA465" s="5">
        <v>0.3923611111111111</v>
      </c>
      <c r="BB465" s="2">
        <v>2016</v>
      </c>
      <c r="BC465" s="2" t="s">
        <v>434</v>
      </c>
      <c r="BD465" s="2">
        <v>2</v>
      </c>
      <c r="BE465" s="4">
        <v>42413</v>
      </c>
      <c r="BF465" s="5">
        <v>0.3923611111111111</v>
      </c>
      <c r="BG465" s="2" t="str" cm="1">
        <f t="array" ref="BG465">_xlfn.IFS(BF465&lt;TIMEVALUE("06:00"),"Night", BF465&gt;=TIMEVALUE("21:00"),"Night",BF465&gt;=TIMEVALUE("17:00"),"Evening",BF465&gt;=TIMEVALUE("12:00"),"Afternoon", BF465&gt;=TIMEVALUE("06:00"),"Morning")</f>
        <v>Morning</v>
      </c>
      <c r="BH465" s="2">
        <v>2016</v>
      </c>
      <c r="BI465" s="2" t="s">
        <v>423</v>
      </c>
      <c r="BJ465" s="2">
        <v>13</v>
      </c>
    </row>
    <row r="466" spans="1:62" x14ac:dyDescent="0.3">
      <c r="A466" s="2" t="s">
        <v>121</v>
      </c>
      <c r="B466" s="2">
        <v>3</v>
      </c>
      <c r="C466" s="2">
        <v>2</v>
      </c>
      <c r="D466" s="2">
        <v>12.96</v>
      </c>
      <c r="E466" s="2">
        <v>172.77</v>
      </c>
      <c r="F466" s="2" t="s">
        <v>87</v>
      </c>
      <c r="G466" s="2" t="s">
        <v>88</v>
      </c>
      <c r="H466" s="2">
        <v>17</v>
      </c>
      <c r="I466" s="2" t="s">
        <v>412</v>
      </c>
      <c r="J466" s="2" t="s">
        <v>66</v>
      </c>
      <c r="K466" s="2" t="s">
        <v>67</v>
      </c>
      <c r="L466" s="2" t="s">
        <v>414</v>
      </c>
      <c r="M466" s="2">
        <v>9114</v>
      </c>
      <c r="N466" s="2" t="s">
        <v>425</v>
      </c>
      <c r="O466" s="2" t="s">
        <v>113</v>
      </c>
      <c r="P466" s="2" t="s">
        <v>71</v>
      </c>
      <c r="Q466" s="2" t="s">
        <v>450</v>
      </c>
      <c r="R466" s="2">
        <v>725</v>
      </c>
      <c r="S466" s="2">
        <v>4</v>
      </c>
      <c r="T466" s="2" t="s">
        <v>417</v>
      </c>
      <c r="U466" s="2">
        <v>18.284805299999999</v>
      </c>
      <c r="V466" s="2">
        <v>-66.370590199999995</v>
      </c>
      <c r="W466" s="2" t="s">
        <v>74</v>
      </c>
      <c r="X466" s="2" t="s">
        <v>451</v>
      </c>
      <c r="Y466" s="2" t="s">
        <v>452</v>
      </c>
      <c r="Z466" s="2">
        <v>9114</v>
      </c>
      <c r="AA466" s="2" t="s">
        <v>453</v>
      </c>
      <c r="AB466" s="2">
        <v>47752</v>
      </c>
      <c r="AC466" s="2">
        <v>365</v>
      </c>
      <c r="AD466" s="2">
        <v>7.2</v>
      </c>
      <c r="AE466" s="2">
        <v>0.04</v>
      </c>
      <c r="AF466" s="2" t="str" cm="1">
        <f t="array" ref="AF466">_xlfn.IFS(AE466=0, "No Discount ", AE466&lt;=0.08,"Low Discount", AE466&lt;=0.16,"Medium Discount", AE466&gt;0.16, "High Discount")</f>
        <v>Low Discount</v>
      </c>
      <c r="AG466" s="2">
        <v>119406</v>
      </c>
      <c r="AH466" s="2">
        <v>59.99</v>
      </c>
      <c r="AI466" s="2">
        <v>0.08</v>
      </c>
      <c r="AJ466" s="2" t="str" cm="1">
        <f t="array" ref="AJ466">_xlfn.IFS(AI466&lt;=0, "No Profit", AI466&lt;=0.16,"Low Profit",AI466&lt;=0.32,"Medium Profit",AI466&gt;0.32,"High Profit")</f>
        <v>Low Profit</v>
      </c>
      <c r="AK466" s="2">
        <v>3</v>
      </c>
      <c r="AL466" s="2">
        <v>179.97</v>
      </c>
      <c r="AM466" s="2">
        <v>172.77</v>
      </c>
      <c r="AN466" s="2">
        <v>12.96</v>
      </c>
      <c r="AO466" s="2" t="s">
        <v>145</v>
      </c>
      <c r="AP466" s="2" t="s">
        <v>454</v>
      </c>
      <c r="AQ466" s="2" t="s">
        <v>127</v>
      </c>
      <c r="AR466" s="2" t="s">
        <v>81</v>
      </c>
      <c r="AS466" s="2">
        <v>365</v>
      </c>
      <c r="AT466" s="2">
        <v>17</v>
      </c>
      <c r="AU466" s="2" t="s">
        <v>421</v>
      </c>
      <c r="AV466" s="2">
        <v>59.99</v>
      </c>
      <c r="AW466" s="2">
        <v>0</v>
      </c>
      <c r="AX466" s="3">
        <v>42381.054166666669</v>
      </c>
      <c r="AY466" s="2" t="s">
        <v>162</v>
      </c>
      <c r="AZ466" s="4">
        <v>42702</v>
      </c>
      <c r="BA466" s="5">
        <v>5.4166666666666669E-2</v>
      </c>
      <c r="BB466" s="2">
        <v>2016</v>
      </c>
      <c r="BC466" s="2" t="s">
        <v>455</v>
      </c>
      <c r="BD466" s="2">
        <v>28</v>
      </c>
      <c r="BE466" s="4">
        <v>42381</v>
      </c>
      <c r="BF466" s="5">
        <v>5.4166666666666669E-2</v>
      </c>
      <c r="BG466" s="2" t="str" cm="1">
        <f t="array" ref="BG466">_xlfn.IFS(BF466&lt;TIMEVALUE("06:00"),"Night", BF466&gt;=TIMEVALUE("21:00"),"Night",BF466&gt;=TIMEVALUE("17:00"),"Evening",BF466&gt;=TIMEVALUE("12:00"),"Afternoon", BF466&gt;=TIMEVALUE("06:00"),"Morning")</f>
        <v>Night</v>
      </c>
      <c r="BH466" s="2">
        <v>2016</v>
      </c>
      <c r="BI466" s="2" t="s">
        <v>84</v>
      </c>
      <c r="BJ466" s="2">
        <v>12</v>
      </c>
    </row>
    <row r="467" spans="1:62" x14ac:dyDescent="0.3">
      <c r="A467" s="2" t="s">
        <v>121</v>
      </c>
      <c r="B467" s="2">
        <v>2</v>
      </c>
      <c r="C467" s="2">
        <v>2</v>
      </c>
      <c r="D467" s="2">
        <v>36.229999999999997</v>
      </c>
      <c r="E467" s="2">
        <v>170.07</v>
      </c>
      <c r="F467" s="2" t="s">
        <v>100</v>
      </c>
      <c r="G467" s="2" t="s">
        <v>64</v>
      </c>
      <c r="H467" s="2">
        <v>17</v>
      </c>
      <c r="I467" s="2" t="s">
        <v>412</v>
      </c>
      <c r="J467" s="2" t="s">
        <v>66</v>
      </c>
      <c r="K467" s="2" t="s">
        <v>67</v>
      </c>
      <c r="L467" s="2" t="s">
        <v>414</v>
      </c>
      <c r="M467" s="2">
        <v>2546</v>
      </c>
      <c r="N467" s="2" t="s">
        <v>425</v>
      </c>
      <c r="O467" s="2" t="s">
        <v>113</v>
      </c>
      <c r="P467" s="2" t="s">
        <v>71</v>
      </c>
      <c r="Q467" s="2" t="s">
        <v>2391</v>
      </c>
      <c r="R467" s="2">
        <v>725</v>
      </c>
      <c r="S467" s="2">
        <v>4</v>
      </c>
      <c r="T467" s="2" t="s">
        <v>417</v>
      </c>
      <c r="U467" s="2">
        <v>18.201166199999999</v>
      </c>
      <c r="V467" s="2">
        <v>-66.370513900000006</v>
      </c>
      <c r="W467" s="2" t="s">
        <v>74</v>
      </c>
      <c r="X467" s="2" t="s">
        <v>2392</v>
      </c>
      <c r="Y467" s="2" t="s">
        <v>76</v>
      </c>
      <c r="Z467" s="2">
        <v>2546</v>
      </c>
      <c r="AA467" s="3">
        <v>42373.834027777775</v>
      </c>
      <c r="AB467" s="2">
        <v>31296</v>
      </c>
      <c r="AC467" s="2">
        <v>365</v>
      </c>
      <c r="AD467" s="2">
        <v>9.9</v>
      </c>
      <c r="AE467" s="2">
        <v>0.06</v>
      </c>
      <c r="AF467" s="2" t="str" cm="1">
        <f t="array" ref="AF467">_xlfn.IFS(AE467=0, "No Discount ", AE467&lt;=0.08,"Low Discount", AE467&lt;=0.16,"Medium Discount", AE467&gt;0.16, "High Discount")</f>
        <v>Low Discount</v>
      </c>
      <c r="AG467" s="2">
        <v>78230</v>
      </c>
      <c r="AH467" s="2">
        <v>59.99</v>
      </c>
      <c r="AI467" s="2">
        <v>0.21</v>
      </c>
      <c r="AJ467" s="2" t="str" cm="1">
        <f t="array" ref="AJ467">_xlfn.IFS(AI467&lt;=0, "No Profit", AI467&lt;=0.16,"Low Profit",AI467&lt;=0.32,"Medium Profit",AI467&gt;0.32,"High Profit")</f>
        <v>Medium Profit</v>
      </c>
      <c r="AK467" s="2">
        <v>3</v>
      </c>
      <c r="AL467" s="2">
        <v>179.97</v>
      </c>
      <c r="AM467" s="2">
        <v>170.07</v>
      </c>
      <c r="AN467" s="2">
        <v>36.229999999999997</v>
      </c>
      <c r="AO467" s="2" t="s">
        <v>78</v>
      </c>
      <c r="AP467" s="2" t="s">
        <v>79</v>
      </c>
      <c r="AQ467" s="2" t="s">
        <v>127</v>
      </c>
      <c r="AR467" s="2" t="s">
        <v>81</v>
      </c>
      <c r="AS467" s="2">
        <v>365</v>
      </c>
      <c r="AT467" s="2">
        <v>17</v>
      </c>
      <c r="AU467" s="2" t="s">
        <v>421</v>
      </c>
      <c r="AV467" s="2">
        <v>59.99</v>
      </c>
      <c r="AW467" s="2">
        <v>0</v>
      </c>
      <c r="AX467" s="3">
        <v>42433.834027777775</v>
      </c>
      <c r="AY467" s="2" t="s">
        <v>162</v>
      </c>
      <c r="AZ467" s="4">
        <v>42373</v>
      </c>
      <c r="BA467" s="5">
        <v>0.83402777777777781</v>
      </c>
      <c r="BB467" s="2">
        <v>2016</v>
      </c>
      <c r="BC467" s="2" t="s">
        <v>84</v>
      </c>
      <c r="BD467" s="2">
        <v>4</v>
      </c>
      <c r="BE467" s="4">
        <v>42433</v>
      </c>
      <c r="BF467" s="5">
        <v>0.83402777777777781</v>
      </c>
      <c r="BG467" s="2" t="str" cm="1">
        <f t="array" ref="BG467">_xlfn.IFS(BF467&lt;TIMEVALUE("06:00"),"Night", BF467&gt;=TIMEVALUE("21:00"),"Night",BF467&gt;=TIMEVALUE("17:00"),"Evening",BF467&gt;=TIMEVALUE("12:00"),"Afternoon", BF467&gt;=TIMEVALUE("06:00"),"Morning")</f>
        <v>Evening</v>
      </c>
      <c r="BH467" s="2">
        <v>2016</v>
      </c>
      <c r="BI467" s="2" t="s">
        <v>85</v>
      </c>
      <c r="BJ467" s="2">
        <v>4</v>
      </c>
    </row>
    <row r="468" spans="1:62" x14ac:dyDescent="0.3">
      <c r="A468" s="2" t="s">
        <v>121</v>
      </c>
      <c r="B468" s="2">
        <v>2</v>
      </c>
      <c r="C468" s="2">
        <v>2</v>
      </c>
      <c r="D468" s="2">
        <v>6.22</v>
      </c>
      <c r="E468" s="2">
        <v>163.77000000000001</v>
      </c>
      <c r="F468" s="2" t="s">
        <v>100</v>
      </c>
      <c r="G468" s="2" t="s">
        <v>64</v>
      </c>
      <c r="H468" s="2">
        <v>17</v>
      </c>
      <c r="I468" s="2" t="s">
        <v>412</v>
      </c>
      <c r="J468" s="2" t="s">
        <v>66</v>
      </c>
      <c r="K468" s="2" t="s">
        <v>67</v>
      </c>
      <c r="L468" s="2" t="s">
        <v>1652</v>
      </c>
      <c r="M468" s="2">
        <v>2240</v>
      </c>
      <c r="N468" s="2" t="s">
        <v>2393</v>
      </c>
      <c r="O468" s="2" t="s">
        <v>113</v>
      </c>
      <c r="P468" s="2" t="s">
        <v>71</v>
      </c>
      <c r="Q468" s="2" t="s">
        <v>981</v>
      </c>
      <c r="R468" s="2">
        <v>725</v>
      </c>
      <c r="S468" s="2">
        <v>4</v>
      </c>
      <c r="T468" s="2" t="s">
        <v>417</v>
      </c>
      <c r="U468" s="2">
        <v>18.281770699999999</v>
      </c>
      <c r="V468" s="2">
        <v>-66.370536799999996</v>
      </c>
      <c r="W468" s="2" t="s">
        <v>74</v>
      </c>
      <c r="X468" s="2" t="s">
        <v>1405</v>
      </c>
      <c r="Y468" s="2" t="s">
        <v>143</v>
      </c>
      <c r="Z468" s="2">
        <v>2240</v>
      </c>
      <c r="AA468" s="2" t="s">
        <v>2394</v>
      </c>
      <c r="AB468" s="2">
        <v>22076</v>
      </c>
      <c r="AC468" s="2">
        <v>365</v>
      </c>
      <c r="AD468" s="2">
        <v>16.2</v>
      </c>
      <c r="AE468" s="2">
        <v>0.09</v>
      </c>
      <c r="AF468" s="2" t="str" cm="1">
        <f t="array" ref="AF468">_xlfn.IFS(AE468=0, "No Discount ", AE468&lt;=0.08,"Low Discount", AE468&lt;=0.16,"Medium Discount", AE468&gt;0.16, "High Discount")</f>
        <v>Medium Discount</v>
      </c>
      <c r="AG468" s="2">
        <v>55227</v>
      </c>
      <c r="AH468" s="2">
        <v>59.99</v>
      </c>
      <c r="AI468" s="2">
        <v>0.04</v>
      </c>
      <c r="AJ468" s="2" t="str" cm="1">
        <f t="array" ref="AJ468">_xlfn.IFS(AI468&lt;=0, "No Profit", AI468&lt;=0.16,"Low Profit",AI468&lt;=0.32,"Medium Profit",AI468&gt;0.32,"High Profit")</f>
        <v>Low Profit</v>
      </c>
      <c r="AK468" s="2">
        <v>3</v>
      </c>
      <c r="AL468" s="2">
        <v>179.97</v>
      </c>
      <c r="AM468" s="2">
        <v>163.77000000000001</v>
      </c>
      <c r="AN468" s="2">
        <v>6.22</v>
      </c>
      <c r="AO468" s="2" t="s">
        <v>145</v>
      </c>
      <c r="AP468" s="2" t="s">
        <v>146</v>
      </c>
      <c r="AQ468" s="2" t="s">
        <v>127</v>
      </c>
      <c r="AR468" s="2" t="s">
        <v>81</v>
      </c>
      <c r="AS468" s="2">
        <v>365</v>
      </c>
      <c r="AT468" s="2">
        <v>17</v>
      </c>
      <c r="AU468" s="2" t="s">
        <v>421</v>
      </c>
      <c r="AV468" s="2">
        <v>59.99</v>
      </c>
      <c r="AW468" s="2">
        <v>0</v>
      </c>
      <c r="AX468" s="2" t="s">
        <v>2395</v>
      </c>
      <c r="AY468" s="2" t="s">
        <v>162</v>
      </c>
      <c r="AZ468" s="4">
        <v>42327</v>
      </c>
      <c r="BA468" s="5">
        <v>0.24374999999999999</v>
      </c>
      <c r="BB468" s="2">
        <v>2015</v>
      </c>
      <c r="BC468" s="2" t="s">
        <v>455</v>
      </c>
      <c r="BD468" s="2">
        <v>19</v>
      </c>
      <c r="BE468" s="4">
        <v>42329</v>
      </c>
      <c r="BF468" s="5">
        <v>0.24374999999999999</v>
      </c>
      <c r="BG468" s="2" t="str" cm="1">
        <f t="array" ref="BG468">_xlfn.IFS(BF468&lt;TIMEVALUE("06:00"),"Night", BF468&gt;=TIMEVALUE("21:00"),"Night",BF468&gt;=TIMEVALUE("17:00"),"Evening",BF468&gt;=TIMEVALUE("12:00"),"Afternoon", BF468&gt;=TIMEVALUE("06:00"),"Morning")</f>
        <v>Night</v>
      </c>
      <c r="BH468" s="2">
        <v>2015</v>
      </c>
      <c r="BI468" s="2" t="s">
        <v>455</v>
      </c>
      <c r="BJ468" s="2">
        <v>21</v>
      </c>
    </row>
    <row r="469" spans="1:62" x14ac:dyDescent="0.3">
      <c r="A469" s="2" t="s">
        <v>121</v>
      </c>
      <c r="B469" s="2">
        <v>6</v>
      </c>
      <c r="C469" s="2">
        <v>2</v>
      </c>
      <c r="D469" s="2">
        <v>-102.03</v>
      </c>
      <c r="E469" s="2">
        <v>152.97</v>
      </c>
      <c r="F469" s="2" t="s">
        <v>87</v>
      </c>
      <c r="G469" s="2" t="s">
        <v>88</v>
      </c>
      <c r="H469" s="2">
        <v>17</v>
      </c>
      <c r="I469" s="2" t="s">
        <v>412</v>
      </c>
      <c r="J469" s="2" t="s">
        <v>66</v>
      </c>
      <c r="K469" s="2" t="s">
        <v>67</v>
      </c>
      <c r="L469" s="2" t="s">
        <v>414</v>
      </c>
      <c r="M469" s="2">
        <v>11650</v>
      </c>
      <c r="N469" s="2" t="s">
        <v>425</v>
      </c>
      <c r="O469" s="2" t="s">
        <v>113</v>
      </c>
      <c r="P469" s="2" t="s">
        <v>71</v>
      </c>
      <c r="Q469" s="2" t="s">
        <v>2396</v>
      </c>
      <c r="R469" s="2">
        <v>725</v>
      </c>
      <c r="S469" s="2">
        <v>4</v>
      </c>
      <c r="T469" s="2" t="s">
        <v>417</v>
      </c>
      <c r="U469" s="2">
        <v>18.222024900000001</v>
      </c>
      <c r="V469" s="2">
        <v>-66.370559700000001</v>
      </c>
      <c r="W469" s="2" t="s">
        <v>74</v>
      </c>
      <c r="X469" s="2" t="s">
        <v>267</v>
      </c>
      <c r="Y469" s="2" t="s">
        <v>116</v>
      </c>
      <c r="Z469" s="2">
        <v>11650</v>
      </c>
      <c r="AA469" s="3">
        <v>42644.634722222225</v>
      </c>
      <c r="AB469" s="2">
        <v>25665</v>
      </c>
      <c r="AC469" s="2">
        <v>365</v>
      </c>
      <c r="AD469" s="2">
        <v>27</v>
      </c>
      <c r="AE469" s="2">
        <v>0.15</v>
      </c>
      <c r="AF469" s="2" t="str" cm="1">
        <f t="array" ref="AF469">_xlfn.IFS(AE469=0, "No Discount ", AE469&lt;=0.08,"Low Discount", AE469&lt;=0.16,"Medium Discount", AE469&gt;0.16, "High Discount")</f>
        <v>Medium Discount</v>
      </c>
      <c r="AG469" s="2">
        <v>64279</v>
      </c>
      <c r="AH469" s="2">
        <v>59.99</v>
      </c>
      <c r="AI469" s="2">
        <v>-0.67</v>
      </c>
      <c r="AJ469" s="2" t="str" cm="1">
        <f t="array" ref="AJ469">_xlfn.IFS(AI469&lt;=0, "No Profit", AI469&lt;=0.16,"Low Profit",AI469&lt;=0.32,"Medium Profit",AI469&gt;0.32,"High Profit")</f>
        <v>No Profit</v>
      </c>
      <c r="AK469" s="2">
        <v>3</v>
      </c>
      <c r="AL469" s="2">
        <v>179.97</v>
      </c>
      <c r="AM469" s="2">
        <v>152.97</v>
      </c>
      <c r="AN469" s="2">
        <v>-102.03</v>
      </c>
      <c r="AO469" s="2" t="s">
        <v>118</v>
      </c>
      <c r="AP469" s="2" t="s">
        <v>119</v>
      </c>
      <c r="AQ469" s="2" t="s">
        <v>127</v>
      </c>
      <c r="AR469" s="2" t="s">
        <v>81</v>
      </c>
      <c r="AS469" s="2">
        <v>365</v>
      </c>
      <c r="AT469" s="2">
        <v>17</v>
      </c>
      <c r="AU469" s="2" t="s">
        <v>421</v>
      </c>
      <c r="AV469" s="2">
        <v>59.99</v>
      </c>
      <c r="AW469" s="2">
        <v>0</v>
      </c>
      <c r="AX469" s="2" t="s">
        <v>2397</v>
      </c>
      <c r="AY469" s="2" t="s">
        <v>162</v>
      </c>
      <c r="AZ469" s="4">
        <v>42644</v>
      </c>
      <c r="BA469" s="5">
        <v>0.63472222222222219</v>
      </c>
      <c r="BB469" s="2">
        <v>2016</v>
      </c>
      <c r="BC469" s="2" t="s">
        <v>434</v>
      </c>
      <c r="BD469" s="2">
        <v>1</v>
      </c>
      <c r="BE469" s="4">
        <v>42385</v>
      </c>
      <c r="BF469" s="5">
        <v>0.63472222222222219</v>
      </c>
      <c r="BG469" s="2" t="str" cm="1">
        <f t="array" ref="BG469">_xlfn.IFS(BF469&lt;TIMEVALUE("06:00"),"Night", BF469&gt;=TIMEVALUE("21:00"),"Night",BF469&gt;=TIMEVALUE("17:00"),"Evening",BF469&gt;=TIMEVALUE("12:00"),"Afternoon", BF469&gt;=TIMEVALUE("06:00"),"Morning")</f>
        <v>Afternoon</v>
      </c>
      <c r="BH469" s="2">
        <v>2016</v>
      </c>
      <c r="BI469" s="2" t="s">
        <v>84</v>
      </c>
      <c r="BJ469" s="2">
        <v>16</v>
      </c>
    </row>
    <row r="470" spans="1:62" x14ac:dyDescent="0.3">
      <c r="A470" s="2" t="s">
        <v>121</v>
      </c>
      <c r="B470" s="2">
        <v>2</v>
      </c>
      <c r="C470" s="2">
        <v>2</v>
      </c>
      <c r="D470" s="2">
        <v>64.5</v>
      </c>
      <c r="E470" s="2">
        <v>150</v>
      </c>
      <c r="F470" s="2" t="s">
        <v>100</v>
      </c>
      <c r="G470" s="2" t="s">
        <v>64</v>
      </c>
      <c r="H470" s="2">
        <v>24</v>
      </c>
      <c r="I470" s="2" t="s">
        <v>435</v>
      </c>
      <c r="J470" s="2" t="s">
        <v>66</v>
      </c>
      <c r="K470" s="2" t="s">
        <v>67</v>
      </c>
      <c r="L470" s="2" t="s">
        <v>414</v>
      </c>
      <c r="M470" s="2">
        <v>2546</v>
      </c>
      <c r="N470" s="2" t="s">
        <v>425</v>
      </c>
      <c r="O470" s="2" t="s">
        <v>113</v>
      </c>
      <c r="P470" s="2" t="s">
        <v>71</v>
      </c>
      <c r="Q470" s="2" t="s">
        <v>2391</v>
      </c>
      <c r="R470" s="2">
        <v>725</v>
      </c>
      <c r="S470" s="2">
        <v>5</v>
      </c>
      <c r="T470" s="2" t="s">
        <v>427</v>
      </c>
      <c r="U470" s="2">
        <v>18.201166199999999</v>
      </c>
      <c r="V470" s="2">
        <v>-66.370513900000006</v>
      </c>
      <c r="W470" s="2" t="s">
        <v>74</v>
      </c>
      <c r="X470" s="2" t="s">
        <v>2392</v>
      </c>
      <c r="Y470" s="2" t="s">
        <v>76</v>
      </c>
      <c r="Z470" s="2">
        <v>2546</v>
      </c>
      <c r="AA470" s="3">
        <v>42373.834027777775</v>
      </c>
      <c r="AB470" s="2">
        <v>31296</v>
      </c>
      <c r="AC470" s="2">
        <v>502</v>
      </c>
      <c r="AD470" s="2">
        <v>0</v>
      </c>
      <c r="AE470" s="2">
        <v>0</v>
      </c>
      <c r="AF470" s="2" t="str" cm="1">
        <f t="array" ref="AF470">_xlfn.IFS(AE470=0, "No Discount ", AE470&lt;=0.08,"Low Discount", AE470&lt;=0.16,"Medium Discount", AE470&gt;0.16, "High Discount")</f>
        <v xml:space="preserve">No Discount </v>
      </c>
      <c r="AG470" s="2">
        <v>78229</v>
      </c>
      <c r="AH470" s="2">
        <v>50</v>
      </c>
      <c r="AI470" s="2">
        <v>0.43</v>
      </c>
      <c r="AJ470" s="2" t="str" cm="1">
        <f t="array" ref="AJ470">_xlfn.IFS(AI470&lt;=0, "No Profit", AI470&lt;=0.16,"Low Profit",AI470&lt;=0.32,"Medium Profit",AI470&gt;0.32,"High Profit")</f>
        <v>High Profit</v>
      </c>
      <c r="AK470" s="2">
        <v>3</v>
      </c>
      <c r="AL470" s="2">
        <v>150</v>
      </c>
      <c r="AM470" s="2">
        <v>150</v>
      </c>
      <c r="AN470" s="2">
        <v>64.5</v>
      </c>
      <c r="AO470" s="2" t="s">
        <v>78</v>
      </c>
      <c r="AP470" s="2" t="s">
        <v>79</v>
      </c>
      <c r="AQ470" s="2" t="s">
        <v>127</v>
      </c>
      <c r="AR470" s="2" t="s">
        <v>81</v>
      </c>
      <c r="AS470" s="2">
        <v>502</v>
      </c>
      <c r="AT470" s="2">
        <v>24</v>
      </c>
      <c r="AU470" s="2" t="s">
        <v>442</v>
      </c>
      <c r="AV470" s="2">
        <v>50</v>
      </c>
      <c r="AW470" s="2">
        <v>0</v>
      </c>
      <c r="AX470" s="3">
        <v>42433.834027777775</v>
      </c>
      <c r="AY470" s="2" t="s">
        <v>162</v>
      </c>
      <c r="AZ470" s="4">
        <v>42373</v>
      </c>
      <c r="BA470" s="5">
        <v>0.83402777777777781</v>
      </c>
      <c r="BB470" s="2">
        <v>2016</v>
      </c>
      <c r="BC470" s="2" t="s">
        <v>84</v>
      </c>
      <c r="BD470" s="2">
        <v>4</v>
      </c>
      <c r="BE470" s="4">
        <v>42433</v>
      </c>
      <c r="BF470" s="5">
        <v>0.83402777777777781</v>
      </c>
      <c r="BG470" s="2" t="str" cm="1">
        <f t="array" ref="BG470">_xlfn.IFS(BF470&lt;TIMEVALUE("06:00"),"Night", BF470&gt;=TIMEVALUE("21:00"),"Night",BF470&gt;=TIMEVALUE("17:00"),"Evening",BF470&gt;=TIMEVALUE("12:00"),"Afternoon", BF470&gt;=TIMEVALUE("06:00"),"Morning")</f>
        <v>Evening</v>
      </c>
      <c r="BH470" s="2">
        <v>2016</v>
      </c>
      <c r="BI470" s="2" t="s">
        <v>85</v>
      </c>
      <c r="BJ470" s="2">
        <v>4</v>
      </c>
    </row>
    <row r="471" spans="1:62" x14ac:dyDescent="0.3">
      <c r="A471" s="2" t="s">
        <v>121</v>
      </c>
      <c r="B471" s="2">
        <v>5</v>
      </c>
      <c r="C471" s="2">
        <v>2</v>
      </c>
      <c r="D471" s="2">
        <v>44.15</v>
      </c>
      <c r="E471" s="2">
        <v>95.98</v>
      </c>
      <c r="F471" s="2" t="s">
        <v>87</v>
      </c>
      <c r="G471" s="2" t="s">
        <v>88</v>
      </c>
      <c r="H471" s="2">
        <v>29</v>
      </c>
      <c r="I471" s="2" t="s">
        <v>424</v>
      </c>
      <c r="J471" s="2" t="s">
        <v>66</v>
      </c>
      <c r="K471" s="2" t="s">
        <v>67</v>
      </c>
      <c r="L471" s="2" t="s">
        <v>845</v>
      </c>
      <c r="M471" s="2">
        <v>10368</v>
      </c>
      <c r="N471" s="2" t="s">
        <v>2218</v>
      </c>
      <c r="O471" s="2" t="s">
        <v>113</v>
      </c>
      <c r="P471" s="2" t="s">
        <v>71</v>
      </c>
      <c r="Q471" s="2" t="s">
        <v>2398</v>
      </c>
      <c r="R471" s="2">
        <v>725</v>
      </c>
      <c r="S471" s="2">
        <v>5</v>
      </c>
      <c r="T471" s="2" t="s">
        <v>427</v>
      </c>
      <c r="U471" s="2">
        <v>18.218719499999999</v>
      </c>
      <c r="V471" s="2">
        <v>-66.3705444</v>
      </c>
      <c r="W471" s="2" t="s">
        <v>74</v>
      </c>
      <c r="X471" s="2" t="s">
        <v>2010</v>
      </c>
      <c r="Y471" s="2" t="s">
        <v>116</v>
      </c>
      <c r="Z471" s="2">
        <v>10368</v>
      </c>
      <c r="AA471" s="2" t="s">
        <v>2399</v>
      </c>
      <c r="AB471" s="2">
        <v>22819</v>
      </c>
      <c r="AC471" s="2">
        <v>627</v>
      </c>
      <c r="AD471" s="2">
        <v>23.99</v>
      </c>
      <c r="AE471" s="2">
        <v>0.2</v>
      </c>
      <c r="AF471" s="2" t="str" cm="1">
        <f t="array" ref="AF471">_xlfn.IFS(AE471=0, "No Discount ", AE471&lt;=0.08,"Low Discount", AE471&lt;=0.16,"Medium Discount", AE471&gt;0.16, "High Discount")</f>
        <v>High Discount</v>
      </c>
      <c r="AG471" s="2">
        <v>57115</v>
      </c>
      <c r="AH471" s="2">
        <v>39.99</v>
      </c>
      <c r="AI471" s="2">
        <v>0.46</v>
      </c>
      <c r="AJ471" s="2" t="str" cm="1">
        <f t="array" ref="AJ471">_xlfn.IFS(AI471&lt;=0, "No Profit", AI471&lt;=0.16,"Low Profit",AI471&lt;=0.32,"Medium Profit",AI471&gt;0.32,"High Profit")</f>
        <v>High Profit</v>
      </c>
      <c r="AK471" s="2">
        <v>3</v>
      </c>
      <c r="AL471" s="2">
        <v>119.97</v>
      </c>
      <c r="AM471" s="2">
        <v>95.98</v>
      </c>
      <c r="AN471" s="2">
        <v>44.15</v>
      </c>
      <c r="AO471" s="2" t="s">
        <v>118</v>
      </c>
      <c r="AP471" s="2" t="s">
        <v>355</v>
      </c>
      <c r="AQ471" s="2" t="s">
        <v>127</v>
      </c>
      <c r="AR471" s="2" t="s">
        <v>81</v>
      </c>
      <c r="AS471" s="2">
        <v>627</v>
      </c>
      <c r="AT471" s="2">
        <v>29</v>
      </c>
      <c r="AU471" s="2" t="s">
        <v>432</v>
      </c>
      <c r="AV471" s="2">
        <v>39.99</v>
      </c>
      <c r="AW471" s="2">
        <v>0</v>
      </c>
      <c r="AX471" s="3">
        <v>42136.089583333334</v>
      </c>
      <c r="AY471" s="2" t="s">
        <v>162</v>
      </c>
      <c r="AZ471" s="4">
        <v>42338</v>
      </c>
      <c r="BA471" s="5">
        <v>8.9583333333333334E-2</v>
      </c>
      <c r="BB471" s="2">
        <v>2015</v>
      </c>
      <c r="BC471" s="2" t="s">
        <v>455</v>
      </c>
      <c r="BD471" s="2">
        <v>30</v>
      </c>
      <c r="BE471" s="4">
        <v>42136</v>
      </c>
      <c r="BF471" s="5">
        <v>8.9583333333333334E-2</v>
      </c>
      <c r="BG471" s="2" t="str" cm="1">
        <f t="array" ref="BG471">_xlfn.IFS(BF471&lt;TIMEVALUE("06:00"),"Night", BF471&gt;=TIMEVALUE("21:00"),"Night",BF471&gt;=TIMEVALUE("17:00"),"Evening",BF471&gt;=TIMEVALUE("12:00"),"Afternoon", BF471&gt;=TIMEVALUE("06:00"),"Morning")</f>
        <v>Night</v>
      </c>
      <c r="BH471" s="2">
        <v>2015</v>
      </c>
      <c r="BI471" s="2" t="s">
        <v>443</v>
      </c>
      <c r="BJ471" s="2">
        <v>12</v>
      </c>
    </row>
    <row r="472" spans="1:62" x14ac:dyDescent="0.3">
      <c r="A472" s="2" t="s">
        <v>121</v>
      </c>
      <c r="B472" s="2">
        <v>5</v>
      </c>
      <c r="C472" s="2">
        <v>2</v>
      </c>
      <c r="D472" s="2">
        <v>-4.1100000000000003</v>
      </c>
      <c r="E472" s="2">
        <v>65.31</v>
      </c>
      <c r="F472" s="2" t="s">
        <v>87</v>
      </c>
      <c r="G472" s="2" t="s">
        <v>88</v>
      </c>
      <c r="H472" s="2">
        <v>41</v>
      </c>
      <c r="I472" s="2" t="s">
        <v>512</v>
      </c>
      <c r="J472" s="2" t="s">
        <v>66</v>
      </c>
      <c r="K472" s="2" t="s">
        <v>67</v>
      </c>
      <c r="L472" s="2" t="s">
        <v>777</v>
      </c>
      <c r="M472" s="2">
        <v>6489</v>
      </c>
      <c r="N472" s="2" t="s">
        <v>2400</v>
      </c>
      <c r="O472" s="2" t="s">
        <v>113</v>
      </c>
      <c r="P472" s="2" t="s">
        <v>71</v>
      </c>
      <c r="Q472" s="2" t="s">
        <v>2401</v>
      </c>
      <c r="R472" s="2">
        <v>725</v>
      </c>
      <c r="S472" s="2">
        <v>6</v>
      </c>
      <c r="T472" s="2" t="s">
        <v>515</v>
      </c>
      <c r="U472" s="2">
        <v>18.255184199999999</v>
      </c>
      <c r="V472" s="2">
        <v>-66.3706131</v>
      </c>
      <c r="W472" s="2" t="s">
        <v>74</v>
      </c>
      <c r="X472" s="2" t="s">
        <v>1316</v>
      </c>
      <c r="Y472" s="2" t="s">
        <v>116</v>
      </c>
      <c r="Z472" s="2">
        <v>6489</v>
      </c>
      <c r="AA472" s="2" t="s">
        <v>2402</v>
      </c>
      <c r="AB472" s="2">
        <v>27099</v>
      </c>
      <c r="AC472" s="2">
        <v>917</v>
      </c>
      <c r="AD472" s="2">
        <v>0.66</v>
      </c>
      <c r="AE472" s="2">
        <v>0.01</v>
      </c>
      <c r="AF472" s="2" t="str" cm="1">
        <f t="array" ref="AF472">_xlfn.IFS(AE472=0, "No Discount ", AE472&lt;=0.08,"Low Discount", AE472&lt;=0.16,"Medium Discount", AE472&gt;0.16, "High Discount")</f>
        <v>Low Discount</v>
      </c>
      <c r="AG472" s="2">
        <v>67904</v>
      </c>
      <c r="AH472" s="2">
        <v>21.99</v>
      </c>
      <c r="AI472" s="2">
        <v>-0.06</v>
      </c>
      <c r="AJ472" s="2" t="str" cm="1">
        <f t="array" ref="AJ472">_xlfn.IFS(AI472&lt;=0, "No Profit", AI472&lt;=0.16,"Low Profit",AI472&lt;=0.32,"Medium Profit",AI472&gt;0.32,"High Profit")</f>
        <v>No Profit</v>
      </c>
      <c r="AK472" s="2">
        <v>3</v>
      </c>
      <c r="AL472" s="2">
        <v>65.97</v>
      </c>
      <c r="AM472" s="2">
        <v>65.31</v>
      </c>
      <c r="AN472" s="2">
        <v>-4.1100000000000003</v>
      </c>
      <c r="AO472" s="2" t="s">
        <v>118</v>
      </c>
      <c r="AP472" s="2" t="s">
        <v>355</v>
      </c>
      <c r="AQ472" s="2" t="s">
        <v>127</v>
      </c>
      <c r="AR472" s="2" t="s">
        <v>81</v>
      </c>
      <c r="AS472" s="2">
        <v>917</v>
      </c>
      <c r="AT472" s="2">
        <v>41</v>
      </c>
      <c r="AU472" s="2" t="s">
        <v>518</v>
      </c>
      <c r="AV472" s="2">
        <v>21.99</v>
      </c>
      <c r="AW472" s="2">
        <v>0</v>
      </c>
      <c r="AX472" s="3">
        <v>42492.568055555559</v>
      </c>
      <c r="AY472" s="2" t="s">
        <v>162</v>
      </c>
      <c r="AZ472" s="4">
        <v>42400</v>
      </c>
      <c r="BA472" s="5">
        <v>0.56805555555555554</v>
      </c>
      <c r="BB472" s="2">
        <v>2016</v>
      </c>
      <c r="BC472" s="2" t="s">
        <v>84</v>
      </c>
      <c r="BD472" s="2">
        <v>31</v>
      </c>
      <c r="BE472" s="4">
        <v>42492</v>
      </c>
      <c r="BF472" s="5">
        <v>0.56805555555555554</v>
      </c>
      <c r="BG472" s="2" t="str" cm="1">
        <f t="array" ref="BG472">_xlfn.IFS(BF472&lt;TIMEVALUE("06:00"),"Night", BF472&gt;=TIMEVALUE("21:00"),"Night",BF472&gt;=TIMEVALUE("17:00"),"Evening",BF472&gt;=TIMEVALUE("12:00"),"Afternoon", BF472&gt;=TIMEVALUE("06:00"),"Morning")</f>
        <v>Afternoon</v>
      </c>
      <c r="BH472" s="2">
        <v>2016</v>
      </c>
      <c r="BI472" s="2" t="s">
        <v>443</v>
      </c>
      <c r="BJ472" s="2">
        <v>2</v>
      </c>
    </row>
    <row r="473" spans="1:62" x14ac:dyDescent="0.3">
      <c r="A473" s="2" t="s">
        <v>121</v>
      </c>
      <c r="B473" s="2">
        <v>3</v>
      </c>
      <c r="C473" s="2">
        <v>2</v>
      </c>
      <c r="D473" s="2">
        <v>-57.56</v>
      </c>
      <c r="E473" s="2">
        <v>35.979999999999997</v>
      </c>
      <c r="F473" s="2" t="s">
        <v>87</v>
      </c>
      <c r="G473" s="2" t="s">
        <v>88</v>
      </c>
      <c r="H473" s="2">
        <v>41</v>
      </c>
      <c r="I473" s="2" t="s">
        <v>512</v>
      </c>
      <c r="J473" s="2" t="s">
        <v>66</v>
      </c>
      <c r="K473" s="2" t="s">
        <v>67</v>
      </c>
      <c r="L473" s="2" t="s">
        <v>553</v>
      </c>
      <c r="M473" s="2">
        <v>10533</v>
      </c>
      <c r="N473" s="2" t="s">
        <v>425</v>
      </c>
      <c r="O473" s="2" t="s">
        <v>113</v>
      </c>
      <c r="P473" s="2" t="s">
        <v>71</v>
      </c>
      <c r="Q473" s="2" t="s">
        <v>2403</v>
      </c>
      <c r="R473" s="2">
        <v>725</v>
      </c>
      <c r="S473" s="2">
        <v>6</v>
      </c>
      <c r="T473" s="2" t="s">
        <v>515</v>
      </c>
      <c r="U473" s="2">
        <v>18.291248299999999</v>
      </c>
      <c r="V473" s="2">
        <v>-66.370567300000005</v>
      </c>
      <c r="W473" s="2" t="s">
        <v>74</v>
      </c>
      <c r="X473" s="2" t="s">
        <v>2404</v>
      </c>
      <c r="Y473" s="2" t="s">
        <v>93</v>
      </c>
      <c r="Z473" s="2">
        <v>10533</v>
      </c>
      <c r="AA473" s="2" t="s">
        <v>2405</v>
      </c>
      <c r="AB473" s="2">
        <v>28292</v>
      </c>
      <c r="AC473" s="2">
        <v>924</v>
      </c>
      <c r="AD473" s="2">
        <v>11.99</v>
      </c>
      <c r="AE473" s="2">
        <v>0.25</v>
      </c>
      <c r="AF473" s="2" t="str" cm="1">
        <f t="array" ref="AF473">_xlfn.IFS(AE473=0, "No Discount ", AE473&lt;=0.08,"Low Discount", AE473&lt;=0.16,"Medium Discount", AE473&gt;0.16, "High Discount")</f>
        <v>High Discount</v>
      </c>
      <c r="AG473" s="2">
        <v>70772</v>
      </c>
      <c r="AH473" s="2">
        <v>15.99</v>
      </c>
      <c r="AI473" s="2">
        <v>-1.6</v>
      </c>
      <c r="AJ473" s="2" t="str" cm="1">
        <f t="array" ref="AJ473">_xlfn.IFS(AI473&lt;=0, "No Profit", AI473&lt;=0.16,"Low Profit",AI473&lt;=0.32,"Medium Profit",AI473&gt;0.32,"High Profit")</f>
        <v>No Profit</v>
      </c>
      <c r="AK473" s="2">
        <v>3</v>
      </c>
      <c r="AL473" s="2">
        <v>47.97</v>
      </c>
      <c r="AM473" s="2">
        <v>35.979999999999997</v>
      </c>
      <c r="AN473" s="2">
        <v>-57.56</v>
      </c>
      <c r="AO473" s="2" t="s">
        <v>95</v>
      </c>
      <c r="AP473" s="2" t="s">
        <v>2406</v>
      </c>
      <c r="AQ473" s="2" t="s">
        <v>127</v>
      </c>
      <c r="AR473" s="2" t="s">
        <v>81</v>
      </c>
      <c r="AS473" s="2">
        <v>924</v>
      </c>
      <c r="AT473" s="2">
        <v>41</v>
      </c>
      <c r="AU473" s="2" t="s">
        <v>1166</v>
      </c>
      <c r="AV473" s="2">
        <v>15.99</v>
      </c>
      <c r="AW473" s="2">
        <v>0</v>
      </c>
      <c r="AX473" s="2" t="s">
        <v>2407</v>
      </c>
      <c r="AY473" s="2" t="s">
        <v>162</v>
      </c>
      <c r="AZ473" s="4">
        <v>42417</v>
      </c>
      <c r="BA473" s="5">
        <v>0.98263888888888884</v>
      </c>
      <c r="BB473" s="2">
        <v>2016</v>
      </c>
      <c r="BC473" s="2" t="s">
        <v>423</v>
      </c>
      <c r="BD473" s="2">
        <v>17</v>
      </c>
      <c r="BE473" s="4">
        <v>42420</v>
      </c>
      <c r="BF473" s="5">
        <v>0.98263888888888884</v>
      </c>
      <c r="BG473" s="2" t="str" cm="1">
        <f t="array" ref="BG473">_xlfn.IFS(BF473&lt;TIMEVALUE("06:00"),"Night", BF473&gt;=TIMEVALUE("21:00"),"Night",BF473&gt;=TIMEVALUE("17:00"),"Evening",BF473&gt;=TIMEVALUE("12:00"),"Afternoon", BF473&gt;=TIMEVALUE("06:00"),"Morning")</f>
        <v>Night</v>
      </c>
      <c r="BH473" s="2">
        <v>2016</v>
      </c>
      <c r="BI473" s="2" t="s">
        <v>423</v>
      </c>
      <c r="BJ473" s="2">
        <v>20</v>
      </c>
    </row>
    <row r="474" spans="1:62" x14ac:dyDescent="0.3">
      <c r="A474" s="2" t="s">
        <v>121</v>
      </c>
      <c r="B474" s="2">
        <v>5</v>
      </c>
      <c r="C474" s="2">
        <v>2</v>
      </c>
      <c r="D474" s="2">
        <v>28.18</v>
      </c>
      <c r="E474" s="2">
        <v>156.57</v>
      </c>
      <c r="F474" s="2" t="s">
        <v>87</v>
      </c>
      <c r="G474" s="2" t="s">
        <v>88</v>
      </c>
      <c r="H474" s="2">
        <v>17</v>
      </c>
      <c r="I474" s="2" t="s">
        <v>412</v>
      </c>
      <c r="J474" s="2" t="s">
        <v>66</v>
      </c>
      <c r="K474" s="2" t="s">
        <v>67</v>
      </c>
      <c r="L474" s="2" t="s">
        <v>1414</v>
      </c>
      <c r="M474" s="2">
        <v>11292</v>
      </c>
      <c r="N474" s="2" t="s">
        <v>2408</v>
      </c>
      <c r="O474" s="2" t="s">
        <v>113</v>
      </c>
      <c r="P474" s="2" t="s">
        <v>71</v>
      </c>
      <c r="Q474" s="2" t="s">
        <v>2409</v>
      </c>
      <c r="R474" s="2">
        <v>725</v>
      </c>
      <c r="S474" s="2">
        <v>4</v>
      </c>
      <c r="T474" s="2" t="s">
        <v>417</v>
      </c>
      <c r="U474" s="2">
        <v>18.234525699999999</v>
      </c>
      <c r="V474" s="2">
        <v>-66.370620700000003</v>
      </c>
      <c r="W474" s="2" t="s">
        <v>467</v>
      </c>
      <c r="X474" s="2" t="s">
        <v>2410</v>
      </c>
      <c r="Y474" s="2" t="s">
        <v>469</v>
      </c>
      <c r="Z474" s="2">
        <v>11292</v>
      </c>
      <c r="AA474" s="2" t="s">
        <v>2411</v>
      </c>
      <c r="AB474" s="2">
        <v>39159</v>
      </c>
      <c r="AC474" s="2">
        <v>365</v>
      </c>
      <c r="AD474" s="2">
        <v>23.4</v>
      </c>
      <c r="AE474" s="2">
        <v>0.13</v>
      </c>
      <c r="AF474" s="2" t="str" cm="1">
        <f t="array" ref="AF474">_xlfn.IFS(AE474=0, "No Discount ", AE474&lt;=0.08,"Low Discount", AE474&lt;=0.16,"Medium Discount", AE474&gt;0.16, "High Discount")</f>
        <v>Medium Discount</v>
      </c>
      <c r="AG474" s="2">
        <v>97738</v>
      </c>
      <c r="AH474" s="2">
        <v>59.99</v>
      </c>
      <c r="AI474" s="2">
        <v>0.18</v>
      </c>
      <c r="AJ474" s="2" t="str" cm="1">
        <f t="array" ref="AJ474">_xlfn.IFS(AI474&lt;=0, "No Profit", AI474&lt;=0.16,"Low Profit",AI474&lt;=0.32,"Medium Profit",AI474&gt;0.32,"High Profit")</f>
        <v>Medium Profit</v>
      </c>
      <c r="AK474" s="2">
        <v>3</v>
      </c>
      <c r="AL474" s="2">
        <v>179.97</v>
      </c>
      <c r="AM474" s="2">
        <v>156.57</v>
      </c>
      <c r="AN474" s="2">
        <v>28.18</v>
      </c>
      <c r="AO474" s="2" t="s">
        <v>470</v>
      </c>
      <c r="AP474" s="2" t="s">
        <v>471</v>
      </c>
      <c r="AQ474" s="2" t="s">
        <v>2314</v>
      </c>
      <c r="AR474" s="2">
        <v>98103</v>
      </c>
      <c r="AS474" s="2">
        <v>365</v>
      </c>
      <c r="AT474" s="2">
        <v>17</v>
      </c>
      <c r="AU474" s="2" t="s">
        <v>421</v>
      </c>
      <c r="AV474" s="2">
        <v>59.99</v>
      </c>
      <c r="AW474" s="2">
        <v>0</v>
      </c>
      <c r="AX474" s="2" t="s">
        <v>2412</v>
      </c>
      <c r="AY474" s="2" t="s">
        <v>162</v>
      </c>
      <c r="AZ474" s="4">
        <v>42576</v>
      </c>
      <c r="BA474" s="5">
        <v>0.61597222222222225</v>
      </c>
      <c r="BB474" s="2">
        <v>2016</v>
      </c>
      <c r="BC474" s="2" t="s">
        <v>533</v>
      </c>
      <c r="BD474" s="2">
        <v>25</v>
      </c>
      <c r="BE474" s="4">
        <v>42581</v>
      </c>
      <c r="BF474" s="5">
        <v>0.61597222222222225</v>
      </c>
      <c r="BG474" s="2" t="str" cm="1">
        <f t="array" ref="BG474">_xlfn.IFS(BF474&lt;TIMEVALUE("06:00"),"Night", BF474&gt;=TIMEVALUE("21:00"),"Night",BF474&gt;=TIMEVALUE("17:00"),"Evening",BF474&gt;=TIMEVALUE("12:00"),"Afternoon", BF474&gt;=TIMEVALUE("06:00"),"Morning")</f>
        <v>Afternoon</v>
      </c>
      <c r="BH474" s="2">
        <v>2016</v>
      </c>
      <c r="BI474" s="2" t="s">
        <v>533</v>
      </c>
      <c r="BJ474" s="2">
        <v>30</v>
      </c>
    </row>
    <row r="475" spans="1:62" x14ac:dyDescent="0.3">
      <c r="A475" s="2" t="s">
        <v>121</v>
      </c>
      <c r="B475" s="2">
        <v>6</v>
      </c>
      <c r="C475" s="2">
        <v>2</v>
      </c>
      <c r="D475" s="2">
        <v>34.42</v>
      </c>
      <c r="E475" s="2">
        <v>114.72</v>
      </c>
      <c r="F475" s="2" t="s">
        <v>87</v>
      </c>
      <c r="G475" s="2" t="s">
        <v>88</v>
      </c>
      <c r="H475" s="2">
        <v>6</v>
      </c>
      <c r="I475" s="2" t="s">
        <v>1675</v>
      </c>
      <c r="J475" s="2" t="s">
        <v>66</v>
      </c>
      <c r="K475" s="2" t="s">
        <v>67</v>
      </c>
      <c r="L475" s="2" t="s">
        <v>483</v>
      </c>
      <c r="M475" s="2">
        <v>7864</v>
      </c>
      <c r="N475" s="2" t="s">
        <v>425</v>
      </c>
      <c r="O475" s="2" t="s">
        <v>113</v>
      </c>
      <c r="P475" s="2" t="s">
        <v>71</v>
      </c>
      <c r="Q475" s="2" t="s">
        <v>313</v>
      </c>
      <c r="R475" s="2">
        <v>725</v>
      </c>
      <c r="S475" s="2">
        <v>2</v>
      </c>
      <c r="T475" s="2" t="s">
        <v>73</v>
      </c>
      <c r="U475" s="2">
        <v>18.282795</v>
      </c>
      <c r="V475" s="2">
        <v>-66.370559700000001</v>
      </c>
      <c r="W475" s="2" t="s">
        <v>467</v>
      </c>
      <c r="X475" s="2" t="s">
        <v>484</v>
      </c>
      <c r="Y475" s="2" t="s">
        <v>469</v>
      </c>
      <c r="Z475" s="2">
        <v>7864</v>
      </c>
      <c r="AA475" s="2" t="s">
        <v>485</v>
      </c>
      <c r="AB475" s="2">
        <v>32090</v>
      </c>
      <c r="AC475" s="2">
        <v>116</v>
      </c>
      <c r="AD475" s="2">
        <v>20.25</v>
      </c>
      <c r="AE475" s="2">
        <v>0.15</v>
      </c>
      <c r="AF475" s="2" t="str" cm="1">
        <f t="array" ref="AF475">_xlfn.IFS(AE475=0, "No Discount ", AE475&lt;=0.08,"Low Discount", AE475&lt;=0.16,"Medium Discount", AE475&gt;0.16, "High Discount")</f>
        <v>Medium Discount</v>
      </c>
      <c r="AG475" s="2">
        <v>80251</v>
      </c>
      <c r="AH475" s="2">
        <v>44.99</v>
      </c>
      <c r="AI475" s="2">
        <v>0.3</v>
      </c>
      <c r="AJ475" s="2" t="str" cm="1">
        <f t="array" ref="AJ475">_xlfn.IFS(AI475&lt;=0, "No Profit", AI475&lt;=0.16,"Low Profit",AI475&lt;=0.32,"Medium Profit",AI475&gt;0.32,"High Profit")</f>
        <v>Medium Profit</v>
      </c>
      <c r="AK475" s="2">
        <v>3</v>
      </c>
      <c r="AL475" s="2">
        <v>134.97</v>
      </c>
      <c r="AM475" s="2">
        <v>114.72</v>
      </c>
      <c r="AN475" s="2">
        <v>34.42</v>
      </c>
      <c r="AO475" s="2" t="s">
        <v>470</v>
      </c>
      <c r="AP475" s="2" t="s">
        <v>479</v>
      </c>
      <c r="AQ475" s="2" t="s">
        <v>127</v>
      </c>
      <c r="AR475" s="2">
        <v>94110</v>
      </c>
      <c r="AS475" s="2">
        <v>116</v>
      </c>
      <c r="AT475" s="2">
        <v>6</v>
      </c>
      <c r="AU475" s="2" t="s">
        <v>1681</v>
      </c>
      <c r="AV475" s="2">
        <v>44.99</v>
      </c>
      <c r="AW475" s="2">
        <v>0</v>
      </c>
      <c r="AX475" s="2" t="s">
        <v>486</v>
      </c>
      <c r="AY475" s="2" t="s">
        <v>162</v>
      </c>
      <c r="AZ475" s="4">
        <v>42473</v>
      </c>
      <c r="BA475" s="5">
        <v>0.42499999999999999</v>
      </c>
      <c r="BB475" s="2">
        <v>2016</v>
      </c>
      <c r="BC475" s="2" t="s">
        <v>487</v>
      </c>
      <c r="BD475" s="2">
        <v>13</v>
      </c>
      <c r="BE475" s="4">
        <v>42479</v>
      </c>
      <c r="BF475" s="5">
        <v>0.42499999999999999</v>
      </c>
      <c r="BG475" s="2" t="str" cm="1">
        <f t="array" ref="BG475">_xlfn.IFS(BF475&lt;TIMEVALUE("06:00"),"Night", BF475&gt;=TIMEVALUE("21:00"),"Night",BF475&gt;=TIMEVALUE("17:00"),"Evening",BF475&gt;=TIMEVALUE("12:00"),"Afternoon", BF475&gt;=TIMEVALUE("06:00"),"Morning")</f>
        <v>Morning</v>
      </c>
      <c r="BH475" s="2">
        <v>2016</v>
      </c>
      <c r="BI475" s="2" t="s">
        <v>487</v>
      </c>
      <c r="BJ475" s="2">
        <v>19</v>
      </c>
    </row>
    <row r="476" spans="1:62" x14ac:dyDescent="0.3">
      <c r="A476" s="2" t="s">
        <v>121</v>
      </c>
      <c r="B476" s="2">
        <v>2</v>
      </c>
      <c r="C476" s="2">
        <v>2</v>
      </c>
      <c r="D476" s="2">
        <v>-215.48</v>
      </c>
      <c r="E476" s="2">
        <v>293.97000000000003</v>
      </c>
      <c r="F476" s="2" t="s">
        <v>100</v>
      </c>
      <c r="G476" s="2" t="s">
        <v>64</v>
      </c>
      <c r="H476" s="2">
        <v>9</v>
      </c>
      <c r="I476" s="2" t="s">
        <v>496</v>
      </c>
      <c r="J476" s="2" t="s">
        <v>66</v>
      </c>
      <c r="K476" s="2" t="s">
        <v>67</v>
      </c>
      <c r="L476" s="2" t="s">
        <v>2378</v>
      </c>
      <c r="M476" s="2">
        <v>47</v>
      </c>
      <c r="N476" s="2" t="s">
        <v>2413</v>
      </c>
      <c r="O476" s="2" t="s">
        <v>113</v>
      </c>
      <c r="P476" s="2" t="s">
        <v>71</v>
      </c>
      <c r="Q476" s="2" t="s">
        <v>2414</v>
      </c>
      <c r="R476" s="2">
        <v>725</v>
      </c>
      <c r="S476" s="2">
        <v>3</v>
      </c>
      <c r="T476" s="2" t="s">
        <v>466</v>
      </c>
      <c r="U476" s="2">
        <v>18.227546700000001</v>
      </c>
      <c r="V476" s="2">
        <v>-66.043602000000007</v>
      </c>
      <c r="W476" s="2" t="s">
        <v>467</v>
      </c>
      <c r="X476" s="2" t="s">
        <v>2415</v>
      </c>
      <c r="Y476" s="2" t="s">
        <v>469</v>
      </c>
      <c r="Z476" s="2">
        <v>47</v>
      </c>
      <c r="AA476" s="2" t="s">
        <v>2416</v>
      </c>
      <c r="AB476" s="2">
        <v>34631</v>
      </c>
      <c r="AC476" s="2">
        <v>191</v>
      </c>
      <c r="AD476" s="2">
        <v>6</v>
      </c>
      <c r="AE476" s="2">
        <v>0.02</v>
      </c>
      <c r="AF476" s="2" t="str" cm="1">
        <f t="array" ref="AF476">_xlfn.IFS(AE476=0, "No Discount ", AE476&lt;=0.08,"Low Discount", AE476&lt;=0.16,"Medium Discount", AE476&gt;0.16, "High Discount")</f>
        <v>Low Discount</v>
      </c>
      <c r="AG476" s="2">
        <v>86490</v>
      </c>
      <c r="AH476" s="2">
        <v>99.99</v>
      </c>
      <c r="AI476" s="2">
        <v>-0.73</v>
      </c>
      <c r="AJ476" s="2" t="str" cm="1">
        <f t="array" ref="AJ476">_xlfn.IFS(AI476&lt;=0, "No Profit", AI476&lt;=0.16,"Low Profit",AI476&lt;=0.32,"Medium Profit",AI476&gt;0.32,"High Profit")</f>
        <v>No Profit</v>
      </c>
      <c r="AK476" s="2">
        <v>3</v>
      </c>
      <c r="AL476" s="2">
        <v>299.97000000000003</v>
      </c>
      <c r="AM476" s="2">
        <v>293.97000000000003</v>
      </c>
      <c r="AN476" s="2">
        <v>-215.48</v>
      </c>
      <c r="AO476" s="2" t="s">
        <v>470</v>
      </c>
      <c r="AP476" s="2" t="s">
        <v>479</v>
      </c>
      <c r="AQ476" s="2" t="s">
        <v>127</v>
      </c>
      <c r="AR476" s="2">
        <v>94601</v>
      </c>
      <c r="AS476" s="2">
        <v>191</v>
      </c>
      <c r="AT476" s="2">
        <v>9</v>
      </c>
      <c r="AU476" s="2" t="s">
        <v>505</v>
      </c>
      <c r="AV476" s="2">
        <v>99.99</v>
      </c>
      <c r="AW476" s="2">
        <v>0</v>
      </c>
      <c r="AX476" s="2" t="s">
        <v>2417</v>
      </c>
      <c r="AY476" s="2" t="s">
        <v>162</v>
      </c>
      <c r="AZ476" s="4">
        <v>42510</v>
      </c>
      <c r="BA476" s="5">
        <v>0.51736111111111116</v>
      </c>
      <c r="BB476" s="2">
        <v>2016</v>
      </c>
      <c r="BC476" s="2" t="s">
        <v>443</v>
      </c>
      <c r="BD476" s="2">
        <v>20</v>
      </c>
      <c r="BE476" s="4">
        <v>42512</v>
      </c>
      <c r="BF476" s="5">
        <v>0.51736111111111116</v>
      </c>
      <c r="BG476" s="2" t="str" cm="1">
        <f t="array" ref="BG476">_xlfn.IFS(BF476&lt;TIMEVALUE("06:00"),"Night", BF476&gt;=TIMEVALUE("21:00"),"Night",BF476&gt;=TIMEVALUE("17:00"),"Evening",BF476&gt;=TIMEVALUE("12:00"),"Afternoon", BF476&gt;=TIMEVALUE("06:00"),"Morning")</f>
        <v>Afternoon</v>
      </c>
      <c r="BH476" s="2">
        <v>2016</v>
      </c>
      <c r="BI476" s="2" t="s">
        <v>443</v>
      </c>
      <c r="BJ476" s="2">
        <v>22</v>
      </c>
    </row>
    <row r="477" spans="1:62" x14ac:dyDescent="0.3">
      <c r="A477" s="2" t="s">
        <v>121</v>
      </c>
      <c r="B477" s="2">
        <v>5</v>
      </c>
      <c r="C477" s="2">
        <v>2</v>
      </c>
      <c r="D477" s="2">
        <v>72.53</v>
      </c>
      <c r="E477" s="2">
        <v>278.97000000000003</v>
      </c>
      <c r="F477" s="2" t="s">
        <v>87</v>
      </c>
      <c r="G477" s="2" t="s">
        <v>88</v>
      </c>
      <c r="H477" s="2">
        <v>9</v>
      </c>
      <c r="I477" s="2" t="s">
        <v>496</v>
      </c>
      <c r="J477" s="2" t="s">
        <v>66</v>
      </c>
      <c r="K477" s="2" t="s">
        <v>67</v>
      </c>
      <c r="L477" s="2" t="s">
        <v>414</v>
      </c>
      <c r="M477" s="2">
        <v>6405</v>
      </c>
      <c r="N477" s="2" t="s">
        <v>2418</v>
      </c>
      <c r="O477" s="2" t="s">
        <v>113</v>
      </c>
      <c r="P477" s="2" t="s">
        <v>71</v>
      </c>
      <c r="Q477" s="2" t="s">
        <v>2419</v>
      </c>
      <c r="R477" s="2">
        <v>725</v>
      </c>
      <c r="S477" s="2">
        <v>3</v>
      </c>
      <c r="T477" s="2" t="s">
        <v>466</v>
      </c>
      <c r="U477" s="2">
        <v>18.287645300000001</v>
      </c>
      <c r="V477" s="2">
        <v>-66.3706131</v>
      </c>
      <c r="W477" s="2" t="s">
        <v>467</v>
      </c>
      <c r="X477" s="2" t="s">
        <v>2420</v>
      </c>
      <c r="Y477" s="2" t="s">
        <v>469</v>
      </c>
      <c r="Z477" s="2">
        <v>6405</v>
      </c>
      <c r="AA477" s="3">
        <v>42436.865277777775</v>
      </c>
      <c r="AB477" s="2">
        <v>37669</v>
      </c>
      <c r="AC477" s="2">
        <v>191</v>
      </c>
      <c r="AD477" s="2">
        <v>21</v>
      </c>
      <c r="AE477" s="2">
        <v>7.0000000000000007E-2</v>
      </c>
      <c r="AF477" s="2" t="str" cm="1">
        <f t="array" ref="AF477">_xlfn.IFS(AE477=0, "No Discount ", AE477&lt;=0.08,"Low Discount", AE477&lt;=0.16,"Medium Discount", AE477&gt;0.16, "High Discount")</f>
        <v>Low Discount</v>
      </c>
      <c r="AG477" s="2">
        <v>94024</v>
      </c>
      <c r="AH477" s="2">
        <v>99.99</v>
      </c>
      <c r="AI477" s="2">
        <v>0.26</v>
      </c>
      <c r="AJ477" s="2" t="str" cm="1">
        <f t="array" ref="AJ477">_xlfn.IFS(AI477&lt;=0, "No Profit", AI477&lt;=0.16,"Low Profit",AI477&lt;=0.32,"Medium Profit",AI477&gt;0.32,"High Profit")</f>
        <v>Medium Profit</v>
      </c>
      <c r="AK477" s="2">
        <v>3</v>
      </c>
      <c r="AL477" s="2">
        <v>299.97000000000003</v>
      </c>
      <c r="AM477" s="2">
        <v>278.97000000000003</v>
      </c>
      <c r="AN477" s="2">
        <v>72.53</v>
      </c>
      <c r="AO477" s="2" t="s">
        <v>1124</v>
      </c>
      <c r="AP477" s="2" t="s">
        <v>2421</v>
      </c>
      <c r="AQ477" s="2" t="s">
        <v>127</v>
      </c>
      <c r="AR477" s="2">
        <v>10009</v>
      </c>
      <c r="AS477" s="2">
        <v>191</v>
      </c>
      <c r="AT477" s="2">
        <v>9</v>
      </c>
      <c r="AU477" s="2" t="s">
        <v>505</v>
      </c>
      <c r="AV477" s="2">
        <v>99.99</v>
      </c>
      <c r="AW477" s="2">
        <v>0</v>
      </c>
      <c r="AX477" s="3">
        <v>42589.865277777775</v>
      </c>
      <c r="AY477" s="2" t="s">
        <v>162</v>
      </c>
      <c r="AZ477" s="4">
        <v>42436</v>
      </c>
      <c r="BA477" s="5">
        <v>0.86527777777777781</v>
      </c>
      <c r="BB477" s="2">
        <v>2016</v>
      </c>
      <c r="BC477" s="2" t="s">
        <v>85</v>
      </c>
      <c r="BD477" s="2">
        <v>7</v>
      </c>
      <c r="BE477" s="4">
        <v>42589</v>
      </c>
      <c r="BF477" s="5">
        <v>0.86527777777777781</v>
      </c>
      <c r="BG477" s="2" t="str" cm="1">
        <f t="array" ref="BG477">_xlfn.IFS(BF477&lt;TIMEVALUE("06:00"),"Night", BF477&gt;=TIMEVALUE("21:00"),"Night",BF477&gt;=TIMEVALUE("17:00"),"Evening",BF477&gt;=TIMEVALUE("12:00"),"Afternoon", BF477&gt;=TIMEVALUE("06:00"),"Morning")</f>
        <v>Evening</v>
      </c>
      <c r="BH477" s="2">
        <v>2016</v>
      </c>
      <c r="BI477" s="2" t="s">
        <v>482</v>
      </c>
      <c r="BJ477" s="2">
        <v>7</v>
      </c>
    </row>
    <row r="478" spans="1:62" x14ac:dyDescent="0.3">
      <c r="A478" s="2" t="s">
        <v>121</v>
      </c>
      <c r="B478" s="2">
        <v>5</v>
      </c>
      <c r="C478" s="2">
        <v>2</v>
      </c>
      <c r="D478" s="2">
        <v>53.54</v>
      </c>
      <c r="E478" s="2">
        <v>152.97</v>
      </c>
      <c r="F478" s="2" t="s">
        <v>87</v>
      </c>
      <c r="G478" s="2" t="s">
        <v>88</v>
      </c>
      <c r="H478" s="2">
        <v>17</v>
      </c>
      <c r="I478" s="2" t="s">
        <v>412</v>
      </c>
      <c r="J478" s="2" t="s">
        <v>66</v>
      </c>
      <c r="K478" s="2" t="s">
        <v>67</v>
      </c>
      <c r="L478" s="2" t="s">
        <v>414</v>
      </c>
      <c r="M478" s="2">
        <v>6405</v>
      </c>
      <c r="N478" s="2" t="s">
        <v>2418</v>
      </c>
      <c r="O478" s="2" t="s">
        <v>113</v>
      </c>
      <c r="P478" s="2" t="s">
        <v>71</v>
      </c>
      <c r="Q478" s="2" t="s">
        <v>2419</v>
      </c>
      <c r="R478" s="2">
        <v>725</v>
      </c>
      <c r="S478" s="2">
        <v>4</v>
      </c>
      <c r="T478" s="2" t="s">
        <v>417</v>
      </c>
      <c r="U478" s="2">
        <v>18.287645300000001</v>
      </c>
      <c r="V478" s="2">
        <v>-66.3706131</v>
      </c>
      <c r="W478" s="2" t="s">
        <v>467</v>
      </c>
      <c r="X478" s="2" t="s">
        <v>2420</v>
      </c>
      <c r="Y478" s="2" t="s">
        <v>469</v>
      </c>
      <c r="Z478" s="2">
        <v>6405</v>
      </c>
      <c r="AA478" s="3">
        <v>42436.865277777775</v>
      </c>
      <c r="AB478" s="2">
        <v>37669</v>
      </c>
      <c r="AC478" s="2">
        <v>365</v>
      </c>
      <c r="AD478" s="2">
        <v>27</v>
      </c>
      <c r="AE478" s="2">
        <v>0.15</v>
      </c>
      <c r="AF478" s="2" t="str" cm="1">
        <f t="array" ref="AF478">_xlfn.IFS(AE478=0, "No Discount ", AE478&lt;=0.08,"Low Discount", AE478&lt;=0.16,"Medium Discount", AE478&gt;0.16, "High Discount")</f>
        <v>Medium Discount</v>
      </c>
      <c r="AG478" s="2">
        <v>94022</v>
      </c>
      <c r="AH478" s="2">
        <v>59.99</v>
      </c>
      <c r="AI478" s="2">
        <v>0.35</v>
      </c>
      <c r="AJ478" s="2" t="str" cm="1">
        <f t="array" ref="AJ478">_xlfn.IFS(AI478&lt;=0, "No Profit", AI478&lt;=0.16,"Low Profit",AI478&lt;=0.32,"Medium Profit",AI478&gt;0.32,"High Profit")</f>
        <v>High Profit</v>
      </c>
      <c r="AK478" s="2">
        <v>3</v>
      </c>
      <c r="AL478" s="2">
        <v>179.97</v>
      </c>
      <c r="AM478" s="2">
        <v>152.97</v>
      </c>
      <c r="AN478" s="2">
        <v>53.54</v>
      </c>
      <c r="AO478" s="2" t="s">
        <v>1124</v>
      </c>
      <c r="AP478" s="2" t="s">
        <v>2421</v>
      </c>
      <c r="AQ478" s="2" t="s">
        <v>127</v>
      </c>
      <c r="AR478" s="2">
        <v>10009</v>
      </c>
      <c r="AS478" s="2">
        <v>365</v>
      </c>
      <c r="AT478" s="2">
        <v>17</v>
      </c>
      <c r="AU478" s="2" t="s">
        <v>421</v>
      </c>
      <c r="AV478" s="2">
        <v>59.99</v>
      </c>
      <c r="AW478" s="2">
        <v>0</v>
      </c>
      <c r="AX478" s="3">
        <v>42589.865277777775</v>
      </c>
      <c r="AY478" s="2" t="s">
        <v>162</v>
      </c>
      <c r="AZ478" s="4">
        <v>42436</v>
      </c>
      <c r="BA478" s="5">
        <v>0.86527777777777781</v>
      </c>
      <c r="BB478" s="2">
        <v>2016</v>
      </c>
      <c r="BC478" s="2" t="s">
        <v>85</v>
      </c>
      <c r="BD478" s="2">
        <v>7</v>
      </c>
      <c r="BE478" s="4">
        <v>42589</v>
      </c>
      <c r="BF478" s="5">
        <v>0.86527777777777781</v>
      </c>
      <c r="BG478" s="2" t="str" cm="1">
        <f t="array" ref="BG478">_xlfn.IFS(BF478&lt;TIMEVALUE("06:00"),"Night", BF478&gt;=TIMEVALUE("21:00"),"Night",BF478&gt;=TIMEVALUE("17:00"),"Evening",BF478&gt;=TIMEVALUE("12:00"),"Afternoon", BF478&gt;=TIMEVALUE("06:00"),"Morning")</f>
        <v>Evening</v>
      </c>
      <c r="BH478" s="2">
        <v>2016</v>
      </c>
      <c r="BI478" s="2" t="s">
        <v>482</v>
      </c>
      <c r="BJ478" s="2">
        <v>7</v>
      </c>
    </row>
    <row r="479" spans="1:62" x14ac:dyDescent="0.3">
      <c r="A479" s="2" t="s">
        <v>121</v>
      </c>
      <c r="B479" s="2">
        <v>4</v>
      </c>
      <c r="C479" s="2">
        <v>2</v>
      </c>
      <c r="D479" s="2">
        <v>66.930000000000007</v>
      </c>
      <c r="E479" s="2">
        <v>145.5</v>
      </c>
      <c r="F479" s="2" t="s">
        <v>87</v>
      </c>
      <c r="G479" s="2" t="s">
        <v>88</v>
      </c>
      <c r="H479" s="2">
        <v>24</v>
      </c>
      <c r="I479" s="2" t="s">
        <v>435</v>
      </c>
      <c r="J479" s="2" t="s">
        <v>66</v>
      </c>
      <c r="K479" s="2" t="s">
        <v>67</v>
      </c>
      <c r="L479" s="2" t="s">
        <v>488</v>
      </c>
      <c r="M479" s="2">
        <v>11169</v>
      </c>
      <c r="N479" s="2" t="s">
        <v>489</v>
      </c>
      <c r="O479" s="2" t="s">
        <v>113</v>
      </c>
      <c r="P479" s="2" t="s">
        <v>71</v>
      </c>
      <c r="Q479" s="2" t="s">
        <v>490</v>
      </c>
      <c r="R479" s="2">
        <v>725</v>
      </c>
      <c r="S479" s="2">
        <v>5</v>
      </c>
      <c r="T479" s="2" t="s">
        <v>427</v>
      </c>
      <c r="U479" s="2">
        <v>18.274661999999999</v>
      </c>
      <c r="V479" s="2">
        <v>-66.370582600000006</v>
      </c>
      <c r="W479" s="2" t="s">
        <v>467</v>
      </c>
      <c r="X479" s="2" t="s">
        <v>491</v>
      </c>
      <c r="Y479" s="2" t="s">
        <v>469</v>
      </c>
      <c r="Z479" s="2">
        <v>11169</v>
      </c>
      <c r="AA479" s="2" t="s">
        <v>492</v>
      </c>
      <c r="AB479" s="2">
        <v>34773</v>
      </c>
      <c r="AC479" s="2">
        <v>502</v>
      </c>
      <c r="AD479" s="2">
        <v>4.5</v>
      </c>
      <c r="AE479" s="2">
        <v>0.03</v>
      </c>
      <c r="AF479" s="2" t="str" cm="1">
        <f t="array" ref="AF479">_xlfn.IFS(AE479=0, "No Discount ", AE479&lt;=0.08,"Low Discount", AE479&lt;=0.16,"Medium Discount", AE479&gt;0.16, "High Discount")</f>
        <v>Low Discount</v>
      </c>
      <c r="AG479" s="2">
        <v>86867</v>
      </c>
      <c r="AH479" s="2">
        <v>50</v>
      </c>
      <c r="AI479" s="2">
        <v>0.46</v>
      </c>
      <c r="AJ479" s="2" t="str" cm="1">
        <f t="array" ref="AJ479">_xlfn.IFS(AI479&lt;=0, "No Profit", AI479&lt;=0.16,"Low Profit",AI479&lt;=0.32,"Medium Profit",AI479&gt;0.32,"High Profit")</f>
        <v>High Profit</v>
      </c>
      <c r="AK479" s="2">
        <v>3</v>
      </c>
      <c r="AL479" s="2">
        <v>150</v>
      </c>
      <c r="AM479" s="2">
        <v>145.5</v>
      </c>
      <c r="AN479" s="2">
        <v>66.930000000000007</v>
      </c>
      <c r="AO479" s="2" t="s">
        <v>493</v>
      </c>
      <c r="AP479" s="2" t="s">
        <v>494</v>
      </c>
      <c r="AQ479" s="2" t="s">
        <v>127</v>
      </c>
      <c r="AR479" s="2">
        <v>66212</v>
      </c>
      <c r="AS479" s="2">
        <v>502</v>
      </c>
      <c r="AT479" s="2">
        <v>24</v>
      </c>
      <c r="AU479" s="2" t="s">
        <v>442</v>
      </c>
      <c r="AV479" s="2">
        <v>50</v>
      </c>
      <c r="AW479" s="2">
        <v>0</v>
      </c>
      <c r="AX479" s="2" t="s">
        <v>495</v>
      </c>
      <c r="AY479" s="2" t="s">
        <v>162</v>
      </c>
      <c r="AZ479" s="4">
        <v>42512</v>
      </c>
      <c r="BA479" s="5">
        <v>0.59027777777777779</v>
      </c>
      <c r="BB479" s="2">
        <v>2016</v>
      </c>
      <c r="BC479" s="2" t="s">
        <v>443</v>
      </c>
      <c r="BD479" s="2">
        <v>22</v>
      </c>
      <c r="BE479" s="4">
        <v>42516</v>
      </c>
      <c r="BF479" s="5">
        <v>0.59027777777777779</v>
      </c>
      <c r="BG479" s="2" t="str" cm="1">
        <f t="array" ref="BG479">_xlfn.IFS(BF479&lt;TIMEVALUE("06:00"),"Night", BF479&gt;=TIMEVALUE("21:00"),"Night",BF479&gt;=TIMEVALUE("17:00"),"Evening",BF479&gt;=TIMEVALUE("12:00"),"Afternoon", BF479&gt;=TIMEVALUE("06:00"),"Morning")</f>
        <v>Afternoon</v>
      </c>
      <c r="BH479" s="2">
        <v>2016</v>
      </c>
      <c r="BI479" s="2" t="s">
        <v>443</v>
      </c>
      <c r="BJ479" s="2">
        <v>26</v>
      </c>
    </row>
    <row r="480" spans="1:62" x14ac:dyDescent="0.3">
      <c r="A480" s="2" t="s">
        <v>121</v>
      </c>
      <c r="B480" s="2">
        <v>6</v>
      </c>
      <c r="C480" s="2">
        <v>2</v>
      </c>
      <c r="D480" s="2">
        <v>13.95</v>
      </c>
      <c r="E480" s="2">
        <v>139.5</v>
      </c>
      <c r="F480" s="2" t="s">
        <v>87</v>
      </c>
      <c r="G480" s="2" t="s">
        <v>88</v>
      </c>
      <c r="H480" s="2">
        <v>24</v>
      </c>
      <c r="I480" s="2" t="s">
        <v>435</v>
      </c>
      <c r="J480" s="2" t="s">
        <v>66</v>
      </c>
      <c r="K480" s="2" t="s">
        <v>67</v>
      </c>
      <c r="L480" s="2" t="s">
        <v>414</v>
      </c>
      <c r="M480" s="2">
        <v>2426</v>
      </c>
      <c r="N480" s="2" t="s">
        <v>743</v>
      </c>
      <c r="O480" s="2" t="s">
        <v>113</v>
      </c>
      <c r="P480" s="2" t="s">
        <v>71</v>
      </c>
      <c r="Q480" s="2" t="s">
        <v>2422</v>
      </c>
      <c r="R480" s="2">
        <v>725</v>
      </c>
      <c r="S480" s="2">
        <v>5</v>
      </c>
      <c r="T480" s="2" t="s">
        <v>427</v>
      </c>
      <c r="U480" s="2">
        <v>18.233875300000001</v>
      </c>
      <c r="V480" s="2">
        <v>-66.370536799999996</v>
      </c>
      <c r="W480" s="2" t="s">
        <v>467</v>
      </c>
      <c r="X480" s="2" t="s">
        <v>2423</v>
      </c>
      <c r="Y480" s="2" t="s">
        <v>469</v>
      </c>
      <c r="Z480" s="2">
        <v>2426</v>
      </c>
      <c r="AA480" s="3">
        <v>42590.133333333331</v>
      </c>
      <c r="AB480" s="2">
        <v>40085</v>
      </c>
      <c r="AC480" s="2">
        <v>502</v>
      </c>
      <c r="AD480" s="2">
        <v>10.5</v>
      </c>
      <c r="AE480" s="2">
        <v>7.0000000000000007E-2</v>
      </c>
      <c r="AF480" s="2" t="str" cm="1">
        <f t="array" ref="AF480">_xlfn.IFS(AE480=0, "No Discount ", AE480&lt;=0.08,"Low Discount", AE480&lt;=0.16,"Medium Discount", AE480&gt;0.16, "High Discount")</f>
        <v>Low Discount</v>
      </c>
      <c r="AG480" s="2">
        <v>100038</v>
      </c>
      <c r="AH480" s="2">
        <v>50</v>
      </c>
      <c r="AI480" s="2">
        <v>0.1</v>
      </c>
      <c r="AJ480" s="2" t="str" cm="1">
        <f t="array" ref="AJ480">_xlfn.IFS(AI480&lt;=0, "No Profit", AI480&lt;=0.16,"Low Profit",AI480&lt;=0.32,"Medium Profit",AI480&gt;0.32,"High Profit")</f>
        <v>Low Profit</v>
      </c>
      <c r="AK480" s="2">
        <v>3</v>
      </c>
      <c r="AL480" s="2">
        <v>150</v>
      </c>
      <c r="AM480" s="2">
        <v>139.5</v>
      </c>
      <c r="AN480" s="2">
        <v>13.95</v>
      </c>
      <c r="AO480" s="2" t="s">
        <v>2424</v>
      </c>
      <c r="AP480" s="2" t="s">
        <v>2425</v>
      </c>
      <c r="AQ480" s="2" t="s">
        <v>127</v>
      </c>
      <c r="AR480" s="2">
        <v>28110</v>
      </c>
      <c r="AS480" s="2">
        <v>502</v>
      </c>
      <c r="AT480" s="2">
        <v>24</v>
      </c>
      <c r="AU480" s="2" t="s">
        <v>442</v>
      </c>
      <c r="AV480" s="2">
        <v>50</v>
      </c>
      <c r="AW480" s="2">
        <v>0</v>
      </c>
      <c r="AX480" s="2" t="s">
        <v>2426</v>
      </c>
      <c r="AY480" s="2" t="s">
        <v>162</v>
      </c>
      <c r="AZ480" s="4">
        <v>42590</v>
      </c>
      <c r="BA480" s="5">
        <v>0.13333333333333333</v>
      </c>
      <c r="BB480" s="2">
        <v>2016</v>
      </c>
      <c r="BC480" s="2" t="s">
        <v>482</v>
      </c>
      <c r="BD480" s="2">
        <v>8</v>
      </c>
      <c r="BE480" s="4">
        <v>42596</v>
      </c>
      <c r="BF480" s="5">
        <v>0.13333333333333333</v>
      </c>
      <c r="BG480" s="2" t="str" cm="1">
        <f t="array" ref="BG480">_xlfn.IFS(BF480&lt;TIMEVALUE("06:00"),"Night", BF480&gt;=TIMEVALUE("21:00"),"Night",BF480&gt;=TIMEVALUE("17:00"),"Evening",BF480&gt;=TIMEVALUE("12:00"),"Afternoon", BF480&gt;=TIMEVALUE("06:00"),"Morning")</f>
        <v>Night</v>
      </c>
      <c r="BH480" s="2">
        <v>2016</v>
      </c>
      <c r="BI480" s="2" t="s">
        <v>482</v>
      </c>
      <c r="BJ480" s="2">
        <v>14</v>
      </c>
    </row>
    <row r="481" spans="1:62" x14ac:dyDescent="0.3">
      <c r="A481" s="2" t="s">
        <v>121</v>
      </c>
      <c r="B481" s="2">
        <v>3</v>
      </c>
      <c r="C481" s="2">
        <v>2</v>
      </c>
      <c r="D481" s="2">
        <v>59.13</v>
      </c>
      <c r="E481" s="2">
        <v>335.97</v>
      </c>
      <c r="F481" s="2" t="s">
        <v>87</v>
      </c>
      <c r="G481" s="2" t="s">
        <v>88</v>
      </c>
      <c r="H481" s="2">
        <v>9</v>
      </c>
      <c r="I481" s="2" t="s">
        <v>496</v>
      </c>
      <c r="J481" s="2" t="s">
        <v>66</v>
      </c>
      <c r="K481" s="2" t="s">
        <v>67</v>
      </c>
      <c r="L481" s="2" t="s">
        <v>1694</v>
      </c>
      <c r="M481" s="2">
        <v>8133</v>
      </c>
      <c r="N481" s="2" t="s">
        <v>1476</v>
      </c>
      <c r="O481" s="2" t="s">
        <v>113</v>
      </c>
      <c r="P481" s="2" t="s">
        <v>71</v>
      </c>
      <c r="Q481" s="2" t="s">
        <v>2427</v>
      </c>
      <c r="R481" s="2">
        <v>725</v>
      </c>
      <c r="S481" s="2">
        <v>3</v>
      </c>
      <c r="T481" s="2" t="s">
        <v>466</v>
      </c>
      <c r="U481" s="2">
        <v>18.2833519</v>
      </c>
      <c r="V481" s="2">
        <v>-66.370521600000004</v>
      </c>
      <c r="W481" s="2" t="s">
        <v>500</v>
      </c>
      <c r="X481" s="2" t="s">
        <v>2428</v>
      </c>
      <c r="Y481" s="2" t="s">
        <v>1248</v>
      </c>
      <c r="Z481" s="2">
        <v>8133</v>
      </c>
      <c r="AA481" s="2" t="s">
        <v>2429</v>
      </c>
      <c r="AB481" s="2">
        <v>47262</v>
      </c>
      <c r="AC481" s="2">
        <v>191</v>
      </c>
      <c r="AD481" s="2">
        <v>63.99</v>
      </c>
      <c r="AE481" s="2">
        <v>0.16</v>
      </c>
      <c r="AF481" s="2" t="str" cm="1">
        <f t="array" ref="AF481">_xlfn.IFS(AE481=0, "No Discount ", AE481&lt;=0.08,"Low Discount", AE481&lt;=0.16,"Medium Discount", AE481&gt;0.16, "High Discount")</f>
        <v>Medium Discount</v>
      </c>
      <c r="AG481" s="2">
        <v>118161</v>
      </c>
      <c r="AH481" s="2">
        <v>99.99</v>
      </c>
      <c r="AI481" s="2">
        <v>0.18</v>
      </c>
      <c r="AJ481" s="2" t="str" cm="1">
        <f t="array" ref="AJ481">_xlfn.IFS(AI481&lt;=0, "No Profit", AI481&lt;=0.16,"Low Profit",AI481&lt;=0.32,"Medium Profit",AI481&gt;0.32,"High Profit")</f>
        <v>Medium Profit</v>
      </c>
      <c r="AK481" s="2">
        <v>4</v>
      </c>
      <c r="AL481" s="2">
        <v>399.96</v>
      </c>
      <c r="AM481" s="2">
        <v>335.97</v>
      </c>
      <c r="AN481" s="2">
        <v>59.13</v>
      </c>
      <c r="AO481" s="2" t="s">
        <v>1249</v>
      </c>
      <c r="AP481" s="2" t="s">
        <v>2430</v>
      </c>
      <c r="AQ481" s="2" t="s">
        <v>2314</v>
      </c>
      <c r="AR481" s="2" t="s">
        <v>81</v>
      </c>
      <c r="AS481" s="2">
        <v>191</v>
      </c>
      <c r="AT481" s="2">
        <v>9</v>
      </c>
      <c r="AU481" s="2" t="s">
        <v>505</v>
      </c>
      <c r="AV481" s="2">
        <v>99.99</v>
      </c>
      <c r="AW481" s="2">
        <v>0</v>
      </c>
      <c r="AX481" s="2" t="s">
        <v>2431</v>
      </c>
      <c r="AY481" s="2" t="s">
        <v>162</v>
      </c>
      <c r="AZ481" s="4">
        <v>42694</v>
      </c>
      <c r="BA481" s="5">
        <v>0.90138888888888891</v>
      </c>
      <c r="BB481" s="2">
        <v>2016</v>
      </c>
      <c r="BC481" s="2" t="s">
        <v>455</v>
      </c>
      <c r="BD481" s="2">
        <v>20</v>
      </c>
      <c r="BE481" s="4">
        <v>42697</v>
      </c>
      <c r="BF481" s="5">
        <v>0.90138888888888891</v>
      </c>
      <c r="BG481" s="2" t="str" cm="1">
        <f t="array" ref="BG481">_xlfn.IFS(BF481&lt;TIMEVALUE("06:00"),"Night", BF481&gt;=TIMEVALUE("21:00"),"Night",BF481&gt;=TIMEVALUE("17:00"),"Evening",BF481&gt;=TIMEVALUE("12:00"),"Afternoon", BF481&gt;=TIMEVALUE("06:00"),"Morning")</f>
        <v>Night</v>
      </c>
      <c r="BH481" s="2">
        <v>2016</v>
      </c>
      <c r="BI481" s="2" t="s">
        <v>455</v>
      </c>
      <c r="BJ481" s="2">
        <v>23</v>
      </c>
    </row>
    <row r="482" spans="1:62" x14ac:dyDescent="0.3">
      <c r="A482" s="2" t="s">
        <v>121</v>
      </c>
      <c r="B482" s="2">
        <v>2</v>
      </c>
      <c r="C482" s="2">
        <v>2</v>
      </c>
      <c r="D482" s="2">
        <v>42.99</v>
      </c>
      <c r="E482" s="2">
        <v>122.84</v>
      </c>
      <c r="F482" s="2" t="s">
        <v>100</v>
      </c>
      <c r="G482" s="2" t="s">
        <v>64</v>
      </c>
      <c r="H482" s="2">
        <v>37</v>
      </c>
      <c r="I482" s="2" t="s">
        <v>464</v>
      </c>
      <c r="J482" s="2" t="s">
        <v>66</v>
      </c>
      <c r="K482" s="2" t="s">
        <v>67</v>
      </c>
      <c r="L482" s="2" t="s">
        <v>1235</v>
      </c>
      <c r="M482" s="2">
        <v>1429</v>
      </c>
      <c r="N482" s="2" t="s">
        <v>1875</v>
      </c>
      <c r="O482" s="2" t="s">
        <v>113</v>
      </c>
      <c r="P482" s="2" t="s">
        <v>71</v>
      </c>
      <c r="Q482" s="2" t="s">
        <v>2432</v>
      </c>
      <c r="R482" s="2">
        <v>725</v>
      </c>
      <c r="S482" s="2">
        <v>6</v>
      </c>
      <c r="T482" s="2" t="s">
        <v>515</v>
      </c>
      <c r="U482" s="2">
        <v>18.2248497</v>
      </c>
      <c r="V482" s="2">
        <v>-66.370513900000006</v>
      </c>
      <c r="W482" s="2" t="s">
        <v>500</v>
      </c>
      <c r="X482" s="2" t="s">
        <v>1697</v>
      </c>
      <c r="Y482" s="2" t="s">
        <v>1248</v>
      </c>
      <c r="Z482" s="2">
        <v>1429</v>
      </c>
      <c r="AA482" s="2" t="s">
        <v>2433</v>
      </c>
      <c r="AB482" s="2">
        <v>44771</v>
      </c>
      <c r="AC482" s="2">
        <v>835</v>
      </c>
      <c r="AD482" s="2">
        <v>5.12</v>
      </c>
      <c r="AE482" s="2">
        <v>0.04</v>
      </c>
      <c r="AF482" s="2" t="str" cm="1">
        <f t="array" ref="AF482">_xlfn.IFS(AE482=0, "No Discount ", AE482&lt;=0.08,"Low Discount", AE482&lt;=0.16,"Medium Discount", AE482&gt;0.16, "High Discount")</f>
        <v>Low Discount</v>
      </c>
      <c r="AG482" s="2">
        <v>111824</v>
      </c>
      <c r="AH482" s="2">
        <v>31.99</v>
      </c>
      <c r="AI482" s="2">
        <v>0.35</v>
      </c>
      <c r="AJ482" s="2" t="str" cm="1">
        <f t="array" ref="AJ482">_xlfn.IFS(AI482&lt;=0, "No Profit", AI482&lt;=0.16,"Low Profit",AI482&lt;=0.32,"Medium Profit",AI482&gt;0.32,"High Profit")</f>
        <v>High Profit</v>
      </c>
      <c r="AK482" s="2">
        <v>4</v>
      </c>
      <c r="AL482" s="2">
        <v>127.96</v>
      </c>
      <c r="AM482" s="2">
        <v>122.84</v>
      </c>
      <c r="AN482" s="2">
        <v>42.99</v>
      </c>
      <c r="AO482" s="2" t="s">
        <v>1249</v>
      </c>
      <c r="AP482" s="2" t="s">
        <v>1699</v>
      </c>
      <c r="AQ482" s="2" t="s">
        <v>127</v>
      </c>
      <c r="AR482" s="2" t="s">
        <v>81</v>
      </c>
      <c r="AS482" s="2">
        <v>835</v>
      </c>
      <c r="AT482" s="2">
        <v>37</v>
      </c>
      <c r="AU482" s="2" t="s">
        <v>2434</v>
      </c>
      <c r="AV482" s="2">
        <v>31.99</v>
      </c>
      <c r="AW482" s="2">
        <v>0</v>
      </c>
      <c r="AX482" s="2" t="s">
        <v>2435</v>
      </c>
      <c r="AY482" s="2" t="s">
        <v>162</v>
      </c>
      <c r="AZ482" s="4">
        <v>42658</v>
      </c>
      <c r="BA482" s="5">
        <v>0.53819444444444442</v>
      </c>
      <c r="BB482" s="2">
        <v>2016</v>
      </c>
      <c r="BC482" s="2" t="s">
        <v>434</v>
      </c>
      <c r="BD482" s="2">
        <v>15</v>
      </c>
      <c r="BE482" s="4">
        <v>42660</v>
      </c>
      <c r="BF482" s="5">
        <v>0.53819444444444442</v>
      </c>
      <c r="BG482" s="2" t="str" cm="1">
        <f t="array" ref="BG482">_xlfn.IFS(BF482&lt;TIMEVALUE("06:00"),"Night", BF482&gt;=TIMEVALUE("21:00"),"Night",BF482&gt;=TIMEVALUE("17:00"),"Evening",BF482&gt;=TIMEVALUE("12:00"),"Afternoon", BF482&gt;=TIMEVALUE("06:00"),"Morning")</f>
        <v>Afternoon</v>
      </c>
      <c r="BH482" s="2">
        <v>2016</v>
      </c>
      <c r="BI482" s="2" t="s">
        <v>434</v>
      </c>
      <c r="BJ482" s="2">
        <v>17</v>
      </c>
    </row>
    <row r="483" spans="1:62" x14ac:dyDescent="0.3">
      <c r="A483" s="2" t="s">
        <v>121</v>
      </c>
      <c r="B483" s="2">
        <v>6</v>
      </c>
      <c r="C483" s="2">
        <v>2</v>
      </c>
      <c r="D483" s="2">
        <v>138.59</v>
      </c>
      <c r="E483" s="2">
        <v>395.96</v>
      </c>
      <c r="F483" s="2" t="s">
        <v>87</v>
      </c>
      <c r="G483" s="2" t="s">
        <v>88</v>
      </c>
      <c r="H483" s="2">
        <v>9</v>
      </c>
      <c r="I483" s="2" t="s">
        <v>496</v>
      </c>
      <c r="J483" s="2" t="s">
        <v>66</v>
      </c>
      <c r="K483" s="2" t="s">
        <v>67</v>
      </c>
      <c r="L483" s="2" t="s">
        <v>2436</v>
      </c>
      <c r="M483" s="2">
        <v>9120</v>
      </c>
      <c r="N483" s="2" t="s">
        <v>2437</v>
      </c>
      <c r="O483" s="2" t="s">
        <v>113</v>
      </c>
      <c r="P483" s="2" t="s">
        <v>71</v>
      </c>
      <c r="Q483" s="2" t="s">
        <v>2438</v>
      </c>
      <c r="R483" s="2">
        <v>725</v>
      </c>
      <c r="S483" s="2">
        <v>3</v>
      </c>
      <c r="T483" s="2" t="s">
        <v>466</v>
      </c>
      <c r="U483" s="2">
        <v>18.262495000000001</v>
      </c>
      <c r="V483" s="2">
        <v>-66.370536799999996</v>
      </c>
      <c r="W483" s="2" t="s">
        <v>528</v>
      </c>
      <c r="X483" s="2" t="s">
        <v>2439</v>
      </c>
      <c r="Y483" s="2" t="s">
        <v>530</v>
      </c>
      <c r="Z483" s="2">
        <v>9120</v>
      </c>
      <c r="AA483" s="2" t="s">
        <v>2440</v>
      </c>
      <c r="AB483" s="2">
        <v>13890</v>
      </c>
      <c r="AC483" s="2">
        <v>191</v>
      </c>
      <c r="AD483" s="2">
        <v>4</v>
      </c>
      <c r="AE483" s="2">
        <v>0.01</v>
      </c>
      <c r="AF483" s="2" t="str" cm="1">
        <f t="array" ref="AF483">_xlfn.IFS(AE483=0, "No Discount ", AE483&lt;=0.08,"Low Discount", AE483&lt;=0.16,"Medium Discount", AE483&gt;0.16, "High Discount")</f>
        <v>Low Discount</v>
      </c>
      <c r="AG483" s="2">
        <v>34783</v>
      </c>
      <c r="AH483" s="2">
        <v>99.99</v>
      </c>
      <c r="AI483" s="2">
        <v>0.35</v>
      </c>
      <c r="AJ483" s="2" t="str" cm="1">
        <f t="array" ref="AJ483">_xlfn.IFS(AI483&lt;=0, "No Profit", AI483&lt;=0.16,"Low Profit",AI483&lt;=0.32,"Medium Profit",AI483&gt;0.32,"High Profit")</f>
        <v>High Profit</v>
      </c>
      <c r="AK483" s="2">
        <v>4</v>
      </c>
      <c r="AL483" s="2">
        <v>399.96</v>
      </c>
      <c r="AM483" s="2">
        <v>395.96</v>
      </c>
      <c r="AN483" s="2">
        <v>138.59</v>
      </c>
      <c r="AO483" s="2" t="s">
        <v>531</v>
      </c>
      <c r="AP483" s="2" t="s">
        <v>2441</v>
      </c>
      <c r="AQ483" s="2" t="s">
        <v>127</v>
      </c>
      <c r="AR483" s="2" t="s">
        <v>81</v>
      </c>
      <c r="AS483" s="2">
        <v>191</v>
      </c>
      <c r="AT483" s="2">
        <v>9</v>
      </c>
      <c r="AU483" s="2" t="s">
        <v>505</v>
      </c>
      <c r="AV483" s="2">
        <v>99.99</v>
      </c>
      <c r="AW483" s="2">
        <v>0</v>
      </c>
      <c r="AX483" s="2" t="s">
        <v>2442</v>
      </c>
      <c r="AY483" s="2" t="s">
        <v>162</v>
      </c>
      <c r="AZ483" s="4">
        <v>42207</v>
      </c>
      <c r="BA483" s="5">
        <v>0.74722222222222223</v>
      </c>
      <c r="BB483" s="2">
        <v>2015</v>
      </c>
      <c r="BC483" s="2" t="s">
        <v>533</v>
      </c>
      <c r="BD483" s="2">
        <v>22</v>
      </c>
      <c r="BE483" s="4">
        <v>42213</v>
      </c>
      <c r="BF483" s="5">
        <v>0.74722222222222223</v>
      </c>
      <c r="BG483" s="2" t="str" cm="1">
        <f t="array" ref="BG483">_xlfn.IFS(BF483&lt;TIMEVALUE("06:00"),"Night", BF483&gt;=TIMEVALUE("21:00"),"Night",BF483&gt;=TIMEVALUE("17:00"),"Evening",BF483&gt;=TIMEVALUE("12:00"),"Afternoon", BF483&gt;=TIMEVALUE("06:00"),"Morning")</f>
        <v>Evening</v>
      </c>
      <c r="BH483" s="2">
        <v>2015</v>
      </c>
      <c r="BI483" s="2" t="s">
        <v>533</v>
      </c>
      <c r="BJ483" s="2">
        <v>28</v>
      </c>
    </row>
    <row r="484" spans="1:62" x14ac:dyDescent="0.3">
      <c r="A484" s="2" t="s">
        <v>121</v>
      </c>
      <c r="B484" s="2">
        <v>2</v>
      </c>
      <c r="C484" s="2">
        <v>2</v>
      </c>
      <c r="D484" s="2">
        <v>0</v>
      </c>
      <c r="E484" s="2">
        <v>126.68</v>
      </c>
      <c r="F484" s="2" t="s">
        <v>100</v>
      </c>
      <c r="G484" s="2" t="s">
        <v>64</v>
      </c>
      <c r="H484" s="2">
        <v>13</v>
      </c>
      <c r="I484" s="2" t="s">
        <v>464</v>
      </c>
      <c r="J484" s="2" t="s">
        <v>66</v>
      </c>
      <c r="K484" s="2" t="s">
        <v>67</v>
      </c>
      <c r="L484" s="2" t="s">
        <v>1240</v>
      </c>
      <c r="M484" s="2">
        <v>12221</v>
      </c>
      <c r="N484" s="2" t="s">
        <v>612</v>
      </c>
      <c r="O484" s="2" t="s">
        <v>113</v>
      </c>
      <c r="P484" s="2" t="s">
        <v>71</v>
      </c>
      <c r="Q484" s="2" t="s">
        <v>2443</v>
      </c>
      <c r="R484" s="2">
        <v>725</v>
      </c>
      <c r="S484" s="2">
        <v>3</v>
      </c>
      <c r="T484" s="2" t="s">
        <v>466</v>
      </c>
      <c r="U484" s="2">
        <v>18.2368469</v>
      </c>
      <c r="V484" s="2">
        <v>-66.370605499999996</v>
      </c>
      <c r="W484" s="2" t="s">
        <v>528</v>
      </c>
      <c r="X484" s="2" t="s">
        <v>1706</v>
      </c>
      <c r="Y484" s="2" t="s">
        <v>536</v>
      </c>
      <c r="Z484" s="2">
        <v>12221</v>
      </c>
      <c r="AA484" s="3">
        <v>42194.181944444441</v>
      </c>
      <c r="AB484" s="2">
        <v>17071</v>
      </c>
      <c r="AC484" s="2">
        <v>276</v>
      </c>
      <c r="AD484" s="2">
        <v>1.28</v>
      </c>
      <c r="AE484" s="2">
        <v>0.01</v>
      </c>
      <c r="AF484" s="2" t="str" cm="1">
        <f t="array" ref="AF484">_xlfn.IFS(AE484=0, "No Discount ", AE484&lt;=0.08,"Low Discount", AE484&lt;=0.16,"Medium Discount", AE484&gt;0.16, "High Discount")</f>
        <v>Low Discount</v>
      </c>
      <c r="AG484" s="2">
        <v>42688</v>
      </c>
      <c r="AH484" s="2">
        <v>31.99</v>
      </c>
      <c r="AI484" s="2">
        <v>0</v>
      </c>
      <c r="AJ484" s="2" t="str" cm="1">
        <f t="array" ref="AJ484">_xlfn.IFS(AI484&lt;=0, "No Profit", AI484&lt;=0.16,"Low Profit",AI484&lt;=0.32,"Medium Profit",AI484&gt;0.32,"High Profit")</f>
        <v>No Profit</v>
      </c>
      <c r="AK484" s="2">
        <v>4</v>
      </c>
      <c r="AL484" s="2">
        <v>127.96</v>
      </c>
      <c r="AM484" s="2">
        <v>126.68</v>
      </c>
      <c r="AN484" s="2">
        <v>0</v>
      </c>
      <c r="AO484" s="2" t="s">
        <v>531</v>
      </c>
      <c r="AP484" s="2" t="s">
        <v>1708</v>
      </c>
      <c r="AQ484" s="2" t="s">
        <v>127</v>
      </c>
      <c r="AR484" s="2" t="s">
        <v>81</v>
      </c>
      <c r="AS484" s="2">
        <v>276</v>
      </c>
      <c r="AT484" s="2">
        <v>13</v>
      </c>
      <c r="AU484" s="2" t="s">
        <v>2444</v>
      </c>
      <c r="AV484" s="2">
        <v>31.99</v>
      </c>
      <c r="AW484" s="2">
        <v>0</v>
      </c>
      <c r="AX484" s="3">
        <v>42256.181944444441</v>
      </c>
      <c r="AY484" s="2" t="s">
        <v>162</v>
      </c>
      <c r="AZ484" s="4">
        <v>42194</v>
      </c>
      <c r="BA484" s="5">
        <v>0.18194444444444444</v>
      </c>
      <c r="BB484" s="2">
        <v>2015</v>
      </c>
      <c r="BC484" s="2" t="s">
        <v>533</v>
      </c>
      <c r="BD484" s="2">
        <v>9</v>
      </c>
      <c r="BE484" s="4">
        <v>42256</v>
      </c>
      <c r="BF484" s="5">
        <v>0.18194444444444444</v>
      </c>
      <c r="BG484" s="2" t="str" cm="1">
        <f t="array" ref="BG484">_xlfn.IFS(BF484&lt;TIMEVALUE("06:00"),"Night", BF484&gt;=TIMEVALUE("21:00"),"Night",BF484&gt;=TIMEVALUE("17:00"),"Evening",BF484&gt;=TIMEVALUE("12:00"),"Afternoon", BF484&gt;=TIMEVALUE("06:00"),"Morning")</f>
        <v>Night</v>
      </c>
      <c r="BH484" s="2">
        <v>2015</v>
      </c>
      <c r="BI484" s="2" t="s">
        <v>552</v>
      </c>
      <c r="BJ484" s="2">
        <v>9</v>
      </c>
    </row>
    <row r="485" spans="1:62" x14ac:dyDescent="0.3">
      <c r="A485" s="2" t="s">
        <v>121</v>
      </c>
      <c r="B485" s="2">
        <v>2</v>
      </c>
      <c r="C485" s="2">
        <v>2</v>
      </c>
      <c r="D485" s="2">
        <v>141.11000000000001</v>
      </c>
      <c r="E485" s="2">
        <v>391.96</v>
      </c>
      <c r="F485" s="2" t="s">
        <v>100</v>
      </c>
      <c r="G485" s="2" t="s">
        <v>64</v>
      </c>
      <c r="H485" s="2">
        <v>9</v>
      </c>
      <c r="I485" s="2" t="s">
        <v>496</v>
      </c>
      <c r="J485" s="2" t="s">
        <v>66</v>
      </c>
      <c r="K485" s="2" t="s">
        <v>67</v>
      </c>
      <c r="L485" s="2" t="s">
        <v>414</v>
      </c>
      <c r="M485" s="2">
        <v>9415</v>
      </c>
      <c r="N485" s="2" t="s">
        <v>1223</v>
      </c>
      <c r="O485" s="2" t="s">
        <v>113</v>
      </c>
      <c r="P485" s="2" t="s">
        <v>71</v>
      </c>
      <c r="Q485" s="2" t="s">
        <v>2445</v>
      </c>
      <c r="R485" s="2">
        <v>725</v>
      </c>
      <c r="S485" s="2">
        <v>3</v>
      </c>
      <c r="T485" s="2" t="s">
        <v>466</v>
      </c>
      <c r="U485" s="2">
        <v>18.244962699999999</v>
      </c>
      <c r="V485" s="2">
        <v>-66.370590199999995</v>
      </c>
      <c r="W485" s="2" t="s">
        <v>528</v>
      </c>
      <c r="X485" s="2" t="s">
        <v>2446</v>
      </c>
      <c r="Y485" s="2" t="s">
        <v>530</v>
      </c>
      <c r="Z485" s="2">
        <v>9415</v>
      </c>
      <c r="AA485" s="2" t="s">
        <v>2447</v>
      </c>
      <c r="AB485" s="2">
        <v>11321</v>
      </c>
      <c r="AC485" s="2">
        <v>191</v>
      </c>
      <c r="AD485" s="2">
        <v>8</v>
      </c>
      <c r="AE485" s="2">
        <v>0.02</v>
      </c>
      <c r="AF485" s="2" t="str" cm="1">
        <f t="array" ref="AF485">_xlfn.IFS(AE485=0, "No Discount ", AE485&lt;=0.08,"Low Discount", AE485&lt;=0.16,"Medium Discount", AE485&gt;0.16, "High Discount")</f>
        <v>Low Discount</v>
      </c>
      <c r="AG485" s="2">
        <v>28304</v>
      </c>
      <c r="AH485" s="2">
        <v>99.99</v>
      </c>
      <c r="AI485" s="2">
        <v>0.36</v>
      </c>
      <c r="AJ485" s="2" t="str" cm="1">
        <f t="array" ref="AJ485">_xlfn.IFS(AI485&lt;=0, "No Profit", AI485&lt;=0.16,"Low Profit",AI485&lt;=0.32,"Medium Profit",AI485&gt;0.32,"High Profit")</f>
        <v>High Profit</v>
      </c>
      <c r="AK485" s="2">
        <v>4</v>
      </c>
      <c r="AL485" s="2">
        <v>399.96</v>
      </c>
      <c r="AM485" s="2">
        <v>391.96</v>
      </c>
      <c r="AN485" s="2">
        <v>141.11000000000001</v>
      </c>
      <c r="AO485" s="2" t="s">
        <v>531</v>
      </c>
      <c r="AP485" s="2" t="s">
        <v>914</v>
      </c>
      <c r="AQ485" s="2" t="s">
        <v>127</v>
      </c>
      <c r="AR485" s="2" t="s">
        <v>81</v>
      </c>
      <c r="AS485" s="2">
        <v>191</v>
      </c>
      <c r="AT485" s="2">
        <v>9</v>
      </c>
      <c r="AU485" s="2" t="s">
        <v>505</v>
      </c>
      <c r="AV485" s="2">
        <v>99.99</v>
      </c>
      <c r="AW485" s="2">
        <v>0</v>
      </c>
      <c r="AX485" s="2" t="s">
        <v>2448</v>
      </c>
      <c r="AY485" s="2" t="s">
        <v>162</v>
      </c>
      <c r="AZ485" s="4">
        <v>42170</v>
      </c>
      <c r="BA485" s="5">
        <v>0.24583333333333332</v>
      </c>
      <c r="BB485" s="2">
        <v>2015</v>
      </c>
      <c r="BC485" s="2" t="s">
        <v>474</v>
      </c>
      <c r="BD485" s="2">
        <v>15</v>
      </c>
      <c r="BE485" s="4">
        <v>42172</v>
      </c>
      <c r="BF485" s="5">
        <v>0.24583333333333332</v>
      </c>
      <c r="BG485" s="2" t="str" cm="1">
        <f t="array" ref="BG485">_xlfn.IFS(BF485&lt;TIMEVALUE("06:00"),"Night", BF485&gt;=TIMEVALUE("21:00"),"Night",BF485&gt;=TIMEVALUE("17:00"),"Evening",BF485&gt;=TIMEVALUE("12:00"),"Afternoon", BF485&gt;=TIMEVALUE("06:00"),"Morning")</f>
        <v>Night</v>
      </c>
      <c r="BH485" s="2">
        <v>2015</v>
      </c>
      <c r="BI485" s="2" t="s">
        <v>474</v>
      </c>
      <c r="BJ485" s="2">
        <v>17</v>
      </c>
    </row>
    <row r="486" spans="1:62" x14ac:dyDescent="0.3">
      <c r="A486" s="2" t="s">
        <v>121</v>
      </c>
      <c r="B486" s="2">
        <v>4</v>
      </c>
      <c r="C486" s="2">
        <v>2</v>
      </c>
      <c r="D486" s="2">
        <v>77.05</v>
      </c>
      <c r="E486" s="2">
        <v>227.96</v>
      </c>
      <c r="F486" s="2" t="s">
        <v>87</v>
      </c>
      <c r="G486" s="2" t="s">
        <v>88</v>
      </c>
      <c r="H486" s="2">
        <v>17</v>
      </c>
      <c r="I486" s="2" t="s">
        <v>412</v>
      </c>
      <c r="J486" s="2" t="s">
        <v>66</v>
      </c>
      <c r="K486" s="2" t="s">
        <v>67</v>
      </c>
      <c r="L486" s="2" t="s">
        <v>570</v>
      </c>
      <c r="M486" s="2">
        <v>10018</v>
      </c>
      <c r="N486" s="2" t="s">
        <v>571</v>
      </c>
      <c r="O486" s="2" t="s">
        <v>113</v>
      </c>
      <c r="P486" s="2" t="s">
        <v>71</v>
      </c>
      <c r="Q486" s="2" t="s">
        <v>572</v>
      </c>
      <c r="R486" s="2">
        <v>725</v>
      </c>
      <c r="S486" s="2">
        <v>4</v>
      </c>
      <c r="T486" s="2" t="s">
        <v>417</v>
      </c>
      <c r="U486" s="2">
        <v>18.240697900000001</v>
      </c>
      <c r="V486" s="2">
        <v>-66.370559700000001</v>
      </c>
      <c r="W486" s="2" t="s">
        <v>528</v>
      </c>
      <c r="X486" s="2" t="s">
        <v>573</v>
      </c>
      <c r="Y486" s="2" t="s">
        <v>557</v>
      </c>
      <c r="Z486" s="2">
        <v>10018</v>
      </c>
      <c r="AA486" s="3">
        <v>42833.104861111111</v>
      </c>
      <c r="AB486" s="2">
        <v>64813</v>
      </c>
      <c r="AC486" s="2">
        <v>365</v>
      </c>
      <c r="AD486" s="2">
        <v>12</v>
      </c>
      <c r="AE486" s="2">
        <v>0.05</v>
      </c>
      <c r="AF486" s="2" t="str" cm="1">
        <f t="array" ref="AF486">_xlfn.IFS(AE486=0, "No Discount ", AE486&lt;=0.08,"Low Discount", AE486&lt;=0.16,"Medium Discount", AE486&gt;0.16, "High Discount")</f>
        <v>Low Discount</v>
      </c>
      <c r="AG486" s="2">
        <v>162010</v>
      </c>
      <c r="AH486" s="2">
        <v>59.99</v>
      </c>
      <c r="AI486" s="2">
        <v>0.34</v>
      </c>
      <c r="AJ486" s="2" t="str" cm="1">
        <f t="array" ref="AJ486">_xlfn.IFS(AI486&lt;=0, "No Profit", AI486&lt;=0.16,"Low Profit",AI486&lt;=0.32,"Medium Profit",AI486&gt;0.32,"High Profit")</f>
        <v>High Profit</v>
      </c>
      <c r="AK486" s="2">
        <v>4</v>
      </c>
      <c r="AL486" s="2">
        <v>239.96</v>
      </c>
      <c r="AM486" s="2">
        <v>227.96</v>
      </c>
      <c r="AN486" s="2">
        <v>77.05</v>
      </c>
      <c r="AO486" s="2" t="s">
        <v>558</v>
      </c>
      <c r="AP486" s="2" t="s">
        <v>559</v>
      </c>
      <c r="AQ486" s="2" t="s">
        <v>127</v>
      </c>
      <c r="AR486" s="2" t="s">
        <v>81</v>
      </c>
      <c r="AS486" s="2">
        <v>365</v>
      </c>
      <c r="AT486" s="2">
        <v>17</v>
      </c>
      <c r="AU486" s="2" t="s">
        <v>421</v>
      </c>
      <c r="AV486" s="2">
        <v>59.99</v>
      </c>
      <c r="AW486" s="2">
        <v>0</v>
      </c>
      <c r="AX486" s="3">
        <v>42955.104861111111</v>
      </c>
      <c r="AY486" s="2" t="s">
        <v>162</v>
      </c>
      <c r="AZ486" s="4">
        <v>42833</v>
      </c>
      <c r="BA486" s="5">
        <v>0.10486111111111111</v>
      </c>
      <c r="BB486" s="2">
        <v>2017</v>
      </c>
      <c r="BC486" s="2" t="s">
        <v>487</v>
      </c>
      <c r="BD486" s="2">
        <v>8</v>
      </c>
      <c r="BE486" s="4">
        <v>42955</v>
      </c>
      <c r="BF486" s="5">
        <v>0.10486111111111111</v>
      </c>
      <c r="BG486" s="2" t="str" cm="1">
        <f t="array" ref="BG486">_xlfn.IFS(BF486&lt;TIMEVALUE("06:00"),"Night", BF486&gt;=TIMEVALUE("21:00"),"Night",BF486&gt;=TIMEVALUE("17:00"),"Evening",BF486&gt;=TIMEVALUE("12:00"),"Afternoon", BF486&gt;=TIMEVALUE("06:00"),"Morning")</f>
        <v>Night</v>
      </c>
      <c r="BH486" s="2">
        <v>2017</v>
      </c>
      <c r="BI486" s="2" t="s">
        <v>482</v>
      </c>
      <c r="BJ486" s="2">
        <v>8</v>
      </c>
    </row>
    <row r="487" spans="1:62" x14ac:dyDescent="0.3">
      <c r="A487" s="2" t="s">
        <v>121</v>
      </c>
      <c r="B487" s="2">
        <v>3</v>
      </c>
      <c r="C487" s="2">
        <v>2</v>
      </c>
      <c r="D487" s="2">
        <v>58.45</v>
      </c>
      <c r="E487" s="2">
        <v>201.57</v>
      </c>
      <c r="F487" s="2" t="s">
        <v>87</v>
      </c>
      <c r="G487" s="2" t="s">
        <v>88</v>
      </c>
      <c r="H487" s="2">
        <v>17</v>
      </c>
      <c r="I487" s="2" t="s">
        <v>412</v>
      </c>
      <c r="J487" s="2" t="s">
        <v>66</v>
      </c>
      <c r="K487" s="2" t="s">
        <v>67</v>
      </c>
      <c r="L487" s="2" t="s">
        <v>414</v>
      </c>
      <c r="M487" s="2">
        <v>54</v>
      </c>
      <c r="N487" s="2" t="s">
        <v>560</v>
      </c>
      <c r="O487" s="2" t="s">
        <v>113</v>
      </c>
      <c r="P487" s="2" t="s">
        <v>71</v>
      </c>
      <c r="Q487" s="2" t="s">
        <v>561</v>
      </c>
      <c r="R487" s="2">
        <v>725</v>
      </c>
      <c r="S487" s="2">
        <v>4</v>
      </c>
      <c r="T487" s="2" t="s">
        <v>417</v>
      </c>
      <c r="U487" s="2">
        <v>18.025381100000001</v>
      </c>
      <c r="V487" s="2">
        <v>-66.615081799999999</v>
      </c>
      <c r="W487" s="2" t="s">
        <v>528</v>
      </c>
      <c r="X487" s="2" t="s">
        <v>562</v>
      </c>
      <c r="Y487" s="2" t="s">
        <v>557</v>
      </c>
      <c r="Z487" s="2">
        <v>54</v>
      </c>
      <c r="AA487" s="3">
        <v>42225.510416666664</v>
      </c>
      <c r="AB487" s="2">
        <v>17162</v>
      </c>
      <c r="AC487" s="2">
        <v>365</v>
      </c>
      <c r="AD487" s="2">
        <v>38.39</v>
      </c>
      <c r="AE487" s="2">
        <v>0.16</v>
      </c>
      <c r="AF487" s="2" t="str" cm="1">
        <f t="array" ref="AF487">_xlfn.IFS(AE487=0, "No Discount ", AE487&lt;=0.08,"Low Discount", AE487&lt;=0.16,"Medium Discount", AE487&gt;0.16, "High Discount")</f>
        <v>Medium Discount</v>
      </c>
      <c r="AG487" s="2">
        <v>42917</v>
      </c>
      <c r="AH487" s="2">
        <v>59.99</v>
      </c>
      <c r="AI487" s="2">
        <v>0.28999999999999998</v>
      </c>
      <c r="AJ487" s="2" t="str" cm="1">
        <f t="array" ref="AJ487">_xlfn.IFS(AI487&lt;=0, "No Profit", AI487&lt;=0.16,"Low Profit",AI487&lt;=0.32,"Medium Profit",AI487&gt;0.32,"High Profit")</f>
        <v>Medium Profit</v>
      </c>
      <c r="AK487" s="2">
        <v>4</v>
      </c>
      <c r="AL487" s="2">
        <v>239.96</v>
      </c>
      <c r="AM487" s="2">
        <v>201.57</v>
      </c>
      <c r="AN487" s="2">
        <v>58.45</v>
      </c>
      <c r="AO487" s="2" t="s">
        <v>558</v>
      </c>
      <c r="AP487" s="2" t="s">
        <v>559</v>
      </c>
      <c r="AQ487" s="2" t="s">
        <v>127</v>
      </c>
      <c r="AR487" s="2" t="s">
        <v>81</v>
      </c>
      <c r="AS487" s="2">
        <v>365</v>
      </c>
      <c r="AT487" s="2">
        <v>17</v>
      </c>
      <c r="AU487" s="2" t="s">
        <v>421</v>
      </c>
      <c r="AV487" s="2">
        <v>59.99</v>
      </c>
      <c r="AW487" s="2">
        <v>0</v>
      </c>
      <c r="AX487" s="3">
        <v>42317.510416666664</v>
      </c>
      <c r="AY487" s="2" t="s">
        <v>162</v>
      </c>
      <c r="AZ487" s="4">
        <v>42225</v>
      </c>
      <c r="BA487" s="5">
        <v>0.51041666666666663</v>
      </c>
      <c r="BB487" s="2">
        <v>2015</v>
      </c>
      <c r="BC487" s="2" t="s">
        <v>482</v>
      </c>
      <c r="BD487" s="2">
        <v>9</v>
      </c>
      <c r="BE487" s="4">
        <v>42317</v>
      </c>
      <c r="BF487" s="5">
        <v>0.51041666666666663</v>
      </c>
      <c r="BG487" s="2" t="str" cm="1">
        <f t="array" ref="BG487">_xlfn.IFS(BF487&lt;TIMEVALUE("06:00"),"Night", BF487&gt;=TIMEVALUE("21:00"),"Night",BF487&gt;=TIMEVALUE("17:00"),"Evening",BF487&gt;=TIMEVALUE("12:00"),"Afternoon", BF487&gt;=TIMEVALUE("06:00"),"Morning")</f>
        <v>Afternoon</v>
      </c>
      <c r="BH487" s="2">
        <v>2015</v>
      </c>
      <c r="BI487" s="2" t="s">
        <v>455</v>
      </c>
      <c r="BJ487" s="2">
        <v>9</v>
      </c>
    </row>
    <row r="488" spans="1:62" x14ac:dyDescent="0.3">
      <c r="A488" s="2" t="s">
        <v>121</v>
      </c>
      <c r="B488" s="2">
        <v>3</v>
      </c>
      <c r="C488" s="2">
        <v>2</v>
      </c>
      <c r="D488" s="2">
        <v>17.739999999999998</v>
      </c>
      <c r="E488" s="2">
        <v>201.57</v>
      </c>
      <c r="F488" s="2" t="s">
        <v>87</v>
      </c>
      <c r="G488" s="2" t="s">
        <v>88</v>
      </c>
      <c r="H488" s="2">
        <v>17</v>
      </c>
      <c r="I488" s="2" t="s">
        <v>412</v>
      </c>
      <c r="J488" s="2" t="s">
        <v>66</v>
      </c>
      <c r="K488" s="2" t="s">
        <v>67</v>
      </c>
      <c r="L488" s="2" t="s">
        <v>414</v>
      </c>
      <c r="M488" s="2">
        <v>542</v>
      </c>
      <c r="N488" s="2" t="s">
        <v>425</v>
      </c>
      <c r="O488" s="2" t="s">
        <v>113</v>
      </c>
      <c r="P488" s="2" t="s">
        <v>71</v>
      </c>
      <c r="Q488" s="2" t="s">
        <v>527</v>
      </c>
      <c r="R488" s="2">
        <v>725</v>
      </c>
      <c r="S488" s="2">
        <v>4</v>
      </c>
      <c r="T488" s="2" t="s">
        <v>417</v>
      </c>
      <c r="U488" s="2">
        <v>18.3592148</v>
      </c>
      <c r="V488" s="2">
        <v>-66.077796899999996</v>
      </c>
      <c r="W488" s="2" t="s">
        <v>528</v>
      </c>
      <c r="X488" s="2" t="s">
        <v>529</v>
      </c>
      <c r="Y488" s="2" t="s">
        <v>530</v>
      </c>
      <c r="Z488" s="2">
        <v>542</v>
      </c>
      <c r="AA488" s="3">
        <v>42192.229861111111</v>
      </c>
      <c r="AB488" s="2">
        <v>12827</v>
      </c>
      <c r="AC488" s="2">
        <v>365</v>
      </c>
      <c r="AD488" s="2">
        <v>38.39</v>
      </c>
      <c r="AE488" s="2">
        <v>0.16</v>
      </c>
      <c r="AF488" s="2" t="str" cm="1">
        <f t="array" ref="AF488">_xlfn.IFS(AE488=0, "No Discount ", AE488&lt;=0.08,"Low Discount", AE488&lt;=0.16,"Medium Discount", AE488&gt;0.16, "High Discount")</f>
        <v>Medium Discount</v>
      </c>
      <c r="AG488" s="2">
        <v>32070</v>
      </c>
      <c r="AH488" s="2">
        <v>59.99</v>
      </c>
      <c r="AI488" s="2">
        <v>0.09</v>
      </c>
      <c r="AJ488" s="2" t="str" cm="1">
        <f t="array" ref="AJ488">_xlfn.IFS(AI488&lt;=0, "No Profit", AI488&lt;=0.16,"Low Profit",AI488&lt;=0.32,"Medium Profit",AI488&gt;0.32,"High Profit")</f>
        <v>Low Profit</v>
      </c>
      <c r="AK488" s="2">
        <v>4</v>
      </c>
      <c r="AL488" s="2">
        <v>239.96</v>
      </c>
      <c r="AM488" s="2">
        <v>201.57</v>
      </c>
      <c r="AN488" s="2">
        <v>17.739999999999998</v>
      </c>
      <c r="AO488" s="2" t="s">
        <v>531</v>
      </c>
      <c r="AP488" s="2" t="s">
        <v>532</v>
      </c>
      <c r="AQ488" s="2" t="s">
        <v>127</v>
      </c>
      <c r="AR488" s="2" t="s">
        <v>81</v>
      </c>
      <c r="AS488" s="2">
        <v>365</v>
      </c>
      <c r="AT488" s="2">
        <v>17</v>
      </c>
      <c r="AU488" s="2" t="s">
        <v>421</v>
      </c>
      <c r="AV488" s="2">
        <v>59.99</v>
      </c>
      <c r="AW488" s="2">
        <v>0</v>
      </c>
      <c r="AX488" s="3">
        <v>42284.229861111111</v>
      </c>
      <c r="AY488" s="2" t="s">
        <v>162</v>
      </c>
      <c r="AZ488" s="4">
        <v>42192</v>
      </c>
      <c r="BA488" s="5">
        <v>0.2298611111111111</v>
      </c>
      <c r="BB488" s="2">
        <v>2015</v>
      </c>
      <c r="BC488" s="2" t="s">
        <v>533</v>
      </c>
      <c r="BD488" s="2">
        <v>7</v>
      </c>
      <c r="BE488" s="4">
        <v>42284</v>
      </c>
      <c r="BF488" s="5">
        <v>0.2298611111111111</v>
      </c>
      <c r="BG488" s="2" t="str" cm="1">
        <f t="array" ref="BG488">_xlfn.IFS(BF488&lt;TIMEVALUE("06:00"),"Night", BF488&gt;=TIMEVALUE("21:00"),"Night",BF488&gt;=TIMEVALUE("17:00"),"Evening",BF488&gt;=TIMEVALUE("12:00"),"Afternoon", BF488&gt;=TIMEVALUE("06:00"),"Morning")</f>
        <v>Night</v>
      </c>
      <c r="BH488" s="2">
        <v>2015</v>
      </c>
      <c r="BI488" s="2" t="s">
        <v>434</v>
      </c>
      <c r="BJ488" s="2">
        <v>7</v>
      </c>
    </row>
    <row r="489" spans="1:62" x14ac:dyDescent="0.3">
      <c r="A489" s="2" t="s">
        <v>121</v>
      </c>
      <c r="B489" s="2">
        <v>2</v>
      </c>
      <c r="C489" s="2">
        <v>2</v>
      </c>
      <c r="D489" s="2">
        <v>-146.6</v>
      </c>
      <c r="E489" s="2">
        <v>200</v>
      </c>
      <c r="F489" s="2" t="s">
        <v>100</v>
      </c>
      <c r="G489" s="2" t="s">
        <v>64</v>
      </c>
      <c r="H489" s="2">
        <v>24</v>
      </c>
      <c r="I489" s="2" t="s">
        <v>435</v>
      </c>
      <c r="J489" s="2" t="s">
        <v>66</v>
      </c>
      <c r="K489" s="2" t="s">
        <v>67</v>
      </c>
      <c r="L489" s="2" t="s">
        <v>1486</v>
      </c>
      <c r="M489" s="2">
        <v>724</v>
      </c>
      <c r="N489" s="2" t="s">
        <v>2449</v>
      </c>
      <c r="O489" s="2" t="s">
        <v>113</v>
      </c>
      <c r="P489" s="2" t="s">
        <v>71</v>
      </c>
      <c r="Q489" s="2" t="s">
        <v>2450</v>
      </c>
      <c r="R489" s="2">
        <v>725</v>
      </c>
      <c r="S489" s="2">
        <v>5</v>
      </c>
      <c r="T489" s="2" t="s">
        <v>427</v>
      </c>
      <c r="U489" s="2">
        <v>18.227573400000001</v>
      </c>
      <c r="V489" s="2">
        <v>-66.043579100000002</v>
      </c>
      <c r="W489" s="2" t="s">
        <v>528</v>
      </c>
      <c r="X489" s="2" t="s">
        <v>2451</v>
      </c>
      <c r="Y489" s="2" t="s">
        <v>536</v>
      </c>
      <c r="Z489" s="2">
        <v>724</v>
      </c>
      <c r="AA489" s="2" t="s">
        <v>2452</v>
      </c>
      <c r="AB489" s="2">
        <v>11936</v>
      </c>
      <c r="AC489" s="2">
        <v>502</v>
      </c>
      <c r="AD489" s="2">
        <v>0</v>
      </c>
      <c r="AE489" s="2">
        <v>0</v>
      </c>
      <c r="AF489" s="2" t="str" cm="1">
        <f t="array" ref="AF489">_xlfn.IFS(AE489=0, "No Discount ", AE489&lt;=0.08,"Low Discount", AE489&lt;=0.16,"Medium Discount", AE489&gt;0.16, "High Discount")</f>
        <v xml:space="preserve">No Discount </v>
      </c>
      <c r="AG489" s="2">
        <v>29833</v>
      </c>
      <c r="AH489" s="2">
        <v>50</v>
      </c>
      <c r="AI489" s="2">
        <v>-0.73</v>
      </c>
      <c r="AJ489" s="2" t="str" cm="1">
        <f t="array" ref="AJ489">_xlfn.IFS(AI489&lt;=0, "No Profit", AI489&lt;=0.16,"Low Profit",AI489&lt;=0.32,"Medium Profit",AI489&gt;0.32,"High Profit")</f>
        <v>No Profit</v>
      </c>
      <c r="AK489" s="2">
        <v>4</v>
      </c>
      <c r="AL489" s="2">
        <v>200</v>
      </c>
      <c r="AM489" s="2">
        <v>200</v>
      </c>
      <c r="AN489" s="2">
        <v>-146.6</v>
      </c>
      <c r="AO489" s="2" t="s">
        <v>531</v>
      </c>
      <c r="AP489" s="2" t="s">
        <v>538</v>
      </c>
      <c r="AQ489" s="2" t="s">
        <v>127</v>
      </c>
      <c r="AR489" s="2" t="s">
        <v>81</v>
      </c>
      <c r="AS489" s="2">
        <v>502</v>
      </c>
      <c r="AT489" s="2">
        <v>24</v>
      </c>
      <c r="AU489" s="2" t="s">
        <v>442</v>
      </c>
      <c r="AV489" s="2">
        <v>50</v>
      </c>
      <c r="AW489" s="2">
        <v>0</v>
      </c>
      <c r="AX489" s="2" t="s">
        <v>2453</v>
      </c>
      <c r="AY489" s="2" t="s">
        <v>162</v>
      </c>
      <c r="AZ489" s="4">
        <v>42179</v>
      </c>
      <c r="BA489" s="5">
        <v>0.22291666666666668</v>
      </c>
      <c r="BB489" s="2">
        <v>2015</v>
      </c>
      <c r="BC489" s="2" t="s">
        <v>474</v>
      </c>
      <c r="BD489" s="2">
        <v>24</v>
      </c>
      <c r="BE489" s="4">
        <v>42181</v>
      </c>
      <c r="BF489" s="5">
        <v>0.22291666666666668</v>
      </c>
      <c r="BG489" s="2" t="str" cm="1">
        <f t="array" ref="BG489">_xlfn.IFS(BF489&lt;TIMEVALUE("06:00"),"Night", BF489&gt;=TIMEVALUE("21:00"),"Night",BF489&gt;=TIMEVALUE("17:00"),"Evening",BF489&gt;=TIMEVALUE("12:00"),"Afternoon", BF489&gt;=TIMEVALUE("06:00"),"Morning")</f>
        <v>Night</v>
      </c>
      <c r="BH489" s="2">
        <v>2015</v>
      </c>
      <c r="BI489" s="2" t="s">
        <v>474</v>
      </c>
      <c r="BJ489" s="2">
        <v>26</v>
      </c>
    </row>
    <row r="490" spans="1:62" x14ac:dyDescent="0.3">
      <c r="A490" s="2" t="s">
        <v>121</v>
      </c>
      <c r="B490" s="2">
        <v>3</v>
      </c>
      <c r="C490" s="2">
        <v>2</v>
      </c>
      <c r="D490" s="2">
        <v>54.87</v>
      </c>
      <c r="E490" s="2">
        <v>156.76</v>
      </c>
      <c r="F490" s="2" t="s">
        <v>87</v>
      </c>
      <c r="G490" s="2" t="s">
        <v>88</v>
      </c>
      <c r="H490" s="2">
        <v>29</v>
      </c>
      <c r="I490" s="2" t="s">
        <v>424</v>
      </c>
      <c r="J490" s="2" t="s">
        <v>66</v>
      </c>
      <c r="K490" s="2" t="s">
        <v>67</v>
      </c>
      <c r="L490" s="2" t="s">
        <v>1297</v>
      </c>
      <c r="M490" s="2">
        <v>8897</v>
      </c>
      <c r="N490" s="2" t="s">
        <v>2454</v>
      </c>
      <c r="O490" s="2" t="s">
        <v>113</v>
      </c>
      <c r="P490" s="2" t="s">
        <v>71</v>
      </c>
      <c r="Q490" s="2" t="s">
        <v>2455</v>
      </c>
      <c r="R490" s="2">
        <v>725</v>
      </c>
      <c r="S490" s="2">
        <v>5</v>
      </c>
      <c r="T490" s="2" t="s">
        <v>427</v>
      </c>
      <c r="U490" s="2">
        <v>18.207059900000001</v>
      </c>
      <c r="V490" s="2">
        <v>-66.3705444</v>
      </c>
      <c r="W490" s="2" t="s">
        <v>528</v>
      </c>
      <c r="X490" s="2" t="s">
        <v>2456</v>
      </c>
      <c r="Y490" s="2" t="s">
        <v>536</v>
      </c>
      <c r="Z490" s="2">
        <v>8897</v>
      </c>
      <c r="AA490" s="2" t="s">
        <v>2457</v>
      </c>
      <c r="AB490" s="2">
        <v>68337</v>
      </c>
      <c r="AC490" s="2">
        <v>627</v>
      </c>
      <c r="AD490" s="2">
        <v>3.2</v>
      </c>
      <c r="AE490" s="2">
        <v>0.02</v>
      </c>
      <c r="AF490" s="2" t="str" cm="1">
        <f t="array" ref="AF490">_xlfn.IFS(AE490=0, "No Discount ", AE490&lt;=0.08,"Low Discount", AE490&lt;=0.16,"Medium Discount", AE490&gt;0.16, "High Discount")</f>
        <v>Low Discount</v>
      </c>
      <c r="AG490" s="2">
        <v>170841</v>
      </c>
      <c r="AH490" s="2">
        <v>39.99</v>
      </c>
      <c r="AI490" s="2">
        <v>0.35</v>
      </c>
      <c r="AJ490" s="2" t="str" cm="1">
        <f t="array" ref="AJ490">_xlfn.IFS(AI490&lt;=0, "No Profit", AI490&lt;=0.16,"Low Profit",AI490&lt;=0.32,"Medium Profit",AI490&gt;0.32,"High Profit")</f>
        <v>High Profit</v>
      </c>
      <c r="AK490" s="2">
        <v>4</v>
      </c>
      <c r="AL490" s="2">
        <v>159.96</v>
      </c>
      <c r="AM490" s="2">
        <v>156.76</v>
      </c>
      <c r="AN490" s="2">
        <v>54.87</v>
      </c>
      <c r="AO490" s="2" t="s">
        <v>531</v>
      </c>
      <c r="AP490" s="2" t="s">
        <v>1000</v>
      </c>
      <c r="AQ490" s="2" t="s">
        <v>127</v>
      </c>
      <c r="AR490" s="2" t="s">
        <v>81</v>
      </c>
      <c r="AS490" s="2">
        <v>627</v>
      </c>
      <c r="AT490" s="2">
        <v>29</v>
      </c>
      <c r="AU490" s="2" t="s">
        <v>432</v>
      </c>
      <c r="AV490" s="2">
        <v>39.99</v>
      </c>
      <c r="AW490" s="2">
        <v>0</v>
      </c>
      <c r="AX490" s="2" t="s">
        <v>2458</v>
      </c>
      <c r="AY490" s="2" t="s">
        <v>162</v>
      </c>
      <c r="AZ490" s="4">
        <v>43002</v>
      </c>
      <c r="BA490" s="5">
        <v>0.54722222222222228</v>
      </c>
      <c r="BB490" s="2">
        <v>2017</v>
      </c>
      <c r="BC490" s="2" t="s">
        <v>552</v>
      </c>
      <c r="BD490" s="2">
        <v>24</v>
      </c>
      <c r="BE490" s="4">
        <v>43005</v>
      </c>
      <c r="BF490" s="5">
        <v>0.54722222222222228</v>
      </c>
      <c r="BG490" s="2" t="str" cm="1">
        <f t="array" ref="BG490">_xlfn.IFS(BF490&lt;TIMEVALUE("06:00"),"Night", BF490&gt;=TIMEVALUE("21:00"),"Night",BF490&gt;=TIMEVALUE("17:00"),"Evening",BF490&gt;=TIMEVALUE("12:00"),"Afternoon", BF490&gt;=TIMEVALUE("06:00"),"Morning")</f>
        <v>Afternoon</v>
      </c>
      <c r="BH490" s="2">
        <v>2017</v>
      </c>
      <c r="BI490" s="2" t="s">
        <v>552</v>
      </c>
      <c r="BJ490" s="2">
        <v>27</v>
      </c>
    </row>
    <row r="491" spans="1:62" x14ac:dyDescent="0.3">
      <c r="A491" s="2" t="s">
        <v>121</v>
      </c>
      <c r="B491" s="2">
        <v>2</v>
      </c>
      <c r="C491" s="2">
        <v>2</v>
      </c>
      <c r="D491" s="2">
        <v>83.6</v>
      </c>
      <c r="E491" s="2">
        <v>190</v>
      </c>
      <c r="F491" s="2" t="s">
        <v>100</v>
      </c>
      <c r="G491" s="2" t="s">
        <v>64</v>
      </c>
      <c r="H491" s="2">
        <v>24</v>
      </c>
      <c r="I491" s="2" t="s">
        <v>435</v>
      </c>
      <c r="J491" s="2" t="s">
        <v>66</v>
      </c>
      <c r="K491" s="2" t="s">
        <v>67</v>
      </c>
      <c r="L491" s="2" t="s">
        <v>1202</v>
      </c>
      <c r="M491" s="2">
        <v>7112</v>
      </c>
      <c r="N491" s="2" t="s">
        <v>709</v>
      </c>
      <c r="O491" s="2" t="s">
        <v>113</v>
      </c>
      <c r="P491" s="2" t="s">
        <v>71</v>
      </c>
      <c r="Q491" s="2" t="s">
        <v>2459</v>
      </c>
      <c r="R491" s="2">
        <v>725</v>
      </c>
      <c r="S491" s="2">
        <v>5</v>
      </c>
      <c r="T491" s="2" t="s">
        <v>427</v>
      </c>
      <c r="U491" s="2">
        <v>18.249799700000001</v>
      </c>
      <c r="V491" s="2">
        <v>-66.370582600000006</v>
      </c>
      <c r="W491" s="2" t="s">
        <v>528</v>
      </c>
      <c r="X491" s="2" t="s">
        <v>2460</v>
      </c>
      <c r="Y491" s="2" t="s">
        <v>1802</v>
      </c>
      <c r="Z491" s="2">
        <v>7112</v>
      </c>
      <c r="AA491" s="2" t="s">
        <v>2461</v>
      </c>
      <c r="AB491" s="2">
        <v>45746</v>
      </c>
      <c r="AC491" s="2">
        <v>502</v>
      </c>
      <c r="AD491" s="2">
        <v>10</v>
      </c>
      <c r="AE491" s="2">
        <v>0.05</v>
      </c>
      <c r="AF491" s="2" t="str" cm="1">
        <f t="array" ref="AF491">_xlfn.IFS(AE491=0, "No Discount ", AE491&lt;=0.08,"Low Discount", AE491&lt;=0.16,"Medium Discount", AE491&gt;0.16, "High Discount")</f>
        <v>Low Discount</v>
      </c>
      <c r="AG491" s="2">
        <v>114342</v>
      </c>
      <c r="AH491" s="2">
        <v>50</v>
      </c>
      <c r="AI491" s="2">
        <v>0.44</v>
      </c>
      <c r="AJ491" s="2" t="str" cm="1">
        <f t="array" ref="AJ491">_xlfn.IFS(AI491&lt;=0, "No Profit", AI491&lt;=0.16,"Low Profit",AI491&lt;=0.32,"Medium Profit",AI491&gt;0.32,"High Profit")</f>
        <v>High Profit</v>
      </c>
      <c r="AK491" s="2">
        <v>4</v>
      </c>
      <c r="AL491" s="2">
        <v>200</v>
      </c>
      <c r="AM491" s="2">
        <v>190</v>
      </c>
      <c r="AN491" s="2">
        <v>83.6</v>
      </c>
      <c r="AO491" s="2" t="s">
        <v>1717</v>
      </c>
      <c r="AP491" s="2" t="s">
        <v>2460</v>
      </c>
      <c r="AQ491" s="2" t="s">
        <v>127</v>
      </c>
      <c r="AR491" s="2" t="s">
        <v>81</v>
      </c>
      <c r="AS491" s="2">
        <v>502</v>
      </c>
      <c r="AT491" s="2">
        <v>24</v>
      </c>
      <c r="AU491" s="2" t="s">
        <v>442</v>
      </c>
      <c r="AV491" s="2">
        <v>50</v>
      </c>
      <c r="AW491" s="2">
        <v>0</v>
      </c>
      <c r="AX491" s="2" t="s">
        <v>2462</v>
      </c>
      <c r="AY491" s="2" t="s">
        <v>162</v>
      </c>
      <c r="AZ491" s="4">
        <v>42672</v>
      </c>
      <c r="BA491" s="5">
        <v>0.77083333333333337</v>
      </c>
      <c r="BB491" s="2">
        <v>2016</v>
      </c>
      <c r="BC491" s="2" t="s">
        <v>434</v>
      </c>
      <c r="BD491" s="2">
        <v>29</v>
      </c>
      <c r="BE491" s="4">
        <v>42674</v>
      </c>
      <c r="BF491" s="5">
        <v>0.77083333333333337</v>
      </c>
      <c r="BG491" s="2" t="str" cm="1">
        <f t="array" ref="BG491">_xlfn.IFS(BF491&lt;TIMEVALUE("06:00"),"Night", BF491&gt;=TIMEVALUE("21:00"),"Night",BF491&gt;=TIMEVALUE("17:00"),"Evening",BF491&gt;=TIMEVALUE("12:00"),"Afternoon", BF491&gt;=TIMEVALUE("06:00"),"Morning")</f>
        <v>Evening</v>
      </c>
      <c r="BH491" s="2">
        <v>2016</v>
      </c>
      <c r="BI491" s="2" t="s">
        <v>434</v>
      </c>
      <c r="BJ491" s="2">
        <v>31</v>
      </c>
    </row>
    <row r="492" spans="1:62" x14ac:dyDescent="0.3">
      <c r="A492" s="2" t="s">
        <v>121</v>
      </c>
      <c r="B492" s="2">
        <v>4</v>
      </c>
      <c r="C492" s="2">
        <v>2</v>
      </c>
      <c r="D492" s="2">
        <v>85.05</v>
      </c>
      <c r="E492" s="2">
        <v>189</v>
      </c>
      <c r="F492" s="2" t="s">
        <v>87</v>
      </c>
      <c r="G492" s="2" t="s">
        <v>88</v>
      </c>
      <c r="H492" s="2">
        <v>24</v>
      </c>
      <c r="I492" s="2" t="s">
        <v>435</v>
      </c>
      <c r="J492" s="2" t="s">
        <v>66</v>
      </c>
      <c r="K492" s="2" t="s">
        <v>67</v>
      </c>
      <c r="L492" s="2" t="s">
        <v>570</v>
      </c>
      <c r="M492" s="2">
        <v>10018</v>
      </c>
      <c r="N492" s="2" t="s">
        <v>571</v>
      </c>
      <c r="O492" s="2" t="s">
        <v>113</v>
      </c>
      <c r="P492" s="2" t="s">
        <v>71</v>
      </c>
      <c r="Q492" s="2" t="s">
        <v>572</v>
      </c>
      <c r="R492" s="2">
        <v>725</v>
      </c>
      <c r="S492" s="2">
        <v>5</v>
      </c>
      <c r="T492" s="2" t="s">
        <v>427</v>
      </c>
      <c r="U492" s="2">
        <v>18.240697900000001</v>
      </c>
      <c r="V492" s="2">
        <v>-66.370559700000001</v>
      </c>
      <c r="W492" s="2" t="s">
        <v>528</v>
      </c>
      <c r="X492" s="2" t="s">
        <v>573</v>
      </c>
      <c r="Y492" s="2" t="s">
        <v>557</v>
      </c>
      <c r="Z492" s="2">
        <v>10018</v>
      </c>
      <c r="AA492" s="3">
        <v>42833.104861111111</v>
      </c>
      <c r="AB492" s="2">
        <v>64813</v>
      </c>
      <c r="AC492" s="2">
        <v>502</v>
      </c>
      <c r="AD492" s="2">
        <v>11</v>
      </c>
      <c r="AE492" s="2">
        <v>0.06</v>
      </c>
      <c r="AF492" s="2" t="str" cm="1">
        <f t="array" ref="AF492">_xlfn.IFS(AE492=0, "No Discount ", AE492&lt;=0.08,"Low Discount", AE492&lt;=0.16,"Medium Discount", AE492&gt;0.16, "High Discount")</f>
        <v>Low Discount</v>
      </c>
      <c r="AG492" s="2">
        <v>162011</v>
      </c>
      <c r="AH492" s="2">
        <v>50</v>
      </c>
      <c r="AI492" s="2">
        <v>0.45</v>
      </c>
      <c r="AJ492" s="2" t="str" cm="1">
        <f t="array" ref="AJ492">_xlfn.IFS(AI492&lt;=0, "No Profit", AI492&lt;=0.16,"Low Profit",AI492&lt;=0.32,"Medium Profit",AI492&gt;0.32,"High Profit")</f>
        <v>High Profit</v>
      </c>
      <c r="AK492" s="2">
        <v>4</v>
      </c>
      <c r="AL492" s="2">
        <v>200</v>
      </c>
      <c r="AM492" s="2">
        <v>189</v>
      </c>
      <c r="AN492" s="2">
        <v>85.05</v>
      </c>
      <c r="AO492" s="2" t="s">
        <v>558</v>
      </c>
      <c r="AP492" s="2" t="s">
        <v>559</v>
      </c>
      <c r="AQ492" s="2" t="s">
        <v>127</v>
      </c>
      <c r="AR492" s="2" t="s">
        <v>81</v>
      </c>
      <c r="AS492" s="2">
        <v>502</v>
      </c>
      <c r="AT492" s="2">
        <v>24</v>
      </c>
      <c r="AU492" s="2" t="s">
        <v>442</v>
      </c>
      <c r="AV492" s="2">
        <v>50</v>
      </c>
      <c r="AW492" s="2">
        <v>0</v>
      </c>
      <c r="AX492" s="3">
        <v>42955.104861111111</v>
      </c>
      <c r="AY492" s="2" t="s">
        <v>162</v>
      </c>
      <c r="AZ492" s="4">
        <v>42833</v>
      </c>
      <c r="BA492" s="5">
        <v>0.10486111111111111</v>
      </c>
      <c r="BB492" s="2">
        <v>2017</v>
      </c>
      <c r="BC492" s="2" t="s">
        <v>487</v>
      </c>
      <c r="BD492" s="2">
        <v>8</v>
      </c>
      <c r="BE492" s="4">
        <v>42955</v>
      </c>
      <c r="BF492" s="5">
        <v>0.10486111111111111</v>
      </c>
      <c r="BG492" s="2" t="str" cm="1">
        <f t="array" ref="BG492">_xlfn.IFS(BF492&lt;TIMEVALUE("06:00"),"Night", BF492&gt;=TIMEVALUE("21:00"),"Night",BF492&gt;=TIMEVALUE("17:00"),"Evening",BF492&gt;=TIMEVALUE("12:00"),"Afternoon", BF492&gt;=TIMEVALUE("06:00"),"Morning")</f>
        <v>Night</v>
      </c>
      <c r="BH492" s="2">
        <v>2017</v>
      </c>
      <c r="BI492" s="2" t="s">
        <v>482</v>
      </c>
      <c r="BJ492" s="2">
        <v>8</v>
      </c>
    </row>
    <row r="493" spans="1:62" x14ac:dyDescent="0.3">
      <c r="A493" s="2" t="s">
        <v>121</v>
      </c>
      <c r="B493" s="2">
        <v>2</v>
      </c>
      <c r="C493" s="2">
        <v>2</v>
      </c>
      <c r="D493" s="2">
        <v>-148.80000000000001</v>
      </c>
      <c r="E493" s="2">
        <v>186</v>
      </c>
      <c r="F493" s="2" t="s">
        <v>100</v>
      </c>
      <c r="G493" s="2" t="s">
        <v>64</v>
      </c>
      <c r="H493" s="2">
        <v>24</v>
      </c>
      <c r="I493" s="2" t="s">
        <v>435</v>
      </c>
      <c r="J493" s="2" t="s">
        <v>66</v>
      </c>
      <c r="K493" s="2" t="s">
        <v>67</v>
      </c>
      <c r="L493" s="2" t="s">
        <v>414</v>
      </c>
      <c r="M493" s="2">
        <v>1086</v>
      </c>
      <c r="N493" s="2" t="s">
        <v>425</v>
      </c>
      <c r="O493" s="2" t="s">
        <v>113</v>
      </c>
      <c r="P493" s="2" t="s">
        <v>71</v>
      </c>
      <c r="Q493" s="2" t="s">
        <v>2463</v>
      </c>
      <c r="R493" s="2">
        <v>725</v>
      </c>
      <c r="S493" s="2">
        <v>5</v>
      </c>
      <c r="T493" s="2" t="s">
        <v>427</v>
      </c>
      <c r="U493" s="2">
        <v>18.278791399999999</v>
      </c>
      <c r="V493" s="2">
        <v>-66.370575000000002</v>
      </c>
      <c r="W493" s="2" t="s">
        <v>528</v>
      </c>
      <c r="X493" s="2" t="s">
        <v>2464</v>
      </c>
      <c r="Y493" s="2" t="s">
        <v>557</v>
      </c>
      <c r="Z493" s="2">
        <v>1086</v>
      </c>
      <c r="AA493" s="2" t="s">
        <v>2465</v>
      </c>
      <c r="AB493" s="2">
        <v>13736</v>
      </c>
      <c r="AC493" s="2">
        <v>502</v>
      </c>
      <c r="AD493" s="2">
        <v>14</v>
      </c>
      <c r="AE493" s="2">
        <v>7.0000000000000007E-2</v>
      </c>
      <c r="AF493" s="2" t="str" cm="1">
        <f t="array" ref="AF493">_xlfn.IFS(AE493=0, "No Discount ", AE493&lt;=0.08,"Low Discount", AE493&lt;=0.16,"Medium Discount", AE493&gt;0.16, "High Discount")</f>
        <v>Low Discount</v>
      </c>
      <c r="AG493" s="2">
        <v>34400</v>
      </c>
      <c r="AH493" s="2">
        <v>50</v>
      </c>
      <c r="AI493" s="2">
        <v>-0.8</v>
      </c>
      <c r="AJ493" s="2" t="str" cm="1">
        <f t="array" ref="AJ493">_xlfn.IFS(AI493&lt;=0, "No Profit", AI493&lt;=0.16,"Low Profit",AI493&lt;=0.32,"Medium Profit",AI493&gt;0.32,"High Profit")</f>
        <v>No Profit</v>
      </c>
      <c r="AK493" s="2">
        <v>4</v>
      </c>
      <c r="AL493" s="2">
        <v>200</v>
      </c>
      <c r="AM493" s="2">
        <v>186</v>
      </c>
      <c r="AN493" s="2">
        <v>-148.80000000000001</v>
      </c>
      <c r="AO493" s="2" t="s">
        <v>558</v>
      </c>
      <c r="AP493" s="2" t="s">
        <v>559</v>
      </c>
      <c r="AQ493" s="2" t="s">
        <v>127</v>
      </c>
      <c r="AR493" s="2" t="s">
        <v>81</v>
      </c>
      <c r="AS493" s="2">
        <v>502</v>
      </c>
      <c r="AT493" s="2">
        <v>24</v>
      </c>
      <c r="AU493" s="2" t="s">
        <v>442</v>
      </c>
      <c r="AV493" s="2">
        <v>50</v>
      </c>
      <c r="AW493" s="2">
        <v>0</v>
      </c>
      <c r="AX493" s="2" t="s">
        <v>2466</v>
      </c>
      <c r="AY493" s="2" t="s">
        <v>162</v>
      </c>
      <c r="AZ493" s="4">
        <v>42205</v>
      </c>
      <c r="BA493" s="5">
        <v>0.49861111111111112</v>
      </c>
      <c r="BB493" s="2">
        <v>2015</v>
      </c>
      <c r="BC493" s="2" t="s">
        <v>533</v>
      </c>
      <c r="BD493" s="2">
        <v>20</v>
      </c>
      <c r="BE493" s="4">
        <v>42207</v>
      </c>
      <c r="BF493" s="5">
        <v>0.49861111111111112</v>
      </c>
      <c r="BG493" s="2" t="str" cm="1">
        <f t="array" ref="BG493">_xlfn.IFS(BF493&lt;TIMEVALUE("06:00"),"Night", BF493&gt;=TIMEVALUE("21:00"),"Night",BF493&gt;=TIMEVALUE("17:00"),"Evening",BF493&gt;=TIMEVALUE("12:00"),"Afternoon", BF493&gt;=TIMEVALUE("06:00"),"Morning")</f>
        <v>Morning</v>
      </c>
      <c r="BH493" s="2">
        <v>2015</v>
      </c>
      <c r="BI493" s="2" t="s">
        <v>533</v>
      </c>
      <c r="BJ493" s="2">
        <v>22</v>
      </c>
    </row>
    <row r="494" spans="1:62" x14ac:dyDescent="0.3">
      <c r="A494" s="2" t="s">
        <v>121</v>
      </c>
      <c r="B494" s="2">
        <v>3</v>
      </c>
      <c r="C494" s="2">
        <v>2</v>
      </c>
      <c r="D494" s="2">
        <v>-33.92</v>
      </c>
      <c r="E494" s="2">
        <v>145.56</v>
      </c>
      <c r="F494" s="2" t="s">
        <v>87</v>
      </c>
      <c r="G494" s="2" t="s">
        <v>88</v>
      </c>
      <c r="H494" s="2">
        <v>29</v>
      </c>
      <c r="I494" s="2" t="s">
        <v>424</v>
      </c>
      <c r="J494" s="2" t="s">
        <v>66</v>
      </c>
      <c r="K494" s="2" t="s">
        <v>67</v>
      </c>
      <c r="L494" s="2" t="s">
        <v>1202</v>
      </c>
      <c r="M494" s="2">
        <v>7112</v>
      </c>
      <c r="N494" s="2" t="s">
        <v>709</v>
      </c>
      <c r="O494" s="2" t="s">
        <v>113</v>
      </c>
      <c r="P494" s="2" t="s">
        <v>71</v>
      </c>
      <c r="Q494" s="2" t="s">
        <v>2459</v>
      </c>
      <c r="R494" s="2">
        <v>725</v>
      </c>
      <c r="S494" s="2">
        <v>5</v>
      </c>
      <c r="T494" s="2" t="s">
        <v>427</v>
      </c>
      <c r="U494" s="2">
        <v>18.249799700000001</v>
      </c>
      <c r="V494" s="2">
        <v>-66.370582600000006</v>
      </c>
      <c r="W494" s="2" t="s">
        <v>528</v>
      </c>
      <c r="X494" s="2" t="s">
        <v>2467</v>
      </c>
      <c r="Y494" s="2" t="s">
        <v>1715</v>
      </c>
      <c r="Z494" s="2">
        <v>7112</v>
      </c>
      <c r="AA494" s="2" t="s">
        <v>2468</v>
      </c>
      <c r="AB494" s="2">
        <v>49622</v>
      </c>
      <c r="AC494" s="2">
        <v>627</v>
      </c>
      <c r="AD494" s="2">
        <v>14.4</v>
      </c>
      <c r="AE494" s="2">
        <v>0.09</v>
      </c>
      <c r="AF494" s="2" t="str" cm="1">
        <f t="array" ref="AF494">_xlfn.IFS(AE494=0, "No Discount ", AE494&lt;=0.08,"Low Discount", AE494&lt;=0.16,"Medium Discount", AE494&gt;0.16, "High Discount")</f>
        <v>Medium Discount</v>
      </c>
      <c r="AG494" s="2">
        <v>124032</v>
      </c>
      <c r="AH494" s="2">
        <v>39.99</v>
      </c>
      <c r="AI494" s="2">
        <v>-0.23</v>
      </c>
      <c r="AJ494" s="2" t="str" cm="1">
        <f t="array" ref="AJ494">_xlfn.IFS(AI494&lt;=0, "No Profit", AI494&lt;=0.16,"Low Profit",AI494&lt;=0.32,"Medium Profit",AI494&gt;0.32,"High Profit")</f>
        <v>No Profit</v>
      </c>
      <c r="AK494" s="2">
        <v>4</v>
      </c>
      <c r="AL494" s="2">
        <v>159.96</v>
      </c>
      <c r="AM494" s="2">
        <v>145.56</v>
      </c>
      <c r="AN494" s="2">
        <v>-33.92</v>
      </c>
      <c r="AO494" s="2" t="s">
        <v>1717</v>
      </c>
      <c r="AP494" s="2" t="s">
        <v>2467</v>
      </c>
      <c r="AQ494" s="2" t="s">
        <v>127</v>
      </c>
      <c r="AR494" s="2" t="s">
        <v>81</v>
      </c>
      <c r="AS494" s="2">
        <v>627</v>
      </c>
      <c r="AT494" s="2">
        <v>29</v>
      </c>
      <c r="AU494" s="2" t="s">
        <v>432</v>
      </c>
      <c r="AV494" s="2">
        <v>39.99</v>
      </c>
      <c r="AW494" s="2">
        <v>0</v>
      </c>
      <c r="AX494" s="2" t="s">
        <v>2469</v>
      </c>
      <c r="AY494" s="2" t="s">
        <v>162</v>
      </c>
      <c r="AZ494" s="4">
        <v>42729</v>
      </c>
      <c r="BA494" s="5">
        <v>0.35138888888888886</v>
      </c>
      <c r="BB494" s="2">
        <v>2016</v>
      </c>
      <c r="BC494" s="2" t="s">
        <v>357</v>
      </c>
      <c r="BD494" s="2">
        <v>25</v>
      </c>
      <c r="BE494" s="4">
        <v>42732</v>
      </c>
      <c r="BF494" s="5">
        <v>0.35138888888888886</v>
      </c>
      <c r="BG494" s="2" t="str" cm="1">
        <f t="array" ref="BG494">_xlfn.IFS(BF494&lt;TIMEVALUE("06:00"),"Night", BF494&gt;=TIMEVALUE("21:00"),"Night",BF494&gt;=TIMEVALUE("17:00"),"Evening",BF494&gt;=TIMEVALUE("12:00"),"Afternoon", BF494&gt;=TIMEVALUE("06:00"),"Morning")</f>
        <v>Morning</v>
      </c>
      <c r="BH494" s="2">
        <v>2016</v>
      </c>
      <c r="BI494" s="2" t="s">
        <v>357</v>
      </c>
      <c r="BJ494" s="2">
        <v>28</v>
      </c>
    </row>
    <row r="495" spans="1:62" x14ac:dyDescent="0.3">
      <c r="A495" s="2" t="s">
        <v>121</v>
      </c>
      <c r="B495" s="2">
        <v>5</v>
      </c>
      <c r="C495" s="2">
        <v>2</v>
      </c>
      <c r="D495" s="2">
        <v>68.400000000000006</v>
      </c>
      <c r="E495" s="2">
        <v>180</v>
      </c>
      <c r="F495" s="2" t="s">
        <v>87</v>
      </c>
      <c r="G495" s="2" t="s">
        <v>88</v>
      </c>
      <c r="H495" s="2">
        <v>24</v>
      </c>
      <c r="I495" s="2" t="s">
        <v>435</v>
      </c>
      <c r="J495" s="2" t="s">
        <v>66</v>
      </c>
      <c r="K495" s="2" t="s">
        <v>67</v>
      </c>
      <c r="L495" s="2" t="s">
        <v>1364</v>
      </c>
      <c r="M495" s="2">
        <v>2916</v>
      </c>
      <c r="N495" s="2" t="s">
        <v>540</v>
      </c>
      <c r="O495" s="2" t="s">
        <v>113</v>
      </c>
      <c r="P495" s="2" t="s">
        <v>71</v>
      </c>
      <c r="Q495" s="2" t="s">
        <v>2470</v>
      </c>
      <c r="R495" s="2">
        <v>725</v>
      </c>
      <c r="S495" s="2">
        <v>5</v>
      </c>
      <c r="T495" s="2" t="s">
        <v>427</v>
      </c>
      <c r="U495" s="2">
        <v>18.244115799999999</v>
      </c>
      <c r="V495" s="2">
        <v>-66.370628400000001</v>
      </c>
      <c r="W495" s="2" t="s">
        <v>528</v>
      </c>
      <c r="X495" s="2" t="s">
        <v>946</v>
      </c>
      <c r="Y495" s="2" t="s">
        <v>557</v>
      </c>
      <c r="Z495" s="2">
        <v>2916</v>
      </c>
      <c r="AA495" s="3">
        <v>42318.822222222225</v>
      </c>
      <c r="AB495" s="2">
        <v>19444</v>
      </c>
      <c r="AC495" s="2">
        <v>502</v>
      </c>
      <c r="AD495" s="2">
        <v>20</v>
      </c>
      <c r="AE495" s="2">
        <v>0.1</v>
      </c>
      <c r="AF495" s="2" t="str" cm="1">
        <f t="array" ref="AF495">_xlfn.IFS(AE495=0, "No Discount ", AE495&lt;=0.08,"Low Discount", AE495&lt;=0.16,"Medium Discount", AE495&gt;0.16, "High Discount")</f>
        <v>Medium Discount</v>
      </c>
      <c r="AG495" s="2">
        <v>48596</v>
      </c>
      <c r="AH495" s="2">
        <v>50</v>
      </c>
      <c r="AI495" s="2">
        <v>0.38</v>
      </c>
      <c r="AJ495" s="2" t="str" cm="1">
        <f t="array" ref="AJ495">_xlfn.IFS(AI495&lt;=0, "No Profit", AI495&lt;=0.16,"Low Profit",AI495&lt;=0.32,"Medium Profit",AI495&gt;0.32,"High Profit")</f>
        <v>High Profit</v>
      </c>
      <c r="AK495" s="2">
        <v>4</v>
      </c>
      <c r="AL495" s="2">
        <v>200</v>
      </c>
      <c r="AM495" s="2">
        <v>180</v>
      </c>
      <c r="AN495" s="2">
        <v>68.400000000000006</v>
      </c>
      <c r="AO495" s="2" t="s">
        <v>558</v>
      </c>
      <c r="AP495" s="2" t="s">
        <v>559</v>
      </c>
      <c r="AQ495" s="2" t="s">
        <v>127</v>
      </c>
      <c r="AR495" s="2" t="s">
        <v>81</v>
      </c>
      <c r="AS495" s="2">
        <v>502</v>
      </c>
      <c r="AT495" s="2">
        <v>24</v>
      </c>
      <c r="AU495" s="2" t="s">
        <v>442</v>
      </c>
      <c r="AV495" s="2">
        <v>50</v>
      </c>
      <c r="AW495" s="2">
        <v>0</v>
      </c>
      <c r="AX495" s="2" t="s">
        <v>2471</v>
      </c>
      <c r="AY495" s="2" t="s">
        <v>162</v>
      </c>
      <c r="AZ495" s="4">
        <v>42318</v>
      </c>
      <c r="BA495" s="5">
        <v>0.82222222222222219</v>
      </c>
      <c r="BB495" s="2">
        <v>2015</v>
      </c>
      <c r="BC495" s="2" t="s">
        <v>455</v>
      </c>
      <c r="BD495" s="2">
        <v>10</v>
      </c>
      <c r="BE495" s="4">
        <v>42293</v>
      </c>
      <c r="BF495" s="5">
        <v>0.82222222222222219</v>
      </c>
      <c r="BG495" s="2" t="str" cm="1">
        <f t="array" ref="BG495">_xlfn.IFS(BF495&lt;TIMEVALUE("06:00"),"Night", BF495&gt;=TIMEVALUE("21:00"),"Night",BF495&gt;=TIMEVALUE("17:00"),"Evening",BF495&gt;=TIMEVALUE("12:00"),"Afternoon", BF495&gt;=TIMEVALUE("06:00"),"Morning")</f>
        <v>Evening</v>
      </c>
      <c r="BH495" s="2">
        <v>2015</v>
      </c>
      <c r="BI495" s="2" t="s">
        <v>434</v>
      </c>
      <c r="BJ495" s="2">
        <v>16</v>
      </c>
    </row>
    <row r="496" spans="1:62" x14ac:dyDescent="0.3">
      <c r="A496" s="2" t="s">
        <v>121</v>
      </c>
      <c r="B496" s="2">
        <v>2</v>
      </c>
      <c r="C496" s="2">
        <v>2</v>
      </c>
      <c r="D496" s="2">
        <v>37.11</v>
      </c>
      <c r="E496" s="2">
        <v>127.97</v>
      </c>
      <c r="F496" s="2" t="s">
        <v>100</v>
      </c>
      <c r="G496" s="2" t="s">
        <v>64</v>
      </c>
      <c r="H496" s="2">
        <v>29</v>
      </c>
      <c r="I496" s="2" t="s">
        <v>424</v>
      </c>
      <c r="J496" s="2" t="s">
        <v>66</v>
      </c>
      <c r="K496" s="2" t="s">
        <v>67</v>
      </c>
      <c r="L496" s="2" t="s">
        <v>284</v>
      </c>
      <c r="M496" s="2">
        <v>11329</v>
      </c>
      <c r="N496" s="2" t="s">
        <v>425</v>
      </c>
      <c r="O496" s="2" t="s">
        <v>113</v>
      </c>
      <c r="P496" s="2" t="s">
        <v>71</v>
      </c>
      <c r="Q496" s="2" t="s">
        <v>534</v>
      </c>
      <c r="R496" s="2">
        <v>725</v>
      </c>
      <c r="S496" s="2">
        <v>5</v>
      </c>
      <c r="T496" s="2" t="s">
        <v>427</v>
      </c>
      <c r="U496" s="2">
        <v>18.299442299999999</v>
      </c>
      <c r="V496" s="2">
        <v>-66.370521600000004</v>
      </c>
      <c r="W496" s="2" t="s">
        <v>528</v>
      </c>
      <c r="X496" s="2" t="s">
        <v>535</v>
      </c>
      <c r="Y496" s="2" t="s">
        <v>536</v>
      </c>
      <c r="Z496" s="2">
        <v>11329</v>
      </c>
      <c r="AA496" s="2" t="s">
        <v>537</v>
      </c>
      <c r="AB496" s="2">
        <v>63936</v>
      </c>
      <c r="AC496" s="2">
        <v>627</v>
      </c>
      <c r="AD496" s="2">
        <v>31.99</v>
      </c>
      <c r="AE496" s="2">
        <v>0.2</v>
      </c>
      <c r="AF496" s="2" t="str" cm="1">
        <f t="array" ref="AF496">_xlfn.IFS(AE496=0, "No Discount ", AE496&lt;=0.08,"Low Discount", AE496&lt;=0.16,"Medium Discount", AE496&gt;0.16, "High Discount")</f>
        <v>High Discount</v>
      </c>
      <c r="AG496" s="2">
        <v>159827</v>
      </c>
      <c r="AH496" s="2">
        <v>39.99</v>
      </c>
      <c r="AI496" s="2">
        <v>0.28999999999999998</v>
      </c>
      <c r="AJ496" s="2" t="str" cm="1">
        <f t="array" ref="AJ496">_xlfn.IFS(AI496&lt;=0, "No Profit", AI496&lt;=0.16,"Low Profit",AI496&lt;=0.32,"Medium Profit",AI496&gt;0.32,"High Profit")</f>
        <v>Medium Profit</v>
      </c>
      <c r="AK496" s="2">
        <v>4</v>
      </c>
      <c r="AL496" s="2">
        <v>159.96</v>
      </c>
      <c r="AM496" s="2">
        <v>127.97</v>
      </c>
      <c r="AN496" s="2">
        <v>37.11</v>
      </c>
      <c r="AO496" s="2" t="s">
        <v>531</v>
      </c>
      <c r="AP496" s="2" t="s">
        <v>538</v>
      </c>
      <c r="AQ496" s="2" t="s">
        <v>127</v>
      </c>
      <c r="AR496" s="2" t="s">
        <v>81</v>
      </c>
      <c r="AS496" s="2">
        <v>627</v>
      </c>
      <c r="AT496" s="2">
        <v>29</v>
      </c>
      <c r="AU496" s="2" t="s">
        <v>432</v>
      </c>
      <c r="AV496" s="2">
        <v>39.99</v>
      </c>
      <c r="AW496" s="2">
        <v>0</v>
      </c>
      <c r="AX496" s="2" t="s">
        <v>539</v>
      </c>
      <c r="AY496" s="2" t="s">
        <v>162</v>
      </c>
      <c r="AZ496" s="4">
        <v>42938</v>
      </c>
      <c r="BA496" s="5">
        <v>0.30277777777777776</v>
      </c>
      <c r="BB496" s="2">
        <v>2017</v>
      </c>
      <c r="BC496" s="2" t="s">
        <v>533</v>
      </c>
      <c r="BD496" s="2">
        <v>22</v>
      </c>
      <c r="BE496" s="4">
        <v>42940</v>
      </c>
      <c r="BF496" s="5">
        <v>0.30277777777777776</v>
      </c>
      <c r="BG496" s="2" t="str" cm="1">
        <f t="array" ref="BG496">_xlfn.IFS(BF496&lt;TIMEVALUE("06:00"),"Night", BF496&gt;=TIMEVALUE("21:00"),"Night",BF496&gt;=TIMEVALUE("17:00"),"Evening",BF496&gt;=TIMEVALUE("12:00"),"Afternoon", BF496&gt;=TIMEVALUE("06:00"),"Morning")</f>
        <v>Morning</v>
      </c>
      <c r="BH496" s="2">
        <v>2017</v>
      </c>
      <c r="BI496" s="2" t="s">
        <v>533</v>
      </c>
      <c r="BJ496" s="2">
        <v>24</v>
      </c>
    </row>
    <row r="497" spans="1:62" x14ac:dyDescent="0.3">
      <c r="A497" s="2" t="s">
        <v>121</v>
      </c>
      <c r="B497" s="2">
        <v>3</v>
      </c>
      <c r="C497" s="2">
        <v>2</v>
      </c>
      <c r="D497" s="2">
        <v>-25.49</v>
      </c>
      <c r="E497" s="2">
        <v>84.97</v>
      </c>
      <c r="F497" s="2" t="s">
        <v>87</v>
      </c>
      <c r="G497" s="2" t="s">
        <v>88</v>
      </c>
      <c r="H497" s="2">
        <v>40</v>
      </c>
      <c r="I497" s="2" t="s">
        <v>1151</v>
      </c>
      <c r="J497" s="2" t="s">
        <v>66</v>
      </c>
      <c r="K497" s="2" t="s">
        <v>67</v>
      </c>
      <c r="L497" s="2" t="s">
        <v>1202</v>
      </c>
      <c r="M497" s="2">
        <v>7112</v>
      </c>
      <c r="N497" s="2" t="s">
        <v>709</v>
      </c>
      <c r="O497" s="2" t="s">
        <v>113</v>
      </c>
      <c r="P497" s="2" t="s">
        <v>71</v>
      </c>
      <c r="Q497" s="2" t="s">
        <v>2459</v>
      </c>
      <c r="R497" s="2">
        <v>725</v>
      </c>
      <c r="S497" s="2">
        <v>6</v>
      </c>
      <c r="T497" s="2" t="s">
        <v>515</v>
      </c>
      <c r="U497" s="2">
        <v>18.249799700000001</v>
      </c>
      <c r="V497" s="2">
        <v>-66.370582600000006</v>
      </c>
      <c r="W497" s="2" t="s">
        <v>528</v>
      </c>
      <c r="X497" s="2" t="s">
        <v>2467</v>
      </c>
      <c r="Y497" s="2" t="s">
        <v>1715</v>
      </c>
      <c r="Z497" s="2">
        <v>7112</v>
      </c>
      <c r="AA497" s="2" t="s">
        <v>2468</v>
      </c>
      <c r="AB497" s="2">
        <v>49622</v>
      </c>
      <c r="AC497" s="2">
        <v>893</v>
      </c>
      <c r="AD497" s="2">
        <v>14.99</v>
      </c>
      <c r="AE497" s="2">
        <v>0.15</v>
      </c>
      <c r="AF497" s="2" t="str" cm="1">
        <f t="array" ref="AF497">_xlfn.IFS(AE497=0, "No Discount ", AE497&lt;=0.08,"Low Discount", AE497&lt;=0.16,"Medium Discount", AE497&gt;0.16, "High Discount")</f>
        <v>Medium Discount</v>
      </c>
      <c r="AG497" s="2">
        <v>124029</v>
      </c>
      <c r="AH497" s="2">
        <v>24.99</v>
      </c>
      <c r="AI497" s="2">
        <v>-0.3</v>
      </c>
      <c r="AJ497" s="2" t="str" cm="1">
        <f t="array" ref="AJ497">_xlfn.IFS(AI497&lt;=0, "No Profit", AI497&lt;=0.16,"Low Profit",AI497&lt;=0.32,"Medium Profit",AI497&gt;0.32,"High Profit")</f>
        <v>No Profit</v>
      </c>
      <c r="AK497" s="2">
        <v>4</v>
      </c>
      <c r="AL497" s="2">
        <v>99.96</v>
      </c>
      <c r="AM497" s="2">
        <v>84.97</v>
      </c>
      <c r="AN497" s="2">
        <v>-25.49</v>
      </c>
      <c r="AO497" s="2" t="s">
        <v>1717</v>
      </c>
      <c r="AP497" s="2" t="s">
        <v>2467</v>
      </c>
      <c r="AQ497" s="2" t="s">
        <v>127</v>
      </c>
      <c r="AR497" s="2" t="s">
        <v>81</v>
      </c>
      <c r="AS497" s="2">
        <v>893</v>
      </c>
      <c r="AT497" s="2">
        <v>40</v>
      </c>
      <c r="AU497" s="2" t="s">
        <v>1159</v>
      </c>
      <c r="AV497" s="2">
        <v>24.99</v>
      </c>
      <c r="AW497" s="2">
        <v>0</v>
      </c>
      <c r="AX497" s="2" t="s">
        <v>2469</v>
      </c>
      <c r="AY497" s="2" t="s">
        <v>162</v>
      </c>
      <c r="AZ497" s="4">
        <v>42729</v>
      </c>
      <c r="BA497" s="5">
        <v>0.35138888888888886</v>
      </c>
      <c r="BB497" s="2">
        <v>2016</v>
      </c>
      <c r="BC497" s="2" t="s">
        <v>357</v>
      </c>
      <c r="BD497" s="2">
        <v>25</v>
      </c>
      <c r="BE497" s="4">
        <v>42732</v>
      </c>
      <c r="BF497" s="5">
        <v>0.35138888888888886</v>
      </c>
      <c r="BG497" s="2" t="str" cm="1">
        <f t="array" ref="BG497">_xlfn.IFS(BF497&lt;TIMEVALUE("06:00"),"Night", BF497&gt;=TIMEVALUE("21:00"),"Night",BF497&gt;=TIMEVALUE("17:00"),"Evening",BF497&gt;=TIMEVALUE("12:00"),"Afternoon", BF497&gt;=TIMEVALUE("06:00"),"Morning")</f>
        <v>Morning</v>
      </c>
      <c r="BH497" s="2">
        <v>2016</v>
      </c>
      <c r="BI497" s="2" t="s">
        <v>357</v>
      </c>
      <c r="BJ497" s="2">
        <v>28</v>
      </c>
    </row>
    <row r="498" spans="1:62" x14ac:dyDescent="0.3">
      <c r="A498" s="2" t="s">
        <v>121</v>
      </c>
      <c r="B498" s="2">
        <v>2</v>
      </c>
      <c r="C498" s="2">
        <v>2</v>
      </c>
      <c r="D498" s="2">
        <v>186.1</v>
      </c>
      <c r="E498" s="2">
        <v>395.96</v>
      </c>
      <c r="F498" s="2" t="s">
        <v>100</v>
      </c>
      <c r="G498" s="2" t="s">
        <v>64</v>
      </c>
      <c r="H498" s="2">
        <v>9</v>
      </c>
      <c r="I498" s="2" t="s">
        <v>496</v>
      </c>
      <c r="J498" s="2" t="s">
        <v>66</v>
      </c>
      <c r="K498" s="2" t="s">
        <v>67</v>
      </c>
      <c r="L498" s="2" t="s">
        <v>414</v>
      </c>
      <c r="M498" s="2">
        <v>11339</v>
      </c>
      <c r="N498" s="2" t="s">
        <v>1314</v>
      </c>
      <c r="O498" s="2" t="s">
        <v>113</v>
      </c>
      <c r="P498" s="2" t="s">
        <v>71</v>
      </c>
      <c r="Q498" s="2" t="s">
        <v>2472</v>
      </c>
      <c r="R498" s="2">
        <v>725</v>
      </c>
      <c r="S498" s="2">
        <v>3</v>
      </c>
      <c r="T498" s="2" t="s">
        <v>466</v>
      </c>
      <c r="U498" s="2">
        <v>18.2477436</v>
      </c>
      <c r="V498" s="2">
        <v>-66.370597799999999</v>
      </c>
      <c r="W498" s="2" t="s">
        <v>582</v>
      </c>
      <c r="X498" s="2" t="s">
        <v>789</v>
      </c>
      <c r="Y498" s="2" t="s">
        <v>584</v>
      </c>
      <c r="Z498" s="2">
        <v>11339</v>
      </c>
      <c r="AA498" s="2" t="s">
        <v>2473</v>
      </c>
      <c r="AB498" s="2">
        <v>51911</v>
      </c>
      <c r="AC498" s="2">
        <v>191</v>
      </c>
      <c r="AD498" s="2">
        <v>4</v>
      </c>
      <c r="AE498" s="2">
        <v>0.01</v>
      </c>
      <c r="AF498" s="2" t="str" cm="1">
        <f t="array" ref="AF498">_xlfn.IFS(AE498=0, "No Discount ", AE498&lt;=0.08,"Low Discount", AE498&lt;=0.16,"Medium Discount", AE498&gt;0.16, "High Discount")</f>
        <v>Low Discount</v>
      </c>
      <c r="AG498" s="2">
        <v>129710</v>
      </c>
      <c r="AH498" s="2">
        <v>99.99</v>
      </c>
      <c r="AI498" s="2">
        <v>0.47</v>
      </c>
      <c r="AJ498" s="2" t="str" cm="1">
        <f t="array" ref="AJ498">_xlfn.IFS(AI498&lt;=0, "No Profit", AI498&lt;=0.16,"Low Profit",AI498&lt;=0.32,"Medium Profit",AI498&gt;0.32,"High Profit")</f>
        <v>High Profit</v>
      </c>
      <c r="AK498" s="2">
        <v>4</v>
      </c>
      <c r="AL498" s="2">
        <v>399.96</v>
      </c>
      <c r="AM498" s="2">
        <v>395.96</v>
      </c>
      <c r="AN498" s="2">
        <v>186.1</v>
      </c>
      <c r="AO498" s="2" t="s">
        <v>586</v>
      </c>
      <c r="AP498" s="2" t="s">
        <v>584</v>
      </c>
      <c r="AQ498" s="2" t="s">
        <v>127</v>
      </c>
      <c r="AR498" s="2" t="s">
        <v>81</v>
      </c>
      <c r="AS498" s="2">
        <v>191</v>
      </c>
      <c r="AT498" s="2">
        <v>9</v>
      </c>
      <c r="AU498" s="2" t="s">
        <v>505</v>
      </c>
      <c r="AV498" s="2">
        <v>99.99</v>
      </c>
      <c r="AW498" s="2">
        <v>0</v>
      </c>
      <c r="AX498" s="2" t="s">
        <v>2474</v>
      </c>
      <c r="AY498" s="2" t="s">
        <v>162</v>
      </c>
      <c r="AZ498" s="4">
        <v>42762</v>
      </c>
      <c r="BA498" s="5">
        <v>0.76597222222222228</v>
      </c>
      <c r="BB498" s="2">
        <v>2017</v>
      </c>
      <c r="BC498" s="2" t="s">
        <v>84</v>
      </c>
      <c r="BD498" s="2">
        <v>27</v>
      </c>
      <c r="BE498" s="4">
        <v>42764</v>
      </c>
      <c r="BF498" s="5">
        <v>0.76597222222222228</v>
      </c>
      <c r="BG498" s="2" t="str" cm="1">
        <f t="array" ref="BG498">_xlfn.IFS(BF498&lt;TIMEVALUE("06:00"),"Night", BF498&gt;=TIMEVALUE("21:00"),"Night",BF498&gt;=TIMEVALUE("17:00"),"Evening",BF498&gt;=TIMEVALUE("12:00"),"Afternoon", BF498&gt;=TIMEVALUE("06:00"),"Morning")</f>
        <v>Evening</v>
      </c>
      <c r="BH498" s="2">
        <v>2017</v>
      </c>
      <c r="BI498" s="2" t="s">
        <v>84</v>
      </c>
      <c r="BJ498" s="2">
        <v>29</v>
      </c>
    </row>
    <row r="499" spans="1:62" x14ac:dyDescent="0.3">
      <c r="A499" s="2" t="s">
        <v>121</v>
      </c>
      <c r="B499" s="2">
        <v>5</v>
      </c>
      <c r="C499" s="2">
        <v>2</v>
      </c>
      <c r="D499" s="2">
        <v>38.42</v>
      </c>
      <c r="E499" s="2">
        <v>339.97</v>
      </c>
      <c r="F499" s="2" t="s">
        <v>87</v>
      </c>
      <c r="G499" s="2" t="s">
        <v>88</v>
      </c>
      <c r="H499" s="2">
        <v>9</v>
      </c>
      <c r="I499" s="2" t="s">
        <v>496</v>
      </c>
      <c r="J499" s="2" t="s">
        <v>66</v>
      </c>
      <c r="K499" s="2" t="s">
        <v>67</v>
      </c>
      <c r="L499" s="2" t="s">
        <v>2475</v>
      </c>
      <c r="M499" s="2">
        <v>10166</v>
      </c>
      <c r="N499" s="2" t="s">
        <v>425</v>
      </c>
      <c r="O499" s="2" t="s">
        <v>113</v>
      </c>
      <c r="P499" s="2" t="s">
        <v>71</v>
      </c>
      <c r="Q499" s="2" t="s">
        <v>2476</v>
      </c>
      <c r="R499" s="2">
        <v>725</v>
      </c>
      <c r="S499" s="2">
        <v>3</v>
      </c>
      <c r="T499" s="2" t="s">
        <v>466</v>
      </c>
      <c r="U499" s="2">
        <v>18.265968300000001</v>
      </c>
      <c r="V499" s="2">
        <v>-66.370636000000005</v>
      </c>
      <c r="W499" s="2" t="s">
        <v>582</v>
      </c>
      <c r="X499" s="2" t="s">
        <v>598</v>
      </c>
      <c r="Y499" s="2" t="s">
        <v>599</v>
      </c>
      <c r="Z499" s="2">
        <v>10166</v>
      </c>
      <c r="AA499" s="2" t="s">
        <v>2477</v>
      </c>
      <c r="AB499" s="2">
        <v>58239</v>
      </c>
      <c r="AC499" s="2">
        <v>191</v>
      </c>
      <c r="AD499" s="2">
        <v>59.99</v>
      </c>
      <c r="AE499" s="2">
        <v>0.15</v>
      </c>
      <c r="AF499" s="2" t="str" cm="1">
        <f t="array" ref="AF499">_xlfn.IFS(AE499=0, "No Discount ", AE499&lt;=0.08,"Low Discount", AE499&lt;=0.16,"Medium Discount", AE499&gt;0.16, "High Discount")</f>
        <v>Medium Discount</v>
      </c>
      <c r="AG499" s="2">
        <v>145723</v>
      </c>
      <c r="AH499" s="2">
        <v>99.99</v>
      </c>
      <c r="AI499" s="2">
        <v>0.11</v>
      </c>
      <c r="AJ499" s="2" t="str" cm="1">
        <f t="array" ref="AJ499">_xlfn.IFS(AI499&lt;=0, "No Profit", AI499&lt;=0.16,"Low Profit",AI499&lt;=0.32,"Medium Profit",AI499&gt;0.32,"High Profit")</f>
        <v>Low Profit</v>
      </c>
      <c r="AK499" s="2">
        <v>4</v>
      </c>
      <c r="AL499" s="2">
        <v>399.96</v>
      </c>
      <c r="AM499" s="2">
        <v>339.97</v>
      </c>
      <c r="AN499" s="2">
        <v>38.42</v>
      </c>
      <c r="AO499" s="2" t="s">
        <v>601</v>
      </c>
      <c r="AP499" s="2" t="s">
        <v>598</v>
      </c>
      <c r="AQ499" s="2" t="s">
        <v>127</v>
      </c>
      <c r="AR499" s="2" t="s">
        <v>81</v>
      </c>
      <c r="AS499" s="2">
        <v>191</v>
      </c>
      <c r="AT499" s="2">
        <v>9</v>
      </c>
      <c r="AU499" s="2" t="s">
        <v>505</v>
      </c>
      <c r="AV499" s="2">
        <v>99.99</v>
      </c>
      <c r="AW499" s="2">
        <v>0</v>
      </c>
      <c r="AX499" s="3">
        <v>42860.13958333333</v>
      </c>
      <c r="AY499" s="2" t="s">
        <v>162</v>
      </c>
      <c r="AZ499" s="4">
        <v>42855</v>
      </c>
      <c r="BA499" s="5">
        <v>0.13958333333333334</v>
      </c>
      <c r="BB499" s="2">
        <v>2017</v>
      </c>
      <c r="BC499" s="2" t="s">
        <v>487</v>
      </c>
      <c r="BD499" s="2">
        <v>30</v>
      </c>
      <c r="BE499" s="4">
        <v>42860</v>
      </c>
      <c r="BF499" s="5">
        <v>0.13958333333333334</v>
      </c>
      <c r="BG499" s="2" t="str" cm="1">
        <f t="array" ref="BG499">_xlfn.IFS(BF499&lt;TIMEVALUE("06:00"),"Night", BF499&gt;=TIMEVALUE("21:00"),"Night",BF499&gt;=TIMEVALUE("17:00"),"Evening",BF499&gt;=TIMEVALUE("12:00"),"Afternoon", BF499&gt;=TIMEVALUE("06:00"),"Morning")</f>
        <v>Night</v>
      </c>
      <c r="BH499" s="2">
        <v>2017</v>
      </c>
      <c r="BI499" s="2" t="s">
        <v>443</v>
      </c>
      <c r="BJ499" s="2">
        <v>5</v>
      </c>
    </row>
    <row r="500" spans="1:62" x14ac:dyDescent="0.3">
      <c r="A500" s="2" t="s">
        <v>121</v>
      </c>
      <c r="B500" s="2">
        <v>4</v>
      </c>
      <c r="C500" s="2">
        <v>2</v>
      </c>
      <c r="D500" s="2">
        <v>131.03</v>
      </c>
      <c r="E500" s="2">
        <v>335.97</v>
      </c>
      <c r="F500" s="2" t="s">
        <v>87</v>
      </c>
      <c r="G500" s="2" t="s">
        <v>88</v>
      </c>
      <c r="H500" s="2">
        <v>9</v>
      </c>
      <c r="I500" s="2" t="s">
        <v>496</v>
      </c>
      <c r="J500" s="2" t="s">
        <v>66</v>
      </c>
      <c r="K500" s="2" t="s">
        <v>67</v>
      </c>
      <c r="L500" s="2" t="s">
        <v>1491</v>
      </c>
      <c r="M500" s="2">
        <v>3091</v>
      </c>
      <c r="N500" s="2" t="s">
        <v>571</v>
      </c>
      <c r="O500" s="2" t="s">
        <v>113</v>
      </c>
      <c r="P500" s="2" t="s">
        <v>71</v>
      </c>
      <c r="Q500" s="2" t="s">
        <v>2478</v>
      </c>
      <c r="R500" s="2">
        <v>725</v>
      </c>
      <c r="S500" s="2">
        <v>3</v>
      </c>
      <c r="T500" s="2" t="s">
        <v>466</v>
      </c>
      <c r="U500" s="2">
        <v>18.204717599999999</v>
      </c>
      <c r="V500" s="2">
        <v>-66.370590199999995</v>
      </c>
      <c r="W500" s="2" t="s">
        <v>582</v>
      </c>
      <c r="X500" s="2" t="s">
        <v>2479</v>
      </c>
      <c r="Y500" s="2" t="s">
        <v>638</v>
      </c>
      <c r="Z500" s="2">
        <v>3091</v>
      </c>
      <c r="AA500" s="3">
        <v>42920.352777777778</v>
      </c>
      <c r="AB500" s="2">
        <v>56678</v>
      </c>
      <c r="AC500" s="2">
        <v>191</v>
      </c>
      <c r="AD500" s="2">
        <v>63.99</v>
      </c>
      <c r="AE500" s="2">
        <v>0.16</v>
      </c>
      <c r="AF500" s="2" t="str" cm="1">
        <f t="array" ref="AF500">_xlfn.IFS(AE500=0, "No Discount ", AE500&lt;=0.08,"Low Discount", AE500&lt;=0.16,"Medium Discount", AE500&gt;0.16, "High Discount")</f>
        <v>Medium Discount</v>
      </c>
      <c r="AG500" s="2">
        <v>141753</v>
      </c>
      <c r="AH500" s="2">
        <v>99.99</v>
      </c>
      <c r="AI500" s="2">
        <v>0.39</v>
      </c>
      <c r="AJ500" s="2" t="str" cm="1">
        <f t="array" ref="AJ500">_xlfn.IFS(AI500&lt;=0, "No Profit", AI500&lt;=0.16,"Low Profit",AI500&lt;=0.32,"Medium Profit",AI500&gt;0.32,"High Profit")</f>
        <v>High Profit</v>
      </c>
      <c r="AK500" s="2">
        <v>4</v>
      </c>
      <c r="AL500" s="2">
        <v>399.96</v>
      </c>
      <c r="AM500" s="2">
        <v>335.97</v>
      </c>
      <c r="AN500" s="2">
        <v>131.03</v>
      </c>
      <c r="AO500" s="2" t="s">
        <v>586</v>
      </c>
      <c r="AP500" s="2" t="s">
        <v>2480</v>
      </c>
      <c r="AQ500" s="2" t="s">
        <v>127</v>
      </c>
      <c r="AR500" s="2" t="s">
        <v>81</v>
      </c>
      <c r="AS500" s="2">
        <v>191</v>
      </c>
      <c r="AT500" s="2">
        <v>9</v>
      </c>
      <c r="AU500" s="2" t="s">
        <v>505</v>
      </c>
      <c r="AV500" s="2">
        <v>99.99</v>
      </c>
      <c r="AW500" s="2">
        <v>0</v>
      </c>
      <c r="AX500" s="3">
        <v>43043.352777777778</v>
      </c>
      <c r="AY500" s="2" t="s">
        <v>162</v>
      </c>
      <c r="AZ500" s="4">
        <v>42920</v>
      </c>
      <c r="BA500" s="5">
        <v>0.3527777777777778</v>
      </c>
      <c r="BB500" s="2">
        <v>2017</v>
      </c>
      <c r="BC500" s="2" t="s">
        <v>533</v>
      </c>
      <c r="BD500" s="2">
        <v>4</v>
      </c>
      <c r="BE500" s="4">
        <v>43043</v>
      </c>
      <c r="BF500" s="5">
        <v>0.3527777777777778</v>
      </c>
      <c r="BG500" s="2" t="str" cm="1">
        <f t="array" ref="BG500">_xlfn.IFS(BF500&lt;TIMEVALUE("06:00"),"Night", BF500&gt;=TIMEVALUE("21:00"),"Night",BF500&gt;=TIMEVALUE("17:00"),"Evening",BF500&gt;=TIMEVALUE("12:00"),"Afternoon", BF500&gt;=TIMEVALUE("06:00"),"Morning")</f>
        <v>Morning</v>
      </c>
      <c r="BH500" s="2">
        <v>2017</v>
      </c>
      <c r="BI500" s="2" t="s">
        <v>455</v>
      </c>
      <c r="BJ500" s="2">
        <v>4</v>
      </c>
    </row>
    <row r="501" spans="1:62" x14ac:dyDescent="0.3">
      <c r="A501" s="2" t="s">
        <v>121</v>
      </c>
      <c r="B501" s="2">
        <v>3</v>
      </c>
      <c r="C501" s="2">
        <v>2</v>
      </c>
      <c r="D501" s="2">
        <v>93.58</v>
      </c>
      <c r="E501" s="2">
        <v>239.96</v>
      </c>
      <c r="F501" s="2" t="s">
        <v>87</v>
      </c>
      <c r="G501" s="2" t="s">
        <v>88</v>
      </c>
      <c r="H501" s="2">
        <v>17</v>
      </c>
      <c r="I501" s="2" t="s">
        <v>412</v>
      </c>
      <c r="J501" s="2" t="s">
        <v>66</v>
      </c>
      <c r="K501" s="2" t="s">
        <v>67</v>
      </c>
      <c r="L501" s="2" t="s">
        <v>414</v>
      </c>
      <c r="M501" s="2">
        <v>5007</v>
      </c>
      <c r="N501" s="2" t="s">
        <v>425</v>
      </c>
      <c r="O501" s="2" t="s">
        <v>113</v>
      </c>
      <c r="P501" s="2" t="s">
        <v>71</v>
      </c>
      <c r="Q501" s="2" t="s">
        <v>603</v>
      </c>
      <c r="R501" s="2">
        <v>725</v>
      </c>
      <c r="S501" s="2">
        <v>4</v>
      </c>
      <c r="T501" s="2" t="s">
        <v>417</v>
      </c>
      <c r="U501" s="2">
        <v>18.249845499999999</v>
      </c>
      <c r="V501" s="2">
        <v>-66.370506300000002</v>
      </c>
      <c r="W501" s="2" t="s">
        <v>582</v>
      </c>
      <c r="X501" s="2" t="s">
        <v>2481</v>
      </c>
      <c r="Y501" s="2" t="s">
        <v>638</v>
      </c>
      <c r="Z501" s="2">
        <v>5007</v>
      </c>
      <c r="AA501" s="2" t="s">
        <v>2482</v>
      </c>
      <c r="AB501" s="2">
        <v>53202</v>
      </c>
      <c r="AC501" s="2">
        <v>365</v>
      </c>
      <c r="AD501" s="2">
        <v>0</v>
      </c>
      <c r="AE501" s="2">
        <v>0</v>
      </c>
      <c r="AF501" s="2" t="str" cm="1">
        <f t="array" ref="AF501">_xlfn.IFS(AE501=0, "No Discount ", AE501&lt;=0.08,"Low Discount", AE501&lt;=0.16,"Medium Discount", AE501&gt;0.16, "High Discount")</f>
        <v xml:space="preserve">No Discount </v>
      </c>
      <c r="AG501" s="2">
        <v>132933</v>
      </c>
      <c r="AH501" s="2">
        <v>59.99</v>
      </c>
      <c r="AI501" s="2">
        <v>0.39</v>
      </c>
      <c r="AJ501" s="2" t="str" cm="1">
        <f t="array" ref="AJ501">_xlfn.IFS(AI501&lt;=0, "No Profit", AI501&lt;=0.16,"Low Profit",AI501&lt;=0.32,"Medium Profit",AI501&gt;0.32,"High Profit")</f>
        <v>High Profit</v>
      </c>
      <c r="AK501" s="2">
        <v>4</v>
      </c>
      <c r="AL501" s="2">
        <v>239.96</v>
      </c>
      <c r="AM501" s="2">
        <v>239.96</v>
      </c>
      <c r="AN501" s="2">
        <v>93.58</v>
      </c>
      <c r="AO501" s="2" t="s">
        <v>586</v>
      </c>
      <c r="AP501" s="2" t="s">
        <v>2483</v>
      </c>
      <c r="AQ501" s="2" t="s">
        <v>127</v>
      </c>
      <c r="AR501" s="2" t="s">
        <v>81</v>
      </c>
      <c r="AS501" s="2">
        <v>365</v>
      </c>
      <c r="AT501" s="2">
        <v>17</v>
      </c>
      <c r="AU501" s="2" t="s">
        <v>421</v>
      </c>
      <c r="AV501" s="2">
        <v>59.99</v>
      </c>
      <c r="AW501" s="2">
        <v>0</v>
      </c>
      <c r="AX501" s="2" t="s">
        <v>2484</v>
      </c>
      <c r="AY501" s="2" t="s">
        <v>162</v>
      </c>
      <c r="AZ501" s="4">
        <v>42781</v>
      </c>
      <c r="BA501" s="5">
        <v>0.61111111111111116</v>
      </c>
      <c r="BB501" s="2">
        <v>2017</v>
      </c>
      <c r="BC501" s="2" t="s">
        <v>423</v>
      </c>
      <c r="BD501" s="2">
        <v>15</v>
      </c>
      <c r="BE501" s="4">
        <v>42784</v>
      </c>
      <c r="BF501" s="5">
        <v>0.61111111111111116</v>
      </c>
      <c r="BG501" s="2" t="str" cm="1">
        <f t="array" ref="BG501">_xlfn.IFS(BF501&lt;TIMEVALUE("06:00"),"Night", BF501&gt;=TIMEVALUE("21:00"),"Night",BF501&gt;=TIMEVALUE("17:00"),"Evening",BF501&gt;=TIMEVALUE("12:00"),"Afternoon", BF501&gt;=TIMEVALUE("06:00"),"Morning")</f>
        <v>Afternoon</v>
      </c>
      <c r="BH501" s="2">
        <v>2017</v>
      </c>
      <c r="BI501" s="2" t="s">
        <v>423</v>
      </c>
      <c r="BJ501" s="2">
        <v>18</v>
      </c>
    </row>
    <row r="502" spans="1:62" x14ac:dyDescent="0.3">
      <c r="A502" s="2" t="s">
        <v>121</v>
      </c>
      <c r="B502" s="2">
        <v>4</v>
      </c>
      <c r="C502" s="2">
        <v>2</v>
      </c>
      <c r="D502" s="2">
        <v>-25.5</v>
      </c>
      <c r="E502" s="2">
        <v>203.97</v>
      </c>
      <c r="F502" s="2" t="s">
        <v>87</v>
      </c>
      <c r="G502" s="2" t="s">
        <v>88</v>
      </c>
      <c r="H502" s="2">
        <v>17</v>
      </c>
      <c r="I502" s="2" t="s">
        <v>412</v>
      </c>
      <c r="J502" s="2" t="s">
        <v>66</v>
      </c>
      <c r="K502" s="2" t="s">
        <v>67</v>
      </c>
      <c r="L502" s="2" t="s">
        <v>1121</v>
      </c>
      <c r="M502" s="2">
        <v>1070</v>
      </c>
      <c r="N502" s="2" t="s">
        <v>1923</v>
      </c>
      <c r="O502" s="2" t="s">
        <v>113</v>
      </c>
      <c r="P502" s="2" t="s">
        <v>71</v>
      </c>
      <c r="Q502" s="2" t="s">
        <v>2485</v>
      </c>
      <c r="R502" s="2">
        <v>725</v>
      </c>
      <c r="S502" s="2">
        <v>4</v>
      </c>
      <c r="T502" s="2" t="s">
        <v>417</v>
      </c>
      <c r="U502" s="2">
        <v>18.241466500000001</v>
      </c>
      <c r="V502" s="2">
        <v>-66.370536799999996</v>
      </c>
      <c r="W502" s="2" t="s">
        <v>582</v>
      </c>
      <c r="X502" s="2" t="s">
        <v>706</v>
      </c>
      <c r="Y502" s="2" t="s">
        <v>638</v>
      </c>
      <c r="Z502" s="2">
        <v>1070</v>
      </c>
      <c r="AA502" s="3">
        <v>42921.424305555556</v>
      </c>
      <c r="AB502" s="2">
        <v>58738</v>
      </c>
      <c r="AC502" s="2">
        <v>365</v>
      </c>
      <c r="AD502" s="2">
        <v>35.99</v>
      </c>
      <c r="AE502" s="2">
        <v>0.15</v>
      </c>
      <c r="AF502" s="2" t="str" cm="1">
        <f t="array" ref="AF502">_xlfn.IFS(AE502=0, "No Discount ", AE502&lt;=0.08,"Low Discount", AE502&lt;=0.16,"Medium Discount", AE502&gt;0.16, "High Discount")</f>
        <v>Medium Discount</v>
      </c>
      <c r="AG502" s="2">
        <v>147023</v>
      </c>
      <c r="AH502" s="2">
        <v>59.99</v>
      </c>
      <c r="AI502" s="2">
        <v>-0.13</v>
      </c>
      <c r="AJ502" s="2" t="str" cm="1">
        <f t="array" ref="AJ502">_xlfn.IFS(AI502&lt;=0, "No Profit", AI502&lt;=0.16,"Low Profit",AI502&lt;=0.32,"Medium Profit",AI502&gt;0.32,"High Profit")</f>
        <v>No Profit</v>
      </c>
      <c r="AK502" s="2">
        <v>4</v>
      </c>
      <c r="AL502" s="2">
        <v>239.96</v>
      </c>
      <c r="AM502" s="2">
        <v>203.97</v>
      </c>
      <c r="AN502" s="2">
        <v>-25.5</v>
      </c>
      <c r="AO502" s="2" t="s">
        <v>586</v>
      </c>
      <c r="AP502" s="2" t="s">
        <v>638</v>
      </c>
      <c r="AQ502" s="2" t="s">
        <v>127</v>
      </c>
      <c r="AR502" s="2" t="s">
        <v>81</v>
      </c>
      <c r="AS502" s="2">
        <v>365</v>
      </c>
      <c r="AT502" s="2">
        <v>17</v>
      </c>
      <c r="AU502" s="2" t="s">
        <v>421</v>
      </c>
      <c r="AV502" s="2">
        <v>59.99</v>
      </c>
      <c r="AW502" s="2">
        <v>0</v>
      </c>
      <c r="AX502" s="3">
        <v>43044.424305555556</v>
      </c>
      <c r="AY502" s="2" t="s">
        <v>162</v>
      </c>
      <c r="AZ502" s="4">
        <v>42921</v>
      </c>
      <c r="BA502" s="5">
        <v>0.42430555555555555</v>
      </c>
      <c r="BB502" s="2">
        <v>2017</v>
      </c>
      <c r="BC502" s="2" t="s">
        <v>533</v>
      </c>
      <c r="BD502" s="2">
        <v>5</v>
      </c>
      <c r="BE502" s="4">
        <v>43044</v>
      </c>
      <c r="BF502" s="5">
        <v>0.42430555555555555</v>
      </c>
      <c r="BG502" s="2" t="str" cm="1">
        <f t="array" ref="BG502">_xlfn.IFS(BF502&lt;TIMEVALUE("06:00"),"Night", BF502&gt;=TIMEVALUE("21:00"),"Night",BF502&gt;=TIMEVALUE("17:00"),"Evening",BF502&gt;=TIMEVALUE("12:00"),"Afternoon", BF502&gt;=TIMEVALUE("06:00"),"Morning")</f>
        <v>Morning</v>
      </c>
      <c r="BH502" s="2">
        <v>2017</v>
      </c>
      <c r="BI502" s="2" t="s">
        <v>455</v>
      </c>
      <c r="BJ502" s="2">
        <v>5</v>
      </c>
    </row>
    <row r="503" spans="1:62" x14ac:dyDescent="0.3">
      <c r="A503" s="2" t="s">
        <v>121</v>
      </c>
      <c r="B503" s="2">
        <v>6</v>
      </c>
      <c r="C503" s="2">
        <v>2</v>
      </c>
      <c r="D503" s="2">
        <v>98.77</v>
      </c>
      <c r="E503" s="2">
        <v>201.57</v>
      </c>
      <c r="F503" s="2" t="s">
        <v>87</v>
      </c>
      <c r="G503" s="2" t="s">
        <v>88</v>
      </c>
      <c r="H503" s="2">
        <v>17</v>
      </c>
      <c r="I503" s="2" t="s">
        <v>412</v>
      </c>
      <c r="J503" s="2" t="s">
        <v>66</v>
      </c>
      <c r="K503" s="2" t="s">
        <v>67</v>
      </c>
      <c r="L503" s="2" t="s">
        <v>570</v>
      </c>
      <c r="M503" s="2">
        <v>6871</v>
      </c>
      <c r="N503" s="2" t="s">
        <v>2486</v>
      </c>
      <c r="O503" s="2" t="s">
        <v>113</v>
      </c>
      <c r="P503" s="2" t="s">
        <v>71</v>
      </c>
      <c r="Q503" s="2" t="s">
        <v>2487</v>
      </c>
      <c r="R503" s="2">
        <v>725</v>
      </c>
      <c r="S503" s="2">
        <v>4</v>
      </c>
      <c r="T503" s="2" t="s">
        <v>417</v>
      </c>
      <c r="U503" s="2">
        <v>18.261577599999999</v>
      </c>
      <c r="V503" s="2">
        <v>-66.370513900000006</v>
      </c>
      <c r="W503" s="2" t="s">
        <v>582</v>
      </c>
      <c r="X503" s="2" t="s">
        <v>2488</v>
      </c>
      <c r="Y503" s="2" t="s">
        <v>638</v>
      </c>
      <c r="Z503" s="2">
        <v>6871</v>
      </c>
      <c r="AA503" s="3">
        <v>42739.251388888886</v>
      </c>
      <c r="AB503" s="2">
        <v>56260</v>
      </c>
      <c r="AC503" s="2">
        <v>365</v>
      </c>
      <c r="AD503" s="2">
        <v>38.39</v>
      </c>
      <c r="AE503" s="2">
        <v>0.16</v>
      </c>
      <c r="AF503" s="2" t="str" cm="1">
        <f t="array" ref="AF503">_xlfn.IFS(AE503=0, "No Discount ", AE503&lt;=0.08,"Low Discount", AE503&lt;=0.16,"Medium Discount", AE503&gt;0.16, "High Discount")</f>
        <v>Medium Discount</v>
      </c>
      <c r="AG503" s="2">
        <v>140708</v>
      </c>
      <c r="AH503" s="2">
        <v>59.99</v>
      </c>
      <c r="AI503" s="2">
        <v>0.49</v>
      </c>
      <c r="AJ503" s="2" t="str" cm="1">
        <f t="array" ref="AJ503">_xlfn.IFS(AI503&lt;=0, "No Profit", AI503&lt;=0.16,"Low Profit",AI503&lt;=0.32,"Medium Profit",AI503&gt;0.32,"High Profit")</f>
        <v>High Profit</v>
      </c>
      <c r="AK503" s="2">
        <v>4</v>
      </c>
      <c r="AL503" s="2">
        <v>239.96</v>
      </c>
      <c r="AM503" s="2">
        <v>201.57</v>
      </c>
      <c r="AN503" s="2">
        <v>98.77</v>
      </c>
      <c r="AO503" s="2" t="s">
        <v>586</v>
      </c>
      <c r="AP503" s="2" t="s">
        <v>647</v>
      </c>
      <c r="AQ503" s="2" t="s">
        <v>127</v>
      </c>
      <c r="AR503" s="2" t="s">
        <v>81</v>
      </c>
      <c r="AS503" s="2">
        <v>365</v>
      </c>
      <c r="AT503" s="2">
        <v>17</v>
      </c>
      <c r="AU503" s="2" t="s">
        <v>421</v>
      </c>
      <c r="AV503" s="2">
        <v>59.99</v>
      </c>
      <c r="AW503" s="2">
        <v>0</v>
      </c>
      <c r="AX503" s="3">
        <v>42920.251388888886</v>
      </c>
      <c r="AY503" s="2" t="s">
        <v>162</v>
      </c>
      <c r="AZ503" s="4">
        <v>42739</v>
      </c>
      <c r="BA503" s="5">
        <v>0.25138888888888888</v>
      </c>
      <c r="BB503" s="2">
        <v>2017</v>
      </c>
      <c r="BC503" s="2" t="s">
        <v>84</v>
      </c>
      <c r="BD503" s="2">
        <v>4</v>
      </c>
      <c r="BE503" s="4">
        <v>42920</v>
      </c>
      <c r="BF503" s="5">
        <v>0.25138888888888888</v>
      </c>
      <c r="BG503" s="2" t="str" cm="1">
        <f t="array" ref="BG503">_xlfn.IFS(BF503&lt;TIMEVALUE("06:00"),"Night", BF503&gt;=TIMEVALUE("21:00"),"Night",BF503&gt;=TIMEVALUE("17:00"),"Evening",BF503&gt;=TIMEVALUE("12:00"),"Afternoon", BF503&gt;=TIMEVALUE("06:00"),"Morning")</f>
        <v>Morning</v>
      </c>
      <c r="BH503" s="2">
        <v>2017</v>
      </c>
      <c r="BI503" s="2" t="s">
        <v>533</v>
      </c>
      <c r="BJ503" s="2">
        <v>4</v>
      </c>
    </row>
    <row r="504" spans="1:62" x14ac:dyDescent="0.3">
      <c r="A504" s="2" t="s">
        <v>121</v>
      </c>
      <c r="B504" s="2">
        <v>3</v>
      </c>
      <c r="C504" s="2">
        <v>2</v>
      </c>
      <c r="D504" s="2">
        <v>90.72</v>
      </c>
      <c r="E504" s="2">
        <v>189</v>
      </c>
      <c r="F504" s="2" t="s">
        <v>87</v>
      </c>
      <c r="G504" s="2" t="s">
        <v>88</v>
      </c>
      <c r="H504" s="2">
        <v>24</v>
      </c>
      <c r="I504" s="2" t="s">
        <v>435</v>
      </c>
      <c r="J504" s="2" t="s">
        <v>66</v>
      </c>
      <c r="K504" s="2" t="s">
        <v>67</v>
      </c>
      <c r="L504" s="2" t="s">
        <v>414</v>
      </c>
      <c r="M504" s="2">
        <v>2339</v>
      </c>
      <c r="N504" s="2" t="s">
        <v>425</v>
      </c>
      <c r="O504" s="2" t="s">
        <v>113</v>
      </c>
      <c r="P504" s="2" t="s">
        <v>71</v>
      </c>
      <c r="Q504" s="2" t="s">
        <v>2489</v>
      </c>
      <c r="R504" s="2">
        <v>725</v>
      </c>
      <c r="S504" s="2">
        <v>5</v>
      </c>
      <c r="T504" s="2" t="s">
        <v>427</v>
      </c>
      <c r="U504" s="2">
        <v>18.2820301</v>
      </c>
      <c r="V504" s="2">
        <v>-66.3705444</v>
      </c>
      <c r="W504" s="2" t="s">
        <v>582</v>
      </c>
      <c r="X504" s="2" t="s">
        <v>658</v>
      </c>
      <c r="Y504" s="2" t="s">
        <v>632</v>
      </c>
      <c r="Z504" s="2">
        <v>2339</v>
      </c>
      <c r="AA504" s="2" t="s">
        <v>2490</v>
      </c>
      <c r="AB504" s="2">
        <v>5042</v>
      </c>
      <c r="AC504" s="2">
        <v>502</v>
      </c>
      <c r="AD504" s="2">
        <v>11</v>
      </c>
      <c r="AE504" s="2">
        <v>0.06</v>
      </c>
      <c r="AF504" s="2" t="str" cm="1">
        <f t="array" ref="AF504">_xlfn.IFS(AE504=0, "No Discount ", AE504&lt;=0.08,"Low Discount", AE504&lt;=0.16,"Medium Discount", AE504&gt;0.16, "High Discount")</f>
        <v>Low Discount</v>
      </c>
      <c r="AG504" s="2">
        <v>12615</v>
      </c>
      <c r="AH504" s="2">
        <v>50</v>
      </c>
      <c r="AI504" s="2">
        <v>0.48</v>
      </c>
      <c r="AJ504" s="2" t="str" cm="1">
        <f t="array" ref="AJ504">_xlfn.IFS(AI504&lt;=0, "No Profit", AI504&lt;=0.16,"Low Profit",AI504&lt;=0.32,"Medium Profit",AI504&gt;0.32,"High Profit")</f>
        <v>High Profit</v>
      </c>
      <c r="AK504" s="2">
        <v>4</v>
      </c>
      <c r="AL504" s="2">
        <v>200</v>
      </c>
      <c r="AM504" s="2">
        <v>189</v>
      </c>
      <c r="AN504" s="2">
        <v>90.72</v>
      </c>
      <c r="AO504" s="2" t="s">
        <v>607</v>
      </c>
      <c r="AP504" s="2" t="s">
        <v>658</v>
      </c>
      <c r="AQ504" s="2" t="s">
        <v>127</v>
      </c>
      <c r="AR504" s="2" t="s">
        <v>81</v>
      </c>
      <c r="AS504" s="2">
        <v>502</v>
      </c>
      <c r="AT504" s="2">
        <v>24</v>
      </c>
      <c r="AU504" s="2" t="s">
        <v>442</v>
      </c>
      <c r="AV504" s="2">
        <v>50</v>
      </c>
      <c r="AW504" s="2">
        <v>0</v>
      </c>
      <c r="AX504" s="2" t="s">
        <v>2491</v>
      </c>
      <c r="AY504" s="2" t="s">
        <v>162</v>
      </c>
      <c r="AZ504" s="4">
        <v>42078</v>
      </c>
      <c r="BA504" s="5">
        <v>0.58680555555555558</v>
      </c>
      <c r="BB504" s="2">
        <v>2015</v>
      </c>
      <c r="BC504" s="2" t="s">
        <v>85</v>
      </c>
      <c r="BD504" s="2">
        <v>15</v>
      </c>
      <c r="BE504" s="4">
        <v>42081</v>
      </c>
      <c r="BF504" s="5">
        <v>0.58680555555555558</v>
      </c>
      <c r="BG504" s="2" t="str" cm="1">
        <f t="array" ref="BG504">_xlfn.IFS(BF504&lt;TIMEVALUE("06:00"),"Night", BF504&gt;=TIMEVALUE("21:00"),"Night",BF504&gt;=TIMEVALUE("17:00"),"Evening",BF504&gt;=TIMEVALUE("12:00"),"Afternoon", BF504&gt;=TIMEVALUE("06:00"),"Morning")</f>
        <v>Afternoon</v>
      </c>
      <c r="BH504" s="2">
        <v>2015</v>
      </c>
      <c r="BI504" s="2" t="s">
        <v>85</v>
      </c>
      <c r="BJ504" s="2">
        <v>18</v>
      </c>
    </row>
    <row r="505" spans="1:62" x14ac:dyDescent="0.3">
      <c r="A505" s="2" t="s">
        <v>121</v>
      </c>
      <c r="B505" s="2">
        <v>3</v>
      </c>
      <c r="C505" s="2">
        <v>2</v>
      </c>
      <c r="D505" s="2">
        <v>61.18</v>
      </c>
      <c r="E505" s="2">
        <v>135.97</v>
      </c>
      <c r="F505" s="2" t="s">
        <v>87</v>
      </c>
      <c r="G505" s="2" t="s">
        <v>88</v>
      </c>
      <c r="H505" s="2">
        <v>29</v>
      </c>
      <c r="I505" s="2" t="s">
        <v>424</v>
      </c>
      <c r="J505" s="2" t="s">
        <v>66</v>
      </c>
      <c r="K505" s="2" t="s">
        <v>67</v>
      </c>
      <c r="L505" s="2" t="s">
        <v>414</v>
      </c>
      <c r="M505" s="2">
        <v>5007</v>
      </c>
      <c r="N505" s="2" t="s">
        <v>425</v>
      </c>
      <c r="O505" s="2" t="s">
        <v>113</v>
      </c>
      <c r="P505" s="2" t="s">
        <v>71</v>
      </c>
      <c r="Q505" s="2" t="s">
        <v>603</v>
      </c>
      <c r="R505" s="2">
        <v>725</v>
      </c>
      <c r="S505" s="2">
        <v>5</v>
      </c>
      <c r="T505" s="2" t="s">
        <v>427</v>
      </c>
      <c r="U505" s="2">
        <v>18.249845499999999</v>
      </c>
      <c r="V505" s="2">
        <v>-66.370506300000002</v>
      </c>
      <c r="W505" s="2" t="s">
        <v>582</v>
      </c>
      <c r="X505" s="2" t="s">
        <v>2481</v>
      </c>
      <c r="Y505" s="2" t="s">
        <v>638</v>
      </c>
      <c r="Z505" s="2">
        <v>5007</v>
      </c>
      <c r="AA505" s="2" t="s">
        <v>2482</v>
      </c>
      <c r="AB505" s="2">
        <v>53202</v>
      </c>
      <c r="AC505" s="2">
        <v>627</v>
      </c>
      <c r="AD505" s="2">
        <v>23.99</v>
      </c>
      <c r="AE505" s="2">
        <v>0.15</v>
      </c>
      <c r="AF505" s="2" t="str" cm="1">
        <f t="array" ref="AF505">_xlfn.IFS(AE505=0, "No Discount ", AE505&lt;=0.08,"Low Discount", AE505&lt;=0.16,"Medium Discount", AE505&gt;0.16, "High Discount")</f>
        <v>Medium Discount</v>
      </c>
      <c r="AG505" s="2">
        <v>132934</v>
      </c>
      <c r="AH505" s="2">
        <v>39.99</v>
      </c>
      <c r="AI505" s="2">
        <v>0.45</v>
      </c>
      <c r="AJ505" s="2" t="str" cm="1">
        <f t="array" ref="AJ505">_xlfn.IFS(AI505&lt;=0, "No Profit", AI505&lt;=0.16,"Low Profit",AI505&lt;=0.32,"Medium Profit",AI505&gt;0.32,"High Profit")</f>
        <v>High Profit</v>
      </c>
      <c r="AK505" s="2">
        <v>4</v>
      </c>
      <c r="AL505" s="2">
        <v>159.96</v>
      </c>
      <c r="AM505" s="2">
        <v>135.97</v>
      </c>
      <c r="AN505" s="2">
        <v>61.18</v>
      </c>
      <c r="AO505" s="2" t="s">
        <v>586</v>
      </c>
      <c r="AP505" s="2" t="s">
        <v>2483</v>
      </c>
      <c r="AQ505" s="2" t="s">
        <v>127</v>
      </c>
      <c r="AR505" s="2" t="s">
        <v>81</v>
      </c>
      <c r="AS505" s="2">
        <v>627</v>
      </c>
      <c r="AT505" s="2">
        <v>29</v>
      </c>
      <c r="AU505" s="2" t="s">
        <v>432</v>
      </c>
      <c r="AV505" s="2">
        <v>39.99</v>
      </c>
      <c r="AW505" s="2">
        <v>0</v>
      </c>
      <c r="AX505" s="2" t="s">
        <v>2484</v>
      </c>
      <c r="AY505" s="2" t="s">
        <v>162</v>
      </c>
      <c r="AZ505" s="4">
        <v>42781</v>
      </c>
      <c r="BA505" s="5">
        <v>0.61111111111111116</v>
      </c>
      <c r="BB505" s="2">
        <v>2017</v>
      </c>
      <c r="BC505" s="2" t="s">
        <v>423</v>
      </c>
      <c r="BD505" s="2">
        <v>15</v>
      </c>
      <c r="BE505" s="4">
        <v>42784</v>
      </c>
      <c r="BF505" s="5">
        <v>0.61111111111111116</v>
      </c>
      <c r="BG505" s="2" t="str" cm="1">
        <f t="array" ref="BG505">_xlfn.IFS(BF505&lt;TIMEVALUE("06:00"),"Night", BF505&gt;=TIMEVALUE("21:00"),"Night",BF505&gt;=TIMEVALUE("17:00"),"Evening",BF505&gt;=TIMEVALUE("12:00"),"Afternoon", BF505&gt;=TIMEVALUE("06:00"),"Morning")</f>
        <v>Afternoon</v>
      </c>
      <c r="BH505" s="2">
        <v>2017</v>
      </c>
      <c r="BI505" s="2" t="s">
        <v>423</v>
      </c>
      <c r="BJ505" s="2">
        <v>18</v>
      </c>
    </row>
    <row r="506" spans="1:62" x14ac:dyDescent="0.3">
      <c r="A506" s="2" t="s">
        <v>121</v>
      </c>
      <c r="B506" s="2">
        <v>2</v>
      </c>
      <c r="C506" s="2">
        <v>2</v>
      </c>
      <c r="D506" s="2">
        <v>-115.6</v>
      </c>
      <c r="E506" s="2">
        <v>170</v>
      </c>
      <c r="F506" s="2" t="s">
        <v>100</v>
      </c>
      <c r="G506" s="2" t="s">
        <v>64</v>
      </c>
      <c r="H506" s="2">
        <v>24</v>
      </c>
      <c r="I506" s="2" t="s">
        <v>435</v>
      </c>
      <c r="J506" s="2" t="s">
        <v>66</v>
      </c>
      <c r="K506" s="2" t="s">
        <v>67</v>
      </c>
      <c r="L506" s="2" t="s">
        <v>414</v>
      </c>
      <c r="M506" s="2">
        <v>4232</v>
      </c>
      <c r="N506" s="2" t="s">
        <v>2492</v>
      </c>
      <c r="O506" s="2" t="s">
        <v>113</v>
      </c>
      <c r="P506" s="2" t="s">
        <v>71</v>
      </c>
      <c r="Q506" s="2" t="s">
        <v>2493</v>
      </c>
      <c r="R506" s="2">
        <v>725</v>
      </c>
      <c r="S506" s="2">
        <v>5</v>
      </c>
      <c r="T506" s="2" t="s">
        <v>427</v>
      </c>
      <c r="U506" s="2">
        <v>18.2008686</v>
      </c>
      <c r="V506" s="2">
        <v>-66.3705444</v>
      </c>
      <c r="W506" s="2" t="s">
        <v>582</v>
      </c>
      <c r="X506" s="2" t="s">
        <v>626</v>
      </c>
      <c r="Y506" s="2" t="s">
        <v>627</v>
      </c>
      <c r="Z506" s="2">
        <v>4232</v>
      </c>
      <c r="AA506" s="2" t="s">
        <v>2494</v>
      </c>
      <c r="AB506" s="2">
        <v>55511</v>
      </c>
      <c r="AC506" s="2">
        <v>502</v>
      </c>
      <c r="AD506" s="2">
        <v>30</v>
      </c>
      <c r="AE506" s="2">
        <v>0.15</v>
      </c>
      <c r="AF506" s="2" t="str" cm="1">
        <f t="array" ref="AF506">_xlfn.IFS(AE506=0, "No Discount ", AE506&lt;=0.08,"Low Discount", AE506&lt;=0.16,"Medium Discount", AE506&gt;0.16, "High Discount")</f>
        <v>Medium Discount</v>
      </c>
      <c r="AG506" s="2">
        <v>138833</v>
      </c>
      <c r="AH506" s="2">
        <v>50</v>
      </c>
      <c r="AI506" s="2">
        <v>-0.68</v>
      </c>
      <c r="AJ506" s="2" t="str" cm="1">
        <f t="array" ref="AJ506">_xlfn.IFS(AI506&lt;=0, "No Profit", AI506&lt;=0.16,"Low Profit",AI506&lt;=0.32,"Medium Profit",AI506&gt;0.32,"High Profit")</f>
        <v>No Profit</v>
      </c>
      <c r="AK506" s="2">
        <v>4</v>
      </c>
      <c r="AL506" s="2">
        <v>200</v>
      </c>
      <c r="AM506" s="2">
        <v>170</v>
      </c>
      <c r="AN506" s="2">
        <v>-115.6</v>
      </c>
      <c r="AO506" s="2" t="s">
        <v>586</v>
      </c>
      <c r="AP506" s="2" t="s">
        <v>628</v>
      </c>
      <c r="AQ506" s="2" t="s">
        <v>127</v>
      </c>
      <c r="AR506" s="2" t="s">
        <v>81</v>
      </c>
      <c r="AS506" s="2">
        <v>502</v>
      </c>
      <c r="AT506" s="2">
        <v>24</v>
      </c>
      <c r="AU506" s="2" t="s">
        <v>442</v>
      </c>
      <c r="AV506" s="2">
        <v>50</v>
      </c>
      <c r="AW506" s="2">
        <v>0</v>
      </c>
      <c r="AX506" s="2" t="s">
        <v>2495</v>
      </c>
      <c r="AY506" s="2" t="s">
        <v>162</v>
      </c>
      <c r="AZ506" s="4">
        <v>42815</v>
      </c>
      <c r="BA506" s="5">
        <v>0.31736111111111109</v>
      </c>
      <c r="BB506" s="2">
        <v>2017</v>
      </c>
      <c r="BC506" s="2" t="s">
        <v>85</v>
      </c>
      <c r="BD506" s="2">
        <v>21</v>
      </c>
      <c r="BE506" s="4">
        <v>42817</v>
      </c>
      <c r="BF506" s="5">
        <v>0.31736111111111109</v>
      </c>
      <c r="BG506" s="2" t="str" cm="1">
        <f t="array" ref="BG506">_xlfn.IFS(BF506&lt;TIMEVALUE("06:00"),"Night", BF506&gt;=TIMEVALUE("21:00"),"Night",BF506&gt;=TIMEVALUE("17:00"),"Evening",BF506&gt;=TIMEVALUE("12:00"),"Afternoon", BF506&gt;=TIMEVALUE("06:00"),"Morning")</f>
        <v>Morning</v>
      </c>
      <c r="BH506" s="2">
        <v>2017</v>
      </c>
      <c r="BI506" s="2" t="s">
        <v>85</v>
      </c>
      <c r="BJ506" s="2">
        <v>23</v>
      </c>
    </row>
    <row r="507" spans="1:62" x14ac:dyDescent="0.3">
      <c r="A507" s="2" t="s">
        <v>121</v>
      </c>
      <c r="B507" s="2">
        <v>4</v>
      </c>
      <c r="C507" s="2">
        <v>2</v>
      </c>
      <c r="D507" s="2">
        <v>50.95</v>
      </c>
      <c r="E507" s="2">
        <v>203.8</v>
      </c>
      <c r="F507" s="2" t="s">
        <v>87</v>
      </c>
      <c r="G507" s="2" t="s">
        <v>88</v>
      </c>
      <c r="H507" s="2">
        <v>37</v>
      </c>
      <c r="I507" s="2" t="s">
        <v>464</v>
      </c>
      <c r="J507" s="2" t="s">
        <v>66</v>
      </c>
      <c r="K507" s="2" t="s">
        <v>67</v>
      </c>
      <c r="L507" s="2" t="s">
        <v>414</v>
      </c>
      <c r="M507" s="2">
        <v>8986</v>
      </c>
      <c r="N507" s="2" t="s">
        <v>425</v>
      </c>
      <c r="O507" s="2" t="s">
        <v>113</v>
      </c>
      <c r="P507" s="2" t="s">
        <v>71</v>
      </c>
      <c r="Q507" s="2" t="s">
        <v>2496</v>
      </c>
      <c r="R507" s="2">
        <v>725</v>
      </c>
      <c r="S507" s="2">
        <v>6</v>
      </c>
      <c r="T507" s="2" t="s">
        <v>515</v>
      </c>
      <c r="U507" s="2">
        <v>18.211834</v>
      </c>
      <c r="V507" s="2">
        <v>-66.370536799999996</v>
      </c>
      <c r="W507" s="2" t="s">
        <v>582</v>
      </c>
      <c r="X507" s="2" t="s">
        <v>2497</v>
      </c>
      <c r="Y507" s="2" t="s">
        <v>632</v>
      </c>
      <c r="Z507" s="2">
        <v>8986</v>
      </c>
      <c r="AA507" s="3">
        <v>42738.128472222219</v>
      </c>
      <c r="AB507" s="2">
        <v>54128</v>
      </c>
      <c r="AC507" s="2">
        <v>823</v>
      </c>
      <c r="AD507" s="2">
        <v>4.16</v>
      </c>
      <c r="AE507" s="2">
        <v>0.02</v>
      </c>
      <c r="AF507" s="2" t="str" cm="1">
        <f t="array" ref="AF507">_xlfn.IFS(AE507=0, "No Discount ", AE507&lt;=0.08,"Low Discount", AE507&lt;=0.16,"Medium Discount", AE507&gt;0.16, "High Discount")</f>
        <v>Low Discount</v>
      </c>
      <c r="AG507" s="2">
        <v>135348</v>
      </c>
      <c r="AH507" s="2">
        <v>51.99</v>
      </c>
      <c r="AI507" s="2">
        <v>0.25</v>
      </c>
      <c r="AJ507" s="2" t="str" cm="1">
        <f t="array" ref="AJ507">_xlfn.IFS(AI507&lt;=0, "No Profit", AI507&lt;=0.16,"Low Profit",AI507&lt;=0.32,"Medium Profit",AI507&gt;0.32,"High Profit")</f>
        <v>Medium Profit</v>
      </c>
      <c r="AK507" s="2">
        <v>4</v>
      </c>
      <c r="AL507" s="2">
        <v>207.96</v>
      </c>
      <c r="AM507" s="2">
        <v>203.8</v>
      </c>
      <c r="AN507" s="2">
        <v>50.95</v>
      </c>
      <c r="AO507" s="2" t="s">
        <v>607</v>
      </c>
      <c r="AP507" s="2" t="s">
        <v>658</v>
      </c>
      <c r="AQ507" s="2" t="s">
        <v>127</v>
      </c>
      <c r="AR507" s="2" t="s">
        <v>81</v>
      </c>
      <c r="AS507" s="2">
        <v>823</v>
      </c>
      <c r="AT507" s="2">
        <v>37</v>
      </c>
      <c r="AU507" s="2" t="s">
        <v>2498</v>
      </c>
      <c r="AV507" s="2">
        <v>51.99</v>
      </c>
      <c r="AW507" s="2">
        <v>0</v>
      </c>
      <c r="AX507" s="3">
        <v>42858.128472222219</v>
      </c>
      <c r="AY507" s="2" t="s">
        <v>162</v>
      </c>
      <c r="AZ507" s="4">
        <v>42738</v>
      </c>
      <c r="BA507" s="5">
        <v>0.12847222222222221</v>
      </c>
      <c r="BB507" s="2">
        <v>2017</v>
      </c>
      <c r="BC507" s="2" t="s">
        <v>84</v>
      </c>
      <c r="BD507" s="2">
        <v>3</v>
      </c>
      <c r="BE507" s="4">
        <v>42858</v>
      </c>
      <c r="BF507" s="5">
        <v>0.12847222222222221</v>
      </c>
      <c r="BG507" s="2" t="str" cm="1">
        <f t="array" ref="BG507">_xlfn.IFS(BF507&lt;TIMEVALUE("06:00"),"Night", BF507&gt;=TIMEVALUE("21:00"),"Night",BF507&gt;=TIMEVALUE("17:00"),"Evening",BF507&gt;=TIMEVALUE("12:00"),"Afternoon", BF507&gt;=TIMEVALUE("06:00"),"Morning")</f>
        <v>Night</v>
      </c>
      <c r="BH507" s="2">
        <v>2017</v>
      </c>
      <c r="BI507" s="2" t="s">
        <v>443</v>
      </c>
      <c r="BJ507" s="2">
        <v>3</v>
      </c>
    </row>
    <row r="508" spans="1:62" x14ac:dyDescent="0.3">
      <c r="A508" s="2" t="s">
        <v>121</v>
      </c>
      <c r="B508" s="2">
        <v>5</v>
      </c>
      <c r="C508" s="2">
        <v>2</v>
      </c>
      <c r="D508" s="2">
        <v>-69.900000000000006</v>
      </c>
      <c r="E508" s="2">
        <v>94.46</v>
      </c>
      <c r="F508" s="2" t="s">
        <v>87</v>
      </c>
      <c r="G508" s="2" t="s">
        <v>88</v>
      </c>
      <c r="H508" s="2">
        <v>40</v>
      </c>
      <c r="I508" s="2" t="s">
        <v>1151</v>
      </c>
      <c r="J508" s="2" t="s">
        <v>66</v>
      </c>
      <c r="K508" s="2" t="s">
        <v>67</v>
      </c>
      <c r="L508" s="2" t="s">
        <v>1153</v>
      </c>
      <c r="M508" s="2">
        <v>6491</v>
      </c>
      <c r="N508" s="2" t="s">
        <v>2499</v>
      </c>
      <c r="O508" s="2" t="s">
        <v>113</v>
      </c>
      <c r="P508" s="2" t="s">
        <v>71</v>
      </c>
      <c r="Q508" s="2" t="s">
        <v>2500</v>
      </c>
      <c r="R508" s="2">
        <v>725</v>
      </c>
      <c r="S508" s="2">
        <v>6</v>
      </c>
      <c r="T508" s="2" t="s">
        <v>515</v>
      </c>
      <c r="U508" s="2">
        <v>18.220268300000001</v>
      </c>
      <c r="V508" s="2">
        <v>-66.370628400000001</v>
      </c>
      <c r="W508" s="2" t="s">
        <v>74</v>
      </c>
      <c r="X508" s="2" t="s">
        <v>1564</v>
      </c>
      <c r="Y508" s="2" t="s">
        <v>143</v>
      </c>
      <c r="Z508" s="2">
        <v>6491</v>
      </c>
      <c r="AA508" s="3">
        <v>42196.098611111112</v>
      </c>
      <c r="AB508" s="2">
        <v>21244</v>
      </c>
      <c r="AC508" s="2">
        <v>885</v>
      </c>
      <c r="AD508" s="2">
        <v>5.5</v>
      </c>
      <c r="AE508" s="2">
        <v>0.06</v>
      </c>
      <c r="AF508" s="2" t="str" cm="1">
        <f t="array" ref="AF508">_xlfn.IFS(AE508=0, "No Discount ", AE508&lt;=0.08,"Low Discount", AE508&lt;=0.16,"Medium Discount", AE508&gt;0.16, "High Discount")</f>
        <v>Low Discount</v>
      </c>
      <c r="AG508" s="2">
        <v>53138</v>
      </c>
      <c r="AH508" s="2">
        <v>24.99</v>
      </c>
      <c r="AI508" s="2">
        <v>-0.74</v>
      </c>
      <c r="AJ508" s="2" t="str" cm="1">
        <f t="array" ref="AJ508">_xlfn.IFS(AI508&lt;=0, "No Profit", AI508&lt;=0.16,"Low Profit",AI508&lt;=0.32,"Medium Profit",AI508&gt;0.32,"High Profit")</f>
        <v>No Profit</v>
      </c>
      <c r="AK508" s="2">
        <v>4</v>
      </c>
      <c r="AL508" s="2">
        <v>99.96</v>
      </c>
      <c r="AM508" s="2">
        <v>94.46</v>
      </c>
      <c r="AN508" s="2">
        <v>-69.900000000000006</v>
      </c>
      <c r="AO508" s="2" t="s">
        <v>145</v>
      </c>
      <c r="AP508" s="2" t="s">
        <v>1566</v>
      </c>
      <c r="AQ508" s="2" t="s">
        <v>2314</v>
      </c>
      <c r="AR508" s="2" t="s">
        <v>81</v>
      </c>
      <c r="AS508" s="2">
        <v>885</v>
      </c>
      <c r="AT508" s="2">
        <v>40</v>
      </c>
      <c r="AU508" s="2" t="s">
        <v>1273</v>
      </c>
      <c r="AV508" s="2">
        <v>24.99</v>
      </c>
      <c r="AW508" s="2">
        <v>0</v>
      </c>
      <c r="AX508" s="3">
        <v>42349.098611111112</v>
      </c>
      <c r="AY508" s="2" t="s">
        <v>162</v>
      </c>
      <c r="AZ508" s="4">
        <v>42196</v>
      </c>
      <c r="BA508" s="5">
        <v>9.8611111111111108E-2</v>
      </c>
      <c r="BB508" s="2">
        <v>2015</v>
      </c>
      <c r="BC508" s="2" t="s">
        <v>533</v>
      </c>
      <c r="BD508" s="2">
        <v>11</v>
      </c>
      <c r="BE508" s="4">
        <v>42349</v>
      </c>
      <c r="BF508" s="5">
        <v>9.8611111111111108E-2</v>
      </c>
      <c r="BG508" s="2" t="str" cm="1">
        <f t="array" ref="BG508">_xlfn.IFS(BF508&lt;TIMEVALUE("06:00"),"Night", BF508&gt;=TIMEVALUE("21:00"),"Night",BF508&gt;=TIMEVALUE("17:00"),"Evening",BF508&gt;=TIMEVALUE("12:00"),"Afternoon", BF508&gt;=TIMEVALUE("06:00"),"Morning")</f>
        <v>Night</v>
      </c>
      <c r="BH508" s="2">
        <v>2015</v>
      </c>
      <c r="BI508" s="2" t="s">
        <v>357</v>
      </c>
      <c r="BJ508" s="2">
        <v>11</v>
      </c>
    </row>
    <row r="509" spans="1:62" x14ac:dyDescent="0.3">
      <c r="A509" s="2" t="s">
        <v>121</v>
      </c>
      <c r="B509" s="2">
        <v>3</v>
      </c>
      <c r="C509" s="2">
        <v>2</v>
      </c>
      <c r="D509" s="2">
        <v>14.13</v>
      </c>
      <c r="E509" s="2">
        <v>227.96</v>
      </c>
      <c r="F509" s="2" t="s">
        <v>87</v>
      </c>
      <c r="G509" s="2" t="s">
        <v>88</v>
      </c>
      <c r="H509" s="2">
        <v>17</v>
      </c>
      <c r="I509" s="2" t="s">
        <v>412</v>
      </c>
      <c r="J509" s="2" t="s">
        <v>66</v>
      </c>
      <c r="K509" s="2" t="s">
        <v>67</v>
      </c>
      <c r="L509" s="2" t="s">
        <v>414</v>
      </c>
      <c r="M509" s="2">
        <v>9114</v>
      </c>
      <c r="N509" s="2" t="s">
        <v>425</v>
      </c>
      <c r="O509" s="2" t="s">
        <v>113</v>
      </c>
      <c r="P509" s="2" t="s">
        <v>71</v>
      </c>
      <c r="Q509" s="2" t="s">
        <v>450</v>
      </c>
      <c r="R509" s="2">
        <v>725</v>
      </c>
      <c r="S509" s="2">
        <v>4</v>
      </c>
      <c r="T509" s="2" t="s">
        <v>417</v>
      </c>
      <c r="U509" s="2">
        <v>18.284805299999999</v>
      </c>
      <c r="V509" s="2">
        <v>-66.370590199999995</v>
      </c>
      <c r="W509" s="2" t="s">
        <v>74</v>
      </c>
      <c r="X509" s="2" t="s">
        <v>451</v>
      </c>
      <c r="Y509" s="2" t="s">
        <v>452</v>
      </c>
      <c r="Z509" s="2">
        <v>9114</v>
      </c>
      <c r="AA509" s="2" t="s">
        <v>453</v>
      </c>
      <c r="AB509" s="2">
        <v>47752</v>
      </c>
      <c r="AC509" s="2">
        <v>365</v>
      </c>
      <c r="AD509" s="2">
        <v>12</v>
      </c>
      <c r="AE509" s="2">
        <v>0.05</v>
      </c>
      <c r="AF509" s="2" t="str" cm="1">
        <f t="array" ref="AF509">_xlfn.IFS(AE509=0, "No Discount ", AE509&lt;=0.08,"Low Discount", AE509&lt;=0.16,"Medium Discount", AE509&gt;0.16, "High Discount")</f>
        <v>Low Discount</v>
      </c>
      <c r="AG509" s="2">
        <v>119407</v>
      </c>
      <c r="AH509" s="2">
        <v>59.99</v>
      </c>
      <c r="AI509" s="2">
        <v>0.06</v>
      </c>
      <c r="AJ509" s="2" t="str" cm="1">
        <f t="array" ref="AJ509">_xlfn.IFS(AI509&lt;=0, "No Profit", AI509&lt;=0.16,"Low Profit",AI509&lt;=0.32,"Medium Profit",AI509&gt;0.32,"High Profit")</f>
        <v>Low Profit</v>
      </c>
      <c r="AK509" s="2">
        <v>4</v>
      </c>
      <c r="AL509" s="2">
        <v>239.96</v>
      </c>
      <c r="AM509" s="2">
        <v>227.96</v>
      </c>
      <c r="AN509" s="2">
        <v>14.13</v>
      </c>
      <c r="AO509" s="2" t="s">
        <v>145</v>
      </c>
      <c r="AP509" s="2" t="s">
        <v>454</v>
      </c>
      <c r="AQ509" s="2" t="s">
        <v>127</v>
      </c>
      <c r="AR509" s="2" t="s">
        <v>81</v>
      </c>
      <c r="AS509" s="2">
        <v>365</v>
      </c>
      <c r="AT509" s="2">
        <v>17</v>
      </c>
      <c r="AU509" s="2" t="s">
        <v>421</v>
      </c>
      <c r="AV509" s="2">
        <v>59.99</v>
      </c>
      <c r="AW509" s="2">
        <v>0</v>
      </c>
      <c r="AX509" s="3">
        <v>42381.054166666669</v>
      </c>
      <c r="AY509" s="2" t="s">
        <v>162</v>
      </c>
      <c r="AZ509" s="4">
        <v>42702</v>
      </c>
      <c r="BA509" s="5">
        <v>5.4166666666666669E-2</v>
      </c>
      <c r="BB509" s="2">
        <v>2016</v>
      </c>
      <c r="BC509" s="2" t="s">
        <v>455</v>
      </c>
      <c r="BD509" s="2">
        <v>28</v>
      </c>
      <c r="BE509" s="4">
        <v>42381</v>
      </c>
      <c r="BF509" s="5">
        <v>5.4166666666666669E-2</v>
      </c>
      <c r="BG509" s="2" t="str" cm="1">
        <f t="array" ref="BG509">_xlfn.IFS(BF509&lt;TIMEVALUE("06:00"),"Night", BF509&gt;=TIMEVALUE("21:00"),"Night",BF509&gt;=TIMEVALUE("17:00"),"Evening",BF509&gt;=TIMEVALUE("12:00"),"Afternoon", BF509&gt;=TIMEVALUE("06:00"),"Morning")</f>
        <v>Night</v>
      </c>
      <c r="BH509" s="2">
        <v>2016</v>
      </c>
      <c r="BI509" s="2" t="s">
        <v>84</v>
      </c>
      <c r="BJ509" s="2">
        <v>12</v>
      </c>
    </row>
    <row r="510" spans="1:62" x14ac:dyDescent="0.3">
      <c r="A510" s="2" t="s">
        <v>121</v>
      </c>
      <c r="B510" s="2">
        <v>5</v>
      </c>
      <c r="C510" s="2">
        <v>2</v>
      </c>
      <c r="D510" s="2">
        <v>84.23</v>
      </c>
      <c r="E510" s="2">
        <v>215.96</v>
      </c>
      <c r="F510" s="2" t="s">
        <v>87</v>
      </c>
      <c r="G510" s="2" t="s">
        <v>88</v>
      </c>
      <c r="H510" s="2">
        <v>17</v>
      </c>
      <c r="I510" s="2" t="s">
        <v>412</v>
      </c>
      <c r="J510" s="2" t="s">
        <v>66</v>
      </c>
      <c r="K510" s="2" t="s">
        <v>67</v>
      </c>
      <c r="L510" s="2" t="s">
        <v>414</v>
      </c>
      <c r="M510" s="2">
        <v>5564</v>
      </c>
      <c r="N510" s="2" t="s">
        <v>425</v>
      </c>
      <c r="O510" s="2" t="s">
        <v>113</v>
      </c>
      <c r="P510" s="2" t="s">
        <v>71</v>
      </c>
      <c r="Q510" s="2" t="s">
        <v>2501</v>
      </c>
      <c r="R510" s="2">
        <v>725</v>
      </c>
      <c r="S510" s="2">
        <v>4</v>
      </c>
      <c r="T510" s="2" t="s">
        <v>417</v>
      </c>
      <c r="U510" s="2">
        <v>18.2306271</v>
      </c>
      <c r="V510" s="2">
        <v>-66.370498699999999</v>
      </c>
      <c r="W510" s="2" t="s">
        <v>74</v>
      </c>
      <c r="X510" s="2" t="s">
        <v>2383</v>
      </c>
      <c r="Y510" s="2" t="s">
        <v>1342</v>
      </c>
      <c r="Z510" s="2">
        <v>5564</v>
      </c>
      <c r="AA510" s="3">
        <v>42373.002083333333</v>
      </c>
      <c r="AB510" s="2">
        <v>31239</v>
      </c>
      <c r="AC510" s="2">
        <v>365</v>
      </c>
      <c r="AD510" s="2">
        <v>24</v>
      </c>
      <c r="AE510" s="2">
        <v>0.1</v>
      </c>
      <c r="AF510" s="2" t="str" cm="1">
        <f t="array" ref="AF510">_xlfn.IFS(AE510=0, "No Discount ", AE510&lt;=0.08,"Low Discount", AE510&lt;=0.16,"Medium Discount", AE510&gt;0.16, "High Discount")</f>
        <v>Medium Discount</v>
      </c>
      <c r="AG510" s="2">
        <v>78074</v>
      </c>
      <c r="AH510" s="2">
        <v>59.99</v>
      </c>
      <c r="AI510" s="2">
        <v>0.39</v>
      </c>
      <c r="AJ510" s="2" t="str" cm="1">
        <f t="array" ref="AJ510">_xlfn.IFS(AI510&lt;=0, "No Profit", AI510&lt;=0.16,"Low Profit",AI510&lt;=0.32,"Medium Profit",AI510&gt;0.32,"High Profit")</f>
        <v>High Profit</v>
      </c>
      <c r="AK510" s="2">
        <v>4</v>
      </c>
      <c r="AL510" s="2">
        <v>239.96</v>
      </c>
      <c r="AM510" s="2">
        <v>215.96</v>
      </c>
      <c r="AN510" s="2">
        <v>84.23</v>
      </c>
      <c r="AO510" s="2" t="s">
        <v>118</v>
      </c>
      <c r="AP510" s="2" t="s">
        <v>2385</v>
      </c>
      <c r="AQ510" s="2" t="s">
        <v>127</v>
      </c>
      <c r="AR510" s="2" t="s">
        <v>81</v>
      </c>
      <c r="AS510" s="2">
        <v>365</v>
      </c>
      <c r="AT510" s="2">
        <v>17</v>
      </c>
      <c r="AU510" s="2" t="s">
        <v>421</v>
      </c>
      <c r="AV510" s="2">
        <v>59.99</v>
      </c>
      <c r="AW510" s="2">
        <v>0</v>
      </c>
      <c r="AX510" s="3">
        <v>42525.002083333333</v>
      </c>
      <c r="AY510" s="2" t="s">
        <v>162</v>
      </c>
      <c r="AZ510" s="4">
        <v>42373</v>
      </c>
      <c r="BA510" s="5">
        <v>2.0833333333333333E-3</v>
      </c>
      <c r="BB510" s="2">
        <v>2016</v>
      </c>
      <c r="BC510" s="2" t="s">
        <v>84</v>
      </c>
      <c r="BD510" s="2">
        <v>4</v>
      </c>
      <c r="BE510" s="4">
        <v>42525</v>
      </c>
      <c r="BF510" s="5">
        <v>2.0833333333333333E-3</v>
      </c>
      <c r="BG510" s="2" t="str" cm="1">
        <f t="array" ref="BG510">_xlfn.IFS(BF510&lt;TIMEVALUE("06:00"),"Night", BF510&gt;=TIMEVALUE("21:00"),"Night",BF510&gt;=TIMEVALUE("17:00"),"Evening",BF510&gt;=TIMEVALUE("12:00"),"Afternoon", BF510&gt;=TIMEVALUE("06:00"),"Morning")</f>
        <v>Night</v>
      </c>
      <c r="BH510" s="2">
        <v>2016</v>
      </c>
      <c r="BI510" s="2" t="s">
        <v>474</v>
      </c>
      <c r="BJ510" s="2">
        <v>4</v>
      </c>
    </row>
    <row r="511" spans="1:62" x14ac:dyDescent="0.3">
      <c r="A511" s="2" t="s">
        <v>121</v>
      </c>
      <c r="B511" s="2">
        <v>3</v>
      </c>
      <c r="C511" s="2">
        <v>2</v>
      </c>
      <c r="D511" s="2">
        <v>51.16</v>
      </c>
      <c r="E511" s="2">
        <v>196.77</v>
      </c>
      <c r="F511" s="2" t="s">
        <v>87</v>
      </c>
      <c r="G511" s="2" t="s">
        <v>88</v>
      </c>
      <c r="H511" s="2">
        <v>17</v>
      </c>
      <c r="I511" s="2" t="s">
        <v>412</v>
      </c>
      <c r="J511" s="2" t="s">
        <v>66</v>
      </c>
      <c r="K511" s="2" t="s">
        <v>67</v>
      </c>
      <c r="L511" s="2" t="s">
        <v>414</v>
      </c>
      <c r="M511" s="2">
        <v>7955</v>
      </c>
      <c r="N511" s="2" t="s">
        <v>661</v>
      </c>
      <c r="O511" s="2" t="s">
        <v>113</v>
      </c>
      <c r="P511" s="2" t="s">
        <v>71</v>
      </c>
      <c r="Q511" s="2" t="s">
        <v>2502</v>
      </c>
      <c r="R511" s="2">
        <v>725</v>
      </c>
      <c r="S511" s="2">
        <v>4</v>
      </c>
      <c r="T511" s="2" t="s">
        <v>417</v>
      </c>
      <c r="U511" s="2">
        <v>18.2887135</v>
      </c>
      <c r="V511" s="2">
        <v>-66.370506300000002</v>
      </c>
      <c r="W511" s="2" t="s">
        <v>74</v>
      </c>
      <c r="X511" s="2" t="s">
        <v>2503</v>
      </c>
      <c r="Y511" s="2" t="s">
        <v>1512</v>
      </c>
      <c r="Z511" s="2">
        <v>7955</v>
      </c>
      <c r="AA511" s="2" t="s">
        <v>2504</v>
      </c>
      <c r="AB511" s="2">
        <v>45772</v>
      </c>
      <c r="AC511" s="2">
        <v>365</v>
      </c>
      <c r="AD511" s="2">
        <v>43.19</v>
      </c>
      <c r="AE511" s="2">
        <v>0.18</v>
      </c>
      <c r="AF511" s="2" t="str" cm="1">
        <f t="array" ref="AF511">_xlfn.IFS(AE511=0, "No Discount ", AE511&lt;=0.08,"Low Discount", AE511&lt;=0.16,"Medium Discount", AE511&gt;0.16, "High Discount")</f>
        <v>High Discount</v>
      </c>
      <c r="AG511" s="2">
        <v>114415</v>
      </c>
      <c r="AH511" s="2">
        <v>59.99</v>
      </c>
      <c r="AI511" s="2">
        <v>0.26</v>
      </c>
      <c r="AJ511" s="2" t="str" cm="1">
        <f t="array" ref="AJ511">_xlfn.IFS(AI511&lt;=0, "No Profit", AI511&lt;=0.16,"Low Profit",AI511&lt;=0.32,"Medium Profit",AI511&gt;0.32,"High Profit")</f>
        <v>Medium Profit</v>
      </c>
      <c r="AK511" s="2">
        <v>4</v>
      </c>
      <c r="AL511" s="2">
        <v>239.96</v>
      </c>
      <c r="AM511" s="2">
        <v>196.77</v>
      </c>
      <c r="AN511" s="2">
        <v>51.16</v>
      </c>
      <c r="AO511" s="2" t="s">
        <v>95</v>
      </c>
      <c r="AP511" s="2" t="s">
        <v>2503</v>
      </c>
      <c r="AQ511" s="2" t="s">
        <v>127</v>
      </c>
      <c r="AR511" s="2" t="s">
        <v>81</v>
      </c>
      <c r="AS511" s="2">
        <v>365</v>
      </c>
      <c r="AT511" s="2">
        <v>17</v>
      </c>
      <c r="AU511" s="2" t="s">
        <v>421</v>
      </c>
      <c r="AV511" s="2">
        <v>59.99</v>
      </c>
      <c r="AW511" s="2">
        <v>0</v>
      </c>
      <c r="AX511" s="3">
        <v>42411.150694444441</v>
      </c>
      <c r="AY511" s="2" t="s">
        <v>162</v>
      </c>
      <c r="AZ511" s="4">
        <v>42673</v>
      </c>
      <c r="BA511" s="5">
        <v>0.15069444444444444</v>
      </c>
      <c r="BB511" s="2">
        <v>2016</v>
      </c>
      <c r="BC511" s="2" t="s">
        <v>434</v>
      </c>
      <c r="BD511" s="2">
        <v>30</v>
      </c>
      <c r="BE511" s="4">
        <v>42411</v>
      </c>
      <c r="BF511" s="5">
        <v>0.15069444444444444</v>
      </c>
      <c r="BG511" s="2" t="str" cm="1">
        <f t="array" ref="BG511">_xlfn.IFS(BF511&lt;TIMEVALUE("06:00"),"Night", BF511&gt;=TIMEVALUE("21:00"),"Night",BF511&gt;=TIMEVALUE("17:00"),"Evening",BF511&gt;=TIMEVALUE("12:00"),"Afternoon", BF511&gt;=TIMEVALUE("06:00"),"Morning")</f>
        <v>Night</v>
      </c>
      <c r="BH511" s="2">
        <v>2016</v>
      </c>
      <c r="BI511" s="2" t="s">
        <v>423</v>
      </c>
      <c r="BJ511" s="2">
        <v>11</v>
      </c>
    </row>
    <row r="512" spans="1:62" x14ac:dyDescent="0.3">
      <c r="A512" s="2" t="s">
        <v>121</v>
      </c>
      <c r="B512" s="2">
        <v>2</v>
      </c>
      <c r="C512" s="2">
        <v>2</v>
      </c>
      <c r="D512" s="2">
        <v>51.9</v>
      </c>
      <c r="E512" s="2">
        <v>153.56</v>
      </c>
      <c r="F512" s="2" t="s">
        <v>100</v>
      </c>
      <c r="G512" s="2" t="s">
        <v>64</v>
      </c>
      <c r="H512" s="2">
        <v>29</v>
      </c>
      <c r="I512" s="2" t="s">
        <v>424</v>
      </c>
      <c r="J512" s="2" t="s">
        <v>66</v>
      </c>
      <c r="K512" s="2" t="s">
        <v>67</v>
      </c>
      <c r="L512" s="2" t="s">
        <v>1650</v>
      </c>
      <c r="M512" s="2">
        <v>5728</v>
      </c>
      <c r="N512" s="2" t="s">
        <v>2505</v>
      </c>
      <c r="O512" s="2" t="s">
        <v>113</v>
      </c>
      <c r="P512" s="2" t="s">
        <v>71</v>
      </c>
      <c r="Q512" s="2" t="s">
        <v>2506</v>
      </c>
      <c r="R512" s="2">
        <v>725</v>
      </c>
      <c r="S512" s="2">
        <v>5</v>
      </c>
      <c r="T512" s="2" t="s">
        <v>427</v>
      </c>
      <c r="U512" s="2">
        <v>18.2342434</v>
      </c>
      <c r="V512" s="2">
        <v>-66.3706131</v>
      </c>
      <c r="W512" s="2" t="s">
        <v>74</v>
      </c>
      <c r="X512" s="2" t="s">
        <v>1431</v>
      </c>
      <c r="Y512" s="2" t="s">
        <v>116</v>
      </c>
      <c r="Z512" s="2">
        <v>5728</v>
      </c>
      <c r="AA512" s="2" t="s">
        <v>2507</v>
      </c>
      <c r="AB512" s="2">
        <v>24661</v>
      </c>
      <c r="AC512" s="2">
        <v>627</v>
      </c>
      <c r="AD512" s="2">
        <v>6.4</v>
      </c>
      <c r="AE512" s="2">
        <v>0.04</v>
      </c>
      <c r="AF512" s="2" t="str" cm="1">
        <f t="array" ref="AF512">_xlfn.IFS(AE512=0, "No Discount ", AE512&lt;=0.08,"Low Discount", AE512&lt;=0.16,"Medium Discount", AE512&gt;0.16, "High Discount")</f>
        <v>Low Discount</v>
      </c>
      <c r="AG512" s="2">
        <v>61755</v>
      </c>
      <c r="AH512" s="2">
        <v>39.99</v>
      </c>
      <c r="AI512" s="2">
        <v>0.34</v>
      </c>
      <c r="AJ512" s="2" t="str" cm="1">
        <f t="array" ref="AJ512">_xlfn.IFS(AI512&lt;=0, "No Profit", AI512&lt;=0.16,"Low Profit",AI512&lt;=0.32,"Medium Profit",AI512&gt;0.32,"High Profit")</f>
        <v>High Profit</v>
      </c>
      <c r="AK512" s="2">
        <v>4</v>
      </c>
      <c r="AL512" s="2">
        <v>159.96</v>
      </c>
      <c r="AM512" s="2">
        <v>153.56</v>
      </c>
      <c r="AN512" s="2">
        <v>51.9</v>
      </c>
      <c r="AO512" s="2" t="s">
        <v>118</v>
      </c>
      <c r="AP512" s="2" t="s">
        <v>255</v>
      </c>
      <c r="AQ512" s="2" t="s">
        <v>127</v>
      </c>
      <c r="AR512" s="2" t="s">
        <v>81</v>
      </c>
      <c r="AS512" s="2">
        <v>627</v>
      </c>
      <c r="AT512" s="2">
        <v>29</v>
      </c>
      <c r="AU512" s="2" t="s">
        <v>432</v>
      </c>
      <c r="AV512" s="2">
        <v>39.99</v>
      </c>
      <c r="AW512" s="2">
        <v>0</v>
      </c>
      <c r="AX512" s="2" t="s">
        <v>2508</v>
      </c>
      <c r="AY512" s="2" t="s">
        <v>162</v>
      </c>
      <c r="AZ512" s="4">
        <v>42364</v>
      </c>
      <c r="BA512" s="5">
        <v>0.97847222222222219</v>
      </c>
      <c r="BB512" s="2">
        <v>2015</v>
      </c>
      <c r="BC512" s="2" t="s">
        <v>357</v>
      </c>
      <c r="BD512" s="2">
        <v>26</v>
      </c>
      <c r="BE512" s="4">
        <v>42366</v>
      </c>
      <c r="BF512" s="5">
        <v>0.97847222222222219</v>
      </c>
      <c r="BG512" s="2" t="str" cm="1">
        <f t="array" ref="BG512">_xlfn.IFS(BF512&lt;TIMEVALUE("06:00"),"Night", BF512&gt;=TIMEVALUE("21:00"),"Night",BF512&gt;=TIMEVALUE("17:00"),"Evening",BF512&gt;=TIMEVALUE("12:00"),"Afternoon", BF512&gt;=TIMEVALUE("06:00"),"Morning")</f>
        <v>Night</v>
      </c>
      <c r="BH512" s="2">
        <v>2015</v>
      </c>
      <c r="BI512" s="2" t="s">
        <v>357</v>
      </c>
      <c r="BJ512" s="2">
        <v>28</v>
      </c>
    </row>
    <row r="513" spans="1:62" x14ac:dyDescent="0.3">
      <c r="A513" s="2" t="s">
        <v>121</v>
      </c>
      <c r="B513" s="2">
        <v>5</v>
      </c>
      <c r="C513" s="2">
        <v>2</v>
      </c>
      <c r="D513" s="2">
        <v>62.4</v>
      </c>
      <c r="E513" s="2">
        <v>192</v>
      </c>
      <c r="F513" s="2" t="s">
        <v>87</v>
      </c>
      <c r="G513" s="2" t="s">
        <v>88</v>
      </c>
      <c r="H513" s="2">
        <v>24</v>
      </c>
      <c r="I513" s="2" t="s">
        <v>435</v>
      </c>
      <c r="J513" s="2" t="s">
        <v>66</v>
      </c>
      <c r="K513" s="2" t="s">
        <v>67</v>
      </c>
      <c r="L513" s="2" t="s">
        <v>456</v>
      </c>
      <c r="M513" s="2">
        <v>1362</v>
      </c>
      <c r="N513" s="2" t="s">
        <v>425</v>
      </c>
      <c r="O513" s="2" t="s">
        <v>113</v>
      </c>
      <c r="P513" s="2" t="s">
        <v>71</v>
      </c>
      <c r="Q513" s="2" t="s">
        <v>457</v>
      </c>
      <c r="R513" s="2">
        <v>725</v>
      </c>
      <c r="S513" s="2">
        <v>5</v>
      </c>
      <c r="T513" s="2" t="s">
        <v>427</v>
      </c>
      <c r="U513" s="2">
        <v>18.294967700000001</v>
      </c>
      <c r="V513" s="2">
        <v>-66.370506300000002</v>
      </c>
      <c r="W513" s="2" t="s">
        <v>74</v>
      </c>
      <c r="X513" s="2" t="s">
        <v>449</v>
      </c>
      <c r="Y513" s="2" t="s">
        <v>429</v>
      </c>
      <c r="Z513" s="2">
        <v>1362</v>
      </c>
      <c r="AA513" s="2" t="s">
        <v>458</v>
      </c>
      <c r="AB513" s="2">
        <v>50054</v>
      </c>
      <c r="AC513" s="2">
        <v>502</v>
      </c>
      <c r="AD513" s="2">
        <v>8</v>
      </c>
      <c r="AE513" s="2">
        <v>0.04</v>
      </c>
      <c r="AF513" s="2" t="str" cm="1">
        <f t="array" ref="AF513">_xlfn.IFS(AE513=0, "No Discount ", AE513&lt;=0.08,"Low Discount", AE513&lt;=0.16,"Medium Discount", AE513&gt;0.16, "High Discount")</f>
        <v>Low Discount</v>
      </c>
      <c r="AG513" s="2">
        <v>125133</v>
      </c>
      <c r="AH513" s="2">
        <v>50</v>
      </c>
      <c r="AI513" s="2">
        <v>0.33</v>
      </c>
      <c r="AJ513" s="2" t="str" cm="1">
        <f t="array" ref="AJ513">_xlfn.IFS(AI513&lt;=0, "No Profit", AI513&lt;=0.16,"Low Profit",AI513&lt;=0.32,"Medium Profit",AI513&gt;0.32,"High Profit")</f>
        <v>High Profit</v>
      </c>
      <c r="AK513" s="2">
        <v>4</v>
      </c>
      <c r="AL513" s="2">
        <v>200</v>
      </c>
      <c r="AM513" s="2">
        <v>192</v>
      </c>
      <c r="AN513" s="2">
        <v>62.4</v>
      </c>
      <c r="AO513" s="2" t="s">
        <v>431</v>
      </c>
      <c r="AP513" s="2" t="s">
        <v>449</v>
      </c>
      <c r="AQ513" s="2" t="s">
        <v>127</v>
      </c>
      <c r="AR513" s="2" t="s">
        <v>81</v>
      </c>
      <c r="AS513" s="2">
        <v>502</v>
      </c>
      <c r="AT513" s="2">
        <v>24</v>
      </c>
      <c r="AU513" s="2" t="s">
        <v>442</v>
      </c>
      <c r="AV513" s="2">
        <v>50</v>
      </c>
      <c r="AW513" s="2">
        <v>0</v>
      </c>
      <c r="AX513" s="3">
        <v>42856.657638888886</v>
      </c>
      <c r="AY513" s="2" t="s">
        <v>162</v>
      </c>
      <c r="AZ513" s="4">
        <v>42735</v>
      </c>
      <c r="BA513" s="5">
        <v>0.65763888888888888</v>
      </c>
      <c r="BB513" s="2">
        <v>2016</v>
      </c>
      <c r="BC513" s="2" t="s">
        <v>357</v>
      </c>
      <c r="BD513" s="2">
        <v>31</v>
      </c>
      <c r="BE513" s="4">
        <v>42856</v>
      </c>
      <c r="BF513" s="5">
        <v>0.65763888888888888</v>
      </c>
      <c r="BG513" s="2" t="str" cm="1">
        <f t="array" ref="BG513">_xlfn.IFS(BF513&lt;TIMEVALUE("06:00"),"Night", BF513&gt;=TIMEVALUE("21:00"),"Night",BF513&gt;=TIMEVALUE("17:00"),"Evening",BF513&gt;=TIMEVALUE("12:00"),"Afternoon", BF513&gt;=TIMEVALUE("06:00"),"Morning")</f>
        <v>Afternoon</v>
      </c>
      <c r="BH513" s="2">
        <v>2017</v>
      </c>
      <c r="BI513" s="2" t="s">
        <v>443</v>
      </c>
      <c r="BJ513" s="2">
        <v>1</v>
      </c>
    </row>
    <row r="514" spans="1:62" x14ac:dyDescent="0.3">
      <c r="A514" s="2" t="s">
        <v>121</v>
      </c>
      <c r="B514" s="2">
        <v>5</v>
      </c>
      <c r="C514" s="2">
        <v>2</v>
      </c>
      <c r="D514" s="2">
        <v>3.8</v>
      </c>
      <c r="E514" s="2">
        <v>151.96</v>
      </c>
      <c r="F514" s="2" t="s">
        <v>87</v>
      </c>
      <c r="G514" s="2" t="s">
        <v>88</v>
      </c>
      <c r="H514" s="2">
        <v>29</v>
      </c>
      <c r="I514" s="2" t="s">
        <v>424</v>
      </c>
      <c r="J514" s="2" t="s">
        <v>66</v>
      </c>
      <c r="K514" s="2" t="s">
        <v>67</v>
      </c>
      <c r="L514" s="2" t="s">
        <v>414</v>
      </c>
      <c r="M514" s="2">
        <v>9704</v>
      </c>
      <c r="N514" s="2" t="s">
        <v>2008</v>
      </c>
      <c r="O514" s="2" t="s">
        <v>113</v>
      </c>
      <c r="P514" s="2" t="s">
        <v>71</v>
      </c>
      <c r="Q514" s="2" t="s">
        <v>2509</v>
      </c>
      <c r="R514" s="2">
        <v>725</v>
      </c>
      <c r="S514" s="2">
        <v>5</v>
      </c>
      <c r="T514" s="2" t="s">
        <v>427</v>
      </c>
      <c r="U514" s="2">
        <v>18.274776500000002</v>
      </c>
      <c r="V514" s="2">
        <v>-66.370559700000001</v>
      </c>
      <c r="W514" s="2" t="s">
        <v>74</v>
      </c>
      <c r="X514" s="2" t="s">
        <v>2179</v>
      </c>
      <c r="Y514" s="2" t="s">
        <v>2180</v>
      </c>
      <c r="Z514" s="2">
        <v>9704</v>
      </c>
      <c r="AA514" s="3">
        <v>42016.62222222222</v>
      </c>
      <c r="AB514" s="2">
        <v>22924</v>
      </c>
      <c r="AC514" s="2">
        <v>627</v>
      </c>
      <c r="AD514" s="2">
        <v>8</v>
      </c>
      <c r="AE514" s="2">
        <v>0.05</v>
      </c>
      <c r="AF514" s="2" t="str" cm="1">
        <f t="array" ref="AF514">_xlfn.IFS(AE514=0, "No Discount ", AE514&lt;=0.08,"Low Discount", AE514&lt;=0.16,"Medium Discount", AE514&gt;0.16, "High Discount")</f>
        <v>Low Discount</v>
      </c>
      <c r="AG514" s="2">
        <v>57384</v>
      </c>
      <c r="AH514" s="2">
        <v>39.99</v>
      </c>
      <c r="AI514" s="2">
        <v>0.03</v>
      </c>
      <c r="AJ514" s="2" t="str" cm="1">
        <f t="array" ref="AJ514">_xlfn.IFS(AI514&lt;=0, "No Profit", AI514&lt;=0.16,"Low Profit",AI514&lt;=0.32,"Medium Profit",AI514&gt;0.32,"High Profit")</f>
        <v>Low Profit</v>
      </c>
      <c r="AK514" s="2">
        <v>4</v>
      </c>
      <c r="AL514" s="2">
        <v>159.96</v>
      </c>
      <c r="AM514" s="2">
        <v>151.96</v>
      </c>
      <c r="AN514" s="2">
        <v>3.8</v>
      </c>
      <c r="AO514" s="2" t="s">
        <v>78</v>
      </c>
      <c r="AP514" s="2" t="s">
        <v>2181</v>
      </c>
      <c r="AQ514" s="2" t="s">
        <v>127</v>
      </c>
      <c r="AR514" s="2" t="s">
        <v>81</v>
      </c>
      <c r="AS514" s="2">
        <v>627</v>
      </c>
      <c r="AT514" s="2">
        <v>29</v>
      </c>
      <c r="AU514" s="2" t="s">
        <v>432</v>
      </c>
      <c r="AV514" s="2">
        <v>39.99</v>
      </c>
      <c r="AW514" s="2">
        <v>0</v>
      </c>
      <c r="AX514" s="3">
        <v>42167.62222222222</v>
      </c>
      <c r="AY514" s="2" t="s">
        <v>162</v>
      </c>
      <c r="AZ514" s="4">
        <v>42016</v>
      </c>
      <c r="BA514" s="5">
        <v>0.62222222222222223</v>
      </c>
      <c r="BB514" s="2">
        <v>2015</v>
      </c>
      <c r="BC514" s="2" t="s">
        <v>84</v>
      </c>
      <c r="BD514" s="2">
        <v>12</v>
      </c>
      <c r="BE514" s="4">
        <v>42167</v>
      </c>
      <c r="BF514" s="5">
        <v>0.62222222222222223</v>
      </c>
      <c r="BG514" s="2" t="str" cm="1">
        <f t="array" ref="BG514">_xlfn.IFS(BF514&lt;TIMEVALUE("06:00"),"Night", BF514&gt;=TIMEVALUE("21:00"),"Night",BF514&gt;=TIMEVALUE("17:00"),"Evening",BF514&gt;=TIMEVALUE("12:00"),"Afternoon", BF514&gt;=TIMEVALUE("06:00"),"Morning")</f>
        <v>Afternoon</v>
      </c>
      <c r="BH514" s="2">
        <v>2015</v>
      </c>
      <c r="BI514" s="2" t="s">
        <v>474</v>
      </c>
      <c r="BJ514" s="2">
        <v>12</v>
      </c>
    </row>
    <row r="515" spans="1:62" x14ac:dyDescent="0.3">
      <c r="A515" s="2" t="s">
        <v>121</v>
      </c>
      <c r="B515" s="2">
        <v>3</v>
      </c>
      <c r="C515" s="2">
        <v>2</v>
      </c>
      <c r="D515" s="2">
        <v>90.72</v>
      </c>
      <c r="E515" s="2">
        <v>189</v>
      </c>
      <c r="F515" s="2" t="s">
        <v>87</v>
      </c>
      <c r="G515" s="2" t="s">
        <v>88</v>
      </c>
      <c r="H515" s="2">
        <v>24</v>
      </c>
      <c r="I515" s="2" t="s">
        <v>435</v>
      </c>
      <c r="J515" s="2" t="s">
        <v>66</v>
      </c>
      <c r="K515" s="2" t="s">
        <v>67</v>
      </c>
      <c r="L515" s="2" t="s">
        <v>414</v>
      </c>
      <c r="M515" s="2">
        <v>8485</v>
      </c>
      <c r="N515" s="2" t="s">
        <v>2510</v>
      </c>
      <c r="O515" s="2" t="s">
        <v>113</v>
      </c>
      <c r="P515" s="2" t="s">
        <v>71</v>
      </c>
      <c r="Q515" s="2" t="s">
        <v>2511</v>
      </c>
      <c r="R515" s="2">
        <v>725</v>
      </c>
      <c r="S515" s="2">
        <v>5</v>
      </c>
      <c r="T515" s="2" t="s">
        <v>427</v>
      </c>
      <c r="U515" s="2">
        <v>18.299190500000002</v>
      </c>
      <c r="V515" s="2">
        <v>-66.370536799999996</v>
      </c>
      <c r="W515" s="2" t="s">
        <v>74</v>
      </c>
      <c r="X515" s="2" t="s">
        <v>1536</v>
      </c>
      <c r="Y515" s="2" t="s">
        <v>1537</v>
      </c>
      <c r="Z515" s="2">
        <v>8485</v>
      </c>
      <c r="AA515" s="2" t="s">
        <v>2512</v>
      </c>
      <c r="AB515" s="2">
        <v>21902</v>
      </c>
      <c r="AC515" s="2">
        <v>502</v>
      </c>
      <c r="AD515" s="2">
        <v>11</v>
      </c>
      <c r="AE515" s="2">
        <v>0.06</v>
      </c>
      <c r="AF515" s="2" t="str" cm="1">
        <f t="array" ref="AF515">_xlfn.IFS(AE515=0, "No Discount ", AE515&lt;=0.08,"Low Discount", AE515&lt;=0.16,"Medium Discount", AE515&gt;0.16, "High Discount")</f>
        <v>Low Discount</v>
      </c>
      <c r="AG515" s="2">
        <v>54783</v>
      </c>
      <c r="AH515" s="2">
        <v>50</v>
      </c>
      <c r="AI515" s="2">
        <v>0.48</v>
      </c>
      <c r="AJ515" s="2" t="str" cm="1">
        <f t="array" ref="AJ515">_xlfn.IFS(AI515&lt;=0, "No Profit", AI515&lt;=0.16,"Low Profit",AI515&lt;=0.32,"Medium Profit",AI515&gt;0.32,"High Profit")</f>
        <v>High Profit</v>
      </c>
      <c r="AK515" s="2">
        <v>4</v>
      </c>
      <c r="AL515" s="2">
        <v>200</v>
      </c>
      <c r="AM515" s="2">
        <v>189</v>
      </c>
      <c r="AN515" s="2">
        <v>90.72</v>
      </c>
      <c r="AO515" s="2" t="s">
        <v>78</v>
      </c>
      <c r="AP515" s="2" t="s">
        <v>1536</v>
      </c>
      <c r="AQ515" s="2" t="s">
        <v>127</v>
      </c>
      <c r="AR515" s="2" t="s">
        <v>81</v>
      </c>
      <c r="AS515" s="2">
        <v>502</v>
      </c>
      <c r="AT515" s="2">
        <v>24</v>
      </c>
      <c r="AU515" s="2" t="s">
        <v>442</v>
      </c>
      <c r="AV515" s="2">
        <v>50</v>
      </c>
      <c r="AW515" s="2">
        <v>0</v>
      </c>
      <c r="AX515" s="2" t="s">
        <v>2513</v>
      </c>
      <c r="AY515" s="2" t="s">
        <v>162</v>
      </c>
      <c r="AZ515" s="4">
        <v>42324</v>
      </c>
      <c r="BA515" s="5">
        <v>0.70347222222222228</v>
      </c>
      <c r="BB515" s="2">
        <v>2015</v>
      </c>
      <c r="BC515" s="2" t="s">
        <v>455</v>
      </c>
      <c r="BD515" s="2">
        <v>16</v>
      </c>
      <c r="BE515" s="4">
        <v>42327</v>
      </c>
      <c r="BF515" s="5">
        <v>0.70347222222222228</v>
      </c>
      <c r="BG515" s="2" t="str" cm="1">
        <f t="array" ref="BG515">_xlfn.IFS(BF515&lt;TIMEVALUE("06:00"),"Night", BF515&gt;=TIMEVALUE("21:00"),"Night",BF515&gt;=TIMEVALUE("17:00"),"Evening",BF515&gt;=TIMEVALUE("12:00"),"Afternoon", BF515&gt;=TIMEVALUE("06:00"),"Morning")</f>
        <v>Afternoon</v>
      </c>
      <c r="BH515" s="2">
        <v>2015</v>
      </c>
      <c r="BI515" s="2" t="s">
        <v>455</v>
      </c>
      <c r="BJ515" s="2">
        <v>19</v>
      </c>
    </row>
    <row r="516" spans="1:62" x14ac:dyDescent="0.3">
      <c r="A516" s="2" t="s">
        <v>121</v>
      </c>
      <c r="B516" s="2">
        <v>5</v>
      </c>
      <c r="C516" s="2">
        <v>2</v>
      </c>
      <c r="D516" s="2">
        <v>13.12</v>
      </c>
      <c r="E516" s="2">
        <v>131.16999999999999</v>
      </c>
      <c r="F516" s="2" t="s">
        <v>87</v>
      </c>
      <c r="G516" s="2" t="s">
        <v>88</v>
      </c>
      <c r="H516" s="2">
        <v>29</v>
      </c>
      <c r="I516" s="2" t="s">
        <v>424</v>
      </c>
      <c r="J516" s="2" t="s">
        <v>66</v>
      </c>
      <c r="K516" s="2" t="s">
        <v>67</v>
      </c>
      <c r="L516" s="2" t="s">
        <v>414</v>
      </c>
      <c r="M516" s="2">
        <v>11216</v>
      </c>
      <c r="N516" s="2" t="s">
        <v>2303</v>
      </c>
      <c r="O516" s="2" t="s">
        <v>113</v>
      </c>
      <c r="P516" s="2" t="s">
        <v>71</v>
      </c>
      <c r="Q516" s="2" t="s">
        <v>2514</v>
      </c>
      <c r="R516" s="2">
        <v>725</v>
      </c>
      <c r="S516" s="2">
        <v>5</v>
      </c>
      <c r="T516" s="2" t="s">
        <v>427</v>
      </c>
      <c r="U516" s="2">
        <v>18.282405900000001</v>
      </c>
      <c r="V516" s="2">
        <v>-66.370506300000002</v>
      </c>
      <c r="W516" s="2" t="s">
        <v>74</v>
      </c>
      <c r="X516" s="2" t="s">
        <v>172</v>
      </c>
      <c r="Y516" s="2" t="s">
        <v>173</v>
      </c>
      <c r="Z516" s="2">
        <v>11216</v>
      </c>
      <c r="AA516" s="3">
        <v>42319.331944444442</v>
      </c>
      <c r="AB516" s="2">
        <v>21534</v>
      </c>
      <c r="AC516" s="2">
        <v>627</v>
      </c>
      <c r="AD516" s="2">
        <v>28.79</v>
      </c>
      <c r="AE516" s="2">
        <v>0.18</v>
      </c>
      <c r="AF516" s="2" t="str" cm="1">
        <f t="array" ref="AF516">_xlfn.IFS(AE516=0, "No Discount ", AE516&lt;=0.08,"Low Discount", AE516&lt;=0.16,"Medium Discount", AE516&gt;0.16, "High Discount")</f>
        <v>High Discount</v>
      </c>
      <c r="AG516" s="2">
        <v>53838</v>
      </c>
      <c r="AH516" s="2">
        <v>39.99</v>
      </c>
      <c r="AI516" s="2">
        <v>0.1</v>
      </c>
      <c r="AJ516" s="2" t="str" cm="1">
        <f t="array" ref="AJ516">_xlfn.IFS(AI516&lt;=0, "No Profit", AI516&lt;=0.16,"Low Profit",AI516&lt;=0.32,"Medium Profit",AI516&gt;0.32,"High Profit")</f>
        <v>Low Profit</v>
      </c>
      <c r="AK516" s="2">
        <v>4</v>
      </c>
      <c r="AL516" s="2">
        <v>159.96</v>
      </c>
      <c r="AM516" s="2">
        <v>131.16999999999999</v>
      </c>
      <c r="AN516" s="2">
        <v>13.12</v>
      </c>
      <c r="AO516" s="2" t="s">
        <v>145</v>
      </c>
      <c r="AP516" s="2" t="s">
        <v>172</v>
      </c>
      <c r="AQ516" s="2" t="s">
        <v>127</v>
      </c>
      <c r="AR516" s="2" t="s">
        <v>81</v>
      </c>
      <c r="AS516" s="2">
        <v>627</v>
      </c>
      <c r="AT516" s="2">
        <v>29</v>
      </c>
      <c r="AU516" s="2" t="s">
        <v>432</v>
      </c>
      <c r="AV516" s="2">
        <v>39.99</v>
      </c>
      <c r="AW516" s="2">
        <v>0</v>
      </c>
      <c r="AX516" s="2" t="s">
        <v>2515</v>
      </c>
      <c r="AY516" s="2" t="s">
        <v>162</v>
      </c>
      <c r="AZ516" s="4">
        <v>42319</v>
      </c>
      <c r="BA516" s="5">
        <v>0.33194444444444443</v>
      </c>
      <c r="BB516" s="2">
        <v>2015</v>
      </c>
      <c r="BC516" s="2" t="s">
        <v>455</v>
      </c>
      <c r="BD516" s="2">
        <v>11</v>
      </c>
      <c r="BE516" s="4">
        <v>42324</v>
      </c>
      <c r="BF516" s="5">
        <v>0.33194444444444443</v>
      </c>
      <c r="BG516" s="2" t="str" cm="1">
        <f t="array" ref="BG516">_xlfn.IFS(BF516&lt;TIMEVALUE("06:00"),"Night", BF516&gt;=TIMEVALUE("21:00"),"Night",BF516&gt;=TIMEVALUE("17:00"),"Evening",BF516&gt;=TIMEVALUE("12:00"),"Afternoon", BF516&gt;=TIMEVALUE("06:00"),"Morning")</f>
        <v>Morning</v>
      </c>
      <c r="BH516" s="2">
        <v>2015</v>
      </c>
      <c r="BI516" s="2" t="s">
        <v>455</v>
      </c>
      <c r="BJ516" s="2">
        <v>16</v>
      </c>
    </row>
    <row r="517" spans="1:62" x14ac:dyDescent="0.3">
      <c r="A517" s="2" t="s">
        <v>121</v>
      </c>
      <c r="B517" s="2">
        <v>2</v>
      </c>
      <c r="C517" s="2">
        <v>2</v>
      </c>
      <c r="D517" s="2">
        <v>50.84</v>
      </c>
      <c r="E517" s="2">
        <v>164</v>
      </c>
      <c r="F517" s="2" t="s">
        <v>100</v>
      </c>
      <c r="G517" s="2" t="s">
        <v>64</v>
      </c>
      <c r="H517" s="2">
        <v>24</v>
      </c>
      <c r="I517" s="2" t="s">
        <v>435</v>
      </c>
      <c r="J517" s="2" t="s">
        <v>66</v>
      </c>
      <c r="K517" s="2" t="s">
        <v>67</v>
      </c>
      <c r="L517" s="2" t="s">
        <v>414</v>
      </c>
      <c r="M517" s="2">
        <v>4741</v>
      </c>
      <c r="N517" s="2" t="s">
        <v>425</v>
      </c>
      <c r="O517" s="2" t="s">
        <v>113</v>
      </c>
      <c r="P517" s="2" t="s">
        <v>71</v>
      </c>
      <c r="Q517" s="2" t="s">
        <v>426</v>
      </c>
      <c r="R517" s="2">
        <v>725</v>
      </c>
      <c r="S517" s="2">
        <v>5</v>
      </c>
      <c r="T517" s="2" t="s">
        <v>427</v>
      </c>
      <c r="U517" s="2">
        <v>18.2355728</v>
      </c>
      <c r="V517" s="2">
        <v>-66.3706131</v>
      </c>
      <c r="W517" s="2" t="s">
        <v>74</v>
      </c>
      <c r="X517" s="2" t="s">
        <v>428</v>
      </c>
      <c r="Y517" s="2" t="s">
        <v>429</v>
      </c>
      <c r="Z517" s="2">
        <v>4741</v>
      </c>
      <c r="AA517" s="2" t="s">
        <v>430</v>
      </c>
      <c r="AB517" s="2">
        <v>45461</v>
      </c>
      <c r="AC517" s="2">
        <v>502</v>
      </c>
      <c r="AD517" s="2">
        <v>36</v>
      </c>
      <c r="AE517" s="2">
        <v>0.18</v>
      </c>
      <c r="AF517" s="2" t="str" cm="1">
        <f t="array" ref="AF517">_xlfn.IFS(AE517=0, "No Discount ", AE517&lt;=0.08,"Low Discount", AE517&lt;=0.16,"Medium Discount", AE517&gt;0.16, "High Discount")</f>
        <v>High Discount</v>
      </c>
      <c r="AG517" s="2">
        <v>113596</v>
      </c>
      <c r="AH517" s="2">
        <v>50</v>
      </c>
      <c r="AI517" s="2">
        <v>0.31</v>
      </c>
      <c r="AJ517" s="2" t="str" cm="1">
        <f t="array" ref="AJ517">_xlfn.IFS(AI517&lt;=0, "No Profit", AI517&lt;=0.16,"Low Profit",AI517&lt;=0.32,"Medium Profit",AI517&gt;0.32,"High Profit")</f>
        <v>Medium Profit</v>
      </c>
      <c r="AK517" s="2">
        <v>4</v>
      </c>
      <c r="AL517" s="2">
        <v>200</v>
      </c>
      <c r="AM517" s="2">
        <v>164</v>
      </c>
      <c r="AN517" s="2">
        <v>50.84</v>
      </c>
      <c r="AO517" s="2" t="s">
        <v>431</v>
      </c>
      <c r="AP517" s="2" t="s">
        <v>428</v>
      </c>
      <c r="AQ517" s="2" t="s">
        <v>127</v>
      </c>
      <c r="AR517" s="2" t="s">
        <v>81</v>
      </c>
      <c r="AS517" s="2">
        <v>502</v>
      </c>
      <c r="AT517" s="2">
        <v>24</v>
      </c>
      <c r="AU517" s="2" t="s">
        <v>442</v>
      </c>
      <c r="AV517" s="2">
        <v>50</v>
      </c>
      <c r="AW517" s="2">
        <v>0</v>
      </c>
      <c r="AX517" s="2" t="s">
        <v>433</v>
      </c>
      <c r="AY517" s="2" t="s">
        <v>162</v>
      </c>
      <c r="AZ517" s="4">
        <v>42668</v>
      </c>
      <c r="BA517" s="5">
        <v>0.61041666666666672</v>
      </c>
      <c r="BB517" s="2">
        <v>2016</v>
      </c>
      <c r="BC517" s="2" t="s">
        <v>434</v>
      </c>
      <c r="BD517" s="2">
        <v>25</v>
      </c>
      <c r="BE517" s="4">
        <v>42670</v>
      </c>
      <c r="BF517" s="5">
        <v>0.61041666666666672</v>
      </c>
      <c r="BG517" s="2" t="str" cm="1">
        <f t="array" ref="BG517">_xlfn.IFS(BF517&lt;TIMEVALUE("06:00"),"Night", BF517&gt;=TIMEVALUE("21:00"),"Night",BF517&gt;=TIMEVALUE("17:00"),"Evening",BF517&gt;=TIMEVALUE("12:00"),"Afternoon", BF517&gt;=TIMEVALUE("06:00"),"Morning")</f>
        <v>Afternoon</v>
      </c>
      <c r="BH517" s="2">
        <v>2016</v>
      </c>
      <c r="BI517" s="2" t="s">
        <v>434</v>
      </c>
      <c r="BJ517" s="2">
        <v>27</v>
      </c>
    </row>
    <row r="518" spans="1:62" x14ac:dyDescent="0.3">
      <c r="A518" s="2" t="s">
        <v>121</v>
      </c>
      <c r="B518" s="2">
        <v>6</v>
      </c>
      <c r="C518" s="2">
        <v>2</v>
      </c>
      <c r="D518" s="2">
        <v>-76.77</v>
      </c>
      <c r="E518" s="2">
        <v>95.96</v>
      </c>
      <c r="F518" s="2" t="s">
        <v>87</v>
      </c>
      <c r="G518" s="2" t="s">
        <v>88</v>
      </c>
      <c r="H518" s="2">
        <v>40</v>
      </c>
      <c r="I518" s="2" t="s">
        <v>1151</v>
      </c>
      <c r="J518" s="2" t="s">
        <v>66</v>
      </c>
      <c r="K518" s="2" t="s">
        <v>67</v>
      </c>
      <c r="L518" s="2" t="s">
        <v>1468</v>
      </c>
      <c r="M518" s="2">
        <v>12160</v>
      </c>
      <c r="N518" s="2" t="s">
        <v>1381</v>
      </c>
      <c r="O518" s="2" t="s">
        <v>113</v>
      </c>
      <c r="P518" s="2" t="s">
        <v>71</v>
      </c>
      <c r="Q518" s="2" t="s">
        <v>2516</v>
      </c>
      <c r="R518" s="2">
        <v>725</v>
      </c>
      <c r="S518" s="2">
        <v>6</v>
      </c>
      <c r="T518" s="2" t="s">
        <v>515</v>
      </c>
      <c r="U518" s="2">
        <v>18.2895489</v>
      </c>
      <c r="V518" s="2">
        <v>-66.370552099999998</v>
      </c>
      <c r="W518" s="2" t="s">
        <v>74</v>
      </c>
      <c r="X518" s="2" t="s">
        <v>1416</v>
      </c>
      <c r="Y518" s="2" t="s">
        <v>116</v>
      </c>
      <c r="Z518" s="2">
        <v>12160</v>
      </c>
      <c r="AA518" s="2" t="s">
        <v>2517</v>
      </c>
      <c r="AB518" s="2">
        <v>24160</v>
      </c>
      <c r="AC518" s="2">
        <v>885</v>
      </c>
      <c r="AD518" s="2">
        <v>4</v>
      </c>
      <c r="AE518" s="2">
        <v>0.04</v>
      </c>
      <c r="AF518" s="2" t="str" cm="1">
        <f t="array" ref="AF518">_xlfn.IFS(AE518=0, "No Discount ", AE518&lt;=0.08,"Low Discount", AE518&lt;=0.16,"Medium Discount", AE518&gt;0.16, "High Discount")</f>
        <v>Low Discount</v>
      </c>
      <c r="AG518" s="2">
        <v>60432</v>
      </c>
      <c r="AH518" s="2">
        <v>24.99</v>
      </c>
      <c r="AI518" s="2">
        <v>-0.8</v>
      </c>
      <c r="AJ518" s="2" t="str" cm="1">
        <f t="array" ref="AJ518">_xlfn.IFS(AI518&lt;=0, "No Profit", AI518&lt;=0.16,"Low Profit",AI518&lt;=0.32,"Medium Profit",AI518&gt;0.32,"High Profit")</f>
        <v>No Profit</v>
      </c>
      <c r="AK518" s="2">
        <v>4</v>
      </c>
      <c r="AL518" s="2">
        <v>99.96</v>
      </c>
      <c r="AM518" s="2">
        <v>95.96</v>
      </c>
      <c r="AN518" s="2">
        <v>-76.77</v>
      </c>
      <c r="AO518" s="2" t="s">
        <v>118</v>
      </c>
      <c r="AP518" s="2" t="s">
        <v>275</v>
      </c>
      <c r="AQ518" s="2" t="s">
        <v>127</v>
      </c>
      <c r="AR518" s="2" t="s">
        <v>81</v>
      </c>
      <c r="AS518" s="2">
        <v>885</v>
      </c>
      <c r="AT518" s="2">
        <v>40</v>
      </c>
      <c r="AU518" s="2" t="s">
        <v>1273</v>
      </c>
      <c r="AV518" s="2">
        <v>24.99</v>
      </c>
      <c r="AW518" s="2">
        <v>0</v>
      </c>
      <c r="AX518" s="2" t="s">
        <v>2518</v>
      </c>
      <c r="AY518" s="2" t="s">
        <v>162</v>
      </c>
      <c r="AZ518" s="4">
        <v>42357</v>
      </c>
      <c r="BA518" s="5">
        <v>0.66527777777777775</v>
      </c>
      <c r="BB518" s="2">
        <v>2015</v>
      </c>
      <c r="BC518" s="2" t="s">
        <v>357</v>
      </c>
      <c r="BD518" s="2">
        <v>19</v>
      </c>
      <c r="BE518" s="4">
        <v>42363</v>
      </c>
      <c r="BF518" s="5">
        <v>0.66527777777777775</v>
      </c>
      <c r="BG518" s="2" t="str" cm="1">
        <f t="array" ref="BG518">_xlfn.IFS(BF518&lt;TIMEVALUE("06:00"),"Night", BF518&gt;=TIMEVALUE("21:00"),"Night",BF518&gt;=TIMEVALUE("17:00"),"Evening",BF518&gt;=TIMEVALUE("12:00"),"Afternoon", BF518&gt;=TIMEVALUE("06:00"),"Morning")</f>
        <v>Afternoon</v>
      </c>
      <c r="BH518" s="2">
        <v>2015</v>
      </c>
      <c r="BI518" s="2" t="s">
        <v>357</v>
      </c>
      <c r="BJ518" s="2">
        <v>25</v>
      </c>
    </row>
    <row r="519" spans="1:62" x14ac:dyDescent="0.3">
      <c r="A519" s="2" t="s">
        <v>121</v>
      </c>
      <c r="B519" s="2">
        <v>5</v>
      </c>
      <c r="C519" s="2">
        <v>2</v>
      </c>
      <c r="D519" s="2">
        <v>76.36</v>
      </c>
      <c r="E519" s="2">
        <v>166</v>
      </c>
      <c r="F519" s="2" t="s">
        <v>87</v>
      </c>
      <c r="G519" s="2" t="s">
        <v>88</v>
      </c>
      <c r="H519" s="2">
        <v>24</v>
      </c>
      <c r="I519" s="2" t="s">
        <v>435</v>
      </c>
      <c r="J519" s="2" t="s">
        <v>66</v>
      </c>
      <c r="K519" s="2" t="s">
        <v>67</v>
      </c>
      <c r="L519" s="2" t="s">
        <v>1414</v>
      </c>
      <c r="M519" s="2">
        <v>11292</v>
      </c>
      <c r="N519" s="2" t="s">
        <v>2408</v>
      </c>
      <c r="O519" s="2" t="s">
        <v>113</v>
      </c>
      <c r="P519" s="2" t="s">
        <v>71</v>
      </c>
      <c r="Q519" s="2" t="s">
        <v>2409</v>
      </c>
      <c r="R519" s="2">
        <v>725</v>
      </c>
      <c r="S519" s="2">
        <v>5</v>
      </c>
      <c r="T519" s="2" t="s">
        <v>427</v>
      </c>
      <c r="U519" s="2">
        <v>18.234525699999999</v>
      </c>
      <c r="V519" s="2">
        <v>-66.370620700000003</v>
      </c>
      <c r="W519" s="2" t="s">
        <v>467</v>
      </c>
      <c r="X519" s="2" t="s">
        <v>2410</v>
      </c>
      <c r="Y519" s="2" t="s">
        <v>469</v>
      </c>
      <c r="Z519" s="2">
        <v>11292</v>
      </c>
      <c r="AA519" s="2" t="s">
        <v>2411</v>
      </c>
      <c r="AB519" s="2">
        <v>39159</v>
      </c>
      <c r="AC519" s="2">
        <v>502</v>
      </c>
      <c r="AD519" s="2">
        <v>34</v>
      </c>
      <c r="AE519" s="2">
        <v>0.17</v>
      </c>
      <c r="AF519" s="2" t="str" cm="1">
        <f t="array" ref="AF519">_xlfn.IFS(AE519=0, "No Discount ", AE519&lt;=0.08,"Low Discount", AE519&lt;=0.16,"Medium Discount", AE519&gt;0.16, "High Discount")</f>
        <v>High Discount</v>
      </c>
      <c r="AG519" s="2">
        <v>97737</v>
      </c>
      <c r="AH519" s="2">
        <v>50</v>
      </c>
      <c r="AI519" s="2">
        <v>0.46</v>
      </c>
      <c r="AJ519" s="2" t="str" cm="1">
        <f t="array" ref="AJ519">_xlfn.IFS(AI519&lt;=0, "No Profit", AI519&lt;=0.16,"Low Profit",AI519&lt;=0.32,"Medium Profit",AI519&gt;0.32,"High Profit")</f>
        <v>High Profit</v>
      </c>
      <c r="AK519" s="2">
        <v>4</v>
      </c>
      <c r="AL519" s="2">
        <v>200</v>
      </c>
      <c r="AM519" s="2">
        <v>166</v>
      </c>
      <c r="AN519" s="2">
        <v>76.36</v>
      </c>
      <c r="AO519" s="2" t="s">
        <v>470</v>
      </c>
      <c r="AP519" s="2" t="s">
        <v>471</v>
      </c>
      <c r="AQ519" s="2" t="s">
        <v>2314</v>
      </c>
      <c r="AR519" s="2">
        <v>98103</v>
      </c>
      <c r="AS519" s="2">
        <v>502</v>
      </c>
      <c r="AT519" s="2">
        <v>24</v>
      </c>
      <c r="AU519" s="2" t="s">
        <v>442</v>
      </c>
      <c r="AV519" s="2">
        <v>50</v>
      </c>
      <c r="AW519" s="2">
        <v>0</v>
      </c>
      <c r="AX519" s="2" t="s">
        <v>2412</v>
      </c>
      <c r="AY519" s="2" t="s">
        <v>162</v>
      </c>
      <c r="AZ519" s="4">
        <v>42576</v>
      </c>
      <c r="BA519" s="5">
        <v>0.61597222222222225</v>
      </c>
      <c r="BB519" s="2">
        <v>2016</v>
      </c>
      <c r="BC519" s="2" t="s">
        <v>533</v>
      </c>
      <c r="BD519" s="2">
        <v>25</v>
      </c>
      <c r="BE519" s="4">
        <v>42581</v>
      </c>
      <c r="BF519" s="5">
        <v>0.61597222222222225</v>
      </c>
      <c r="BG519" s="2" t="str" cm="1">
        <f t="array" ref="BG519">_xlfn.IFS(BF519&lt;TIMEVALUE("06:00"),"Night", BF519&gt;=TIMEVALUE("21:00"),"Night",BF519&gt;=TIMEVALUE("17:00"),"Evening",BF519&gt;=TIMEVALUE("12:00"),"Afternoon", BF519&gt;=TIMEVALUE("06:00"),"Morning")</f>
        <v>Afternoon</v>
      </c>
      <c r="BH519" s="2">
        <v>2016</v>
      </c>
      <c r="BI519" s="2" t="s">
        <v>533</v>
      </c>
      <c r="BJ519" s="2">
        <v>30</v>
      </c>
    </row>
    <row r="520" spans="1:62" x14ac:dyDescent="0.3">
      <c r="A520" s="2" t="s">
        <v>121</v>
      </c>
      <c r="B520" s="2">
        <v>3</v>
      </c>
      <c r="C520" s="2">
        <v>2</v>
      </c>
      <c r="D520" s="2">
        <v>36.74</v>
      </c>
      <c r="E520" s="2">
        <v>126.68</v>
      </c>
      <c r="F520" s="2" t="s">
        <v>87</v>
      </c>
      <c r="G520" s="2" t="s">
        <v>88</v>
      </c>
      <c r="H520" s="2">
        <v>13</v>
      </c>
      <c r="I520" s="2" t="s">
        <v>464</v>
      </c>
      <c r="J520" s="2" t="s">
        <v>66</v>
      </c>
      <c r="K520" s="2" t="s">
        <v>67</v>
      </c>
      <c r="L520" s="2" t="s">
        <v>2519</v>
      </c>
      <c r="M520" s="2">
        <v>6352</v>
      </c>
      <c r="N520" s="2" t="s">
        <v>425</v>
      </c>
      <c r="O520" s="2" t="s">
        <v>113</v>
      </c>
      <c r="P520" s="2" t="s">
        <v>71</v>
      </c>
      <c r="Q520" s="2" t="s">
        <v>662</v>
      </c>
      <c r="R520" s="2">
        <v>725</v>
      </c>
      <c r="S520" s="2">
        <v>3</v>
      </c>
      <c r="T520" s="2" t="s">
        <v>466</v>
      </c>
      <c r="U520" s="2">
        <v>18.2306843</v>
      </c>
      <c r="V520" s="2">
        <v>-66.370529199999993</v>
      </c>
      <c r="W520" s="2" t="s">
        <v>467</v>
      </c>
      <c r="X520" s="2" t="s">
        <v>2104</v>
      </c>
      <c r="Y520" s="2" t="s">
        <v>469</v>
      </c>
      <c r="Z520" s="2">
        <v>6352</v>
      </c>
      <c r="AA520" s="2" t="s">
        <v>2520</v>
      </c>
      <c r="AB520" s="2">
        <v>32102</v>
      </c>
      <c r="AC520" s="2">
        <v>282</v>
      </c>
      <c r="AD520" s="2">
        <v>1.28</v>
      </c>
      <c r="AE520" s="2">
        <v>0.01</v>
      </c>
      <c r="AF520" s="2" t="str" cm="1">
        <f t="array" ref="AF520">_xlfn.IFS(AE520=0, "No Discount ", AE520&lt;=0.08,"Low Discount", AE520&lt;=0.16,"Medium Discount", AE520&gt;0.16, "High Discount")</f>
        <v>Low Discount</v>
      </c>
      <c r="AG520" s="2">
        <v>80279</v>
      </c>
      <c r="AH520" s="2">
        <v>31.99</v>
      </c>
      <c r="AI520" s="2">
        <v>0.28999999999999998</v>
      </c>
      <c r="AJ520" s="2" t="str" cm="1">
        <f t="array" ref="AJ520">_xlfn.IFS(AI520&lt;=0, "No Profit", AI520&lt;=0.16,"Low Profit",AI520&lt;=0.32,"Medium Profit",AI520&gt;0.32,"High Profit")</f>
        <v>Medium Profit</v>
      </c>
      <c r="AK520" s="2">
        <v>4</v>
      </c>
      <c r="AL520" s="2">
        <v>127.96</v>
      </c>
      <c r="AM520" s="2">
        <v>126.68</v>
      </c>
      <c r="AN520" s="2">
        <v>36.74</v>
      </c>
      <c r="AO520" s="2" t="s">
        <v>470</v>
      </c>
      <c r="AP520" s="2" t="s">
        <v>2521</v>
      </c>
      <c r="AQ520" s="2" t="s">
        <v>127</v>
      </c>
      <c r="AR520" s="2">
        <v>80219</v>
      </c>
      <c r="AS520" s="2">
        <v>282</v>
      </c>
      <c r="AT520" s="2">
        <v>13</v>
      </c>
      <c r="AU520" s="2" t="s">
        <v>1757</v>
      </c>
      <c r="AV520" s="2">
        <v>31.99</v>
      </c>
      <c r="AW520" s="2">
        <v>0</v>
      </c>
      <c r="AX520" s="2" t="s">
        <v>2522</v>
      </c>
      <c r="AY520" s="2" t="s">
        <v>162</v>
      </c>
      <c r="AZ520" s="4">
        <v>42473</v>
      </c>
      <c r="BA520" s="5">
        <v>0.6</v>
      </c>
      <c r="BB520" s="2">
        <v>2016</v>
      </c>
      <c r="BC520" s="2" t="s">
        <v>487</v>
      </c>
      <c r="BD520" s="2">
        <v>13</v>
      </c>
      <c r="BE520" s="4">
        <v>42476</v>
      </c>
      <c r="BF520" s="5">
        <v>0.6</v>
      </c>
      <c r="BG520" s="2" t="str" cm="1">
        <f t="array" ref="BG520">_xlfn.IFS(BF520&lt;TIMEVALUE("06:00"),"Night", BF520&gt;=TIMEVALUE("21:00"),"Night",BF520&gt;=TIMEVALUE("17:00"),"Evening",BF520&gt;=TIMEVALUE("12:00"),"Afternoon", BF520&gt;=TIMEVALUE("06:00"),"Morning")</f>
        <v>Afternoon</v>
      </c>
      <c r="BH520" s="2">
        <v>2016</v>
      </c>
      <c r="BI520" s="2" t="s">
        <v>487</v>
      </c>
      <c r="BJ520" s="2">
        <v>16</v>
      </c>
    </row>
    <row r="521" spans="1:62" x14ac:dyDescent="0.3">
      <c r="A521" s="2" t="s">
        <v>121</v>
      </c>
      <c r="B521" s="2">
        <v>4</v>
      </c>
      <c r="C521" s="2">
        <v>2</v>
      </c>
      <c r="D521" s="2">
        <v>102.29</v>
      </c>
      <c r="E521" s="2">
        <v>208.77</v>
      </c>
      <c r="F521" s="2" t="s">
        <v>87</v>
      </c>
      <c r="G521" s="2" t="s">
        <v>88</v>
      </c>
      <c r="H521" s="2">
        <v>17</v>
      </c>
      <c r="I521" s="2" t="s">
        <v>412</v>
      </c>
      <c r="J521" s="2" t="s">
        <v>66</v>
      </c>
      <c r="K521" s="2" t="s">
        <v>67</v>
      </c>
      <c r="L521" s="2" t="s">
        <v>790</v>
      </c>
      <c r="M521" s="2">
        <v>5870</v>
      </c>
      <c r="N521" s="2" t="s">
        <v>2523</v>
      </c>
      <c r="O521" s="2" t="s">
        <v>113</v>
      </c>
      <c r="P521" s="2" t="s">
        <v>71</v>
      </c>
      <c r="Q521" s="2" t="s">
        <v>2524</v>
      </c>
      <c r="R521" s="2">
        <v>725</v>
      </c>
      <c r="S521" s="2">
        <v>4</v>
      </c>
      <c r="T521" s="2" t="s">
        <v>417</v>
      </c>
      <c r="U521" s="2">
        <v>18.286518099999999</v>
      </c>
      <c r="V521" s="2">
        <v>-66.370513900000006</v>
      </c>
      <c r="W521" s="2" t="s">
        <v>467</v>
      </c>
      <c r="X521" s="2" t="s">
        <v>110</v>
      </c>
      <c r="Y521" s="2" t="s">
        <v>469</v>
      </c>
      <c r="Z521" s="2">
        <v>5870</v>
      </c>
      <c r="AA521" s="3">
        <v>42497.237500000003</v>
      </c>
      <c r="AB521" s="2">
        <v>37763</v>
      </c>
      <c r="AC521" s="2">
        <v>365</v>
      </c>
      <c r="AD521" s="2">
        <v>31.19</v>
      </c>
      <c r="AE521" s="2">
        <v>0.13</v>
      </c>
      <c r="AF521" s="2" t="str" cm="1">
        <f t="array" ref="AF521">_xlfn.IFS(AE521=0, "No Discount ", AE521&lt;=0.08,"Low Discount", AE521&lt;=0.16,"Medium Discount", AE521&gt;0.16, "High Discount")</f>
        <v>Medium Discount</v>
      </c>
      <c r="AG521" s="2">
        <v>94239</v>
      </c>
      <c r="AH521" s="2">
        <v>59.99</v>
      </c>
      <c r="AI521" s="2">
        <v>0.49</v>
      </c>
      <c r="AJ521" s="2" t="str" cm="1">
        <f t="array" ref="AJ521">_xlfn.IFS(AI521&lt;=0, "No Profit", AI521&lt;=0.16,"Low Profit",AI521&lt;=0.32,"Medium Profit",AI521&gt;0.32,"High Profit")</f>
        <v>High Profit</v>
      </c>
      <c r="AK521" s="2">
        <v>4</v>
      </c>
      <c r="AL521" s="2">
        <v>239.96</v>
      </c>
      <c r="AM521" s="2">
        <v>208.77</v>
      </c>
      <c r="AN521" s="2">
        <v>102.29</v>
      </c>
      <c r="AO521" s="2" t="s">
        <v>470</v>
      </c>
      <c r="AP521" s="2" t="s">
        <v>479</v>
      </c>
      <c r="AQ521" s="2" t="s">
        <v>127</v>
      </c>
      <c r="AR521" s="2">
        <v>90008</v>
      </c>
      <c r="AS521" s="2">
        <v>365</v>
      </c>
      <c r="AT521" s="2">
        <v>17</v>
      </c>
      <c r="AU521" s="2" t="s">
        <v>421</v>
      </c>
      <c r="AV521" s="2">
        <v>59.99</v>
      </c>
      <c r="AW521" s="2">
        <v>0</v>
      </c>
      <c r="AX521" s="3">
        <v>42620.237500000003</v>
      </c>
      <c r="AY521" s="2" t="s">
        <v>162</v>
      </c>
      <c r="AZ521" s="4">
        <v>42497</v>
      </c>
      <c r="BA521" s="5">
        <v>0.23749999999999999</v>
      </c>
      <c r="BB521" s="2">
        <v>2016</v>
      </c>
      <c r="BC521" s="2" t="s">
        <v>443</v>
      </c>
      <c r="BD521" s="2">
        <v>7</v>
      </c>
      <c r="BE521" s="4">
        <v>42620</v>
      </c>
      <c r="BF521" s="5">
        <v>0.23749999999999999</v>
      </c>
      <c r="BG521" s="2" t="str" cm="1">
        <f t="array" ref="BG521">_xlfn.IFS(BF521&lt;TIMEVALUE("06:00"),"Night", BF521&gt;=TIMEVALUE("21:00"),"Night",BF521&gt;=TIMEVALUE("17:00"),"Evening",BF521&gt;=TIMEVALUE("12:00"),"Afternoon", BF521&gt;=TIMEVALUE("06:00"),"Morning")</f>
        <v>Night</v>
      </c>
      <c r="BH521" s="2">
        <v>2016</v>
      </c>
      <c r="BI521" s="2" t="s">
        <v>552</v>
      </c>
      <c r="BJ521" s="2">
        <v>7</v>
      </c>
    </row>
    <row r="522" spans="1:62" x14ac:dyDescent="0.3">
      <c r="A522" s="2" t="s">
        <v>121</v>
      </c>
      <c r="B522" s="2">
        <v>3</v>
      </c>
      <c r="C522" s="2">
        <v>2</v>
      </c>
      <c r="D522" s="2">
        <v>95.98</v>
      </c>
      <c r="E522" s="2">
        <v>191.97</v>
      </c>
      <c r="F522" s="2" t="s">
        <v>87</v>
      </c>
      <c r="G522" s="2" t="s">
        <v>88</v>
      </c>
      <c r="H522" s="2">
        <v>17</v>
      </c>
      <c r="I522" s="2" t="s">
        <v>412</v>
      </c>
      <c r="J522" s="2" t="s">
        <v>66</v>
      </c>
      <c r="K522" s="2" t="s">
        <v>67</v>
      </c>
      <c r="L522" s="2" t="s">
        <v>414</v>
      </c>
      <c r="M522" s="2">
        <v>11776</v>
      </c>
      <c r="N522" s="2" t="s">
        <v>425</v>
      </c>
      <c r="O522" s="2" t="s">
        <v>113</v>
      </c>
      <c r="P522" s="2" t="s">
        <v>71</v>
      </c>
      <c r="Q522" s="2" t="s">
        <v>2525</v>
      </c>
      <c r="R522" s="2">
        <v>725</v>
      </c>
      <c r="S522" s="2">
        <v>4</v>
      </c>
      <c r="T522" s="2" t="s">
        <v>417</v>
      </c>
      <c r="U522" s="2">
        <v>18.2077198</v>
      </c>
      <c r="V522" s="2">
        <v>-66.370605499999996</v>
      </c>
      <c r="W522" s="2" t="s">
        <v>467</v>
      </c>
      <c r="X522" s="2" t="s">
        <v>1097</v>
      </c>
      <c r="Y522" s="2" t="s">
        <v>469</v>
      </c>
      <c r="Z522" s="2">
        <v>11776</v>
      </c>
      <c r="AA522" s="3">
        <v>42528.755555555559</v>
      </c>
      <c r="AB522" s="2">
        <v>37867</v>
      </c>
      <c r="AC522" s="2">
        <v>365</v>
      </c>
      <c r="AD522" s="2">
        <v>47.99</v>
      </c>
      <c r="AE522" s="2">
        <v>0.2</v>
      </c>
      <c r="AF522" s="2" t="str" cm="1">
        <f t="array" ref="AF522">_xlfn.IFS(AE522=0, "No Discount ", AE522&lt;=0.08,"Low Discount", AE522&lt;=0.16,"Medium Discount", AE522&gt;0.16, "High Discount")</f>
        <v>High Discount</v>
      </c>
      <c r="AG522" s="2">
        <v>94512</v>
      </c>
      <c r="AH522" s="2">
        <v>59.99</v>
      </c>
      <c r="AI522" s="2">
        <v>0.5</v>
      </c>
      <c r="AJ522" s="2" t="str" cm="1">
        <f t="array" ref="AJ522">_xlfn.IFS(AI522&lt;=0, "No Profit", AI522&lt;=0.16,"Low Profit",AI522&lt;=0.32,"Medium Profit",AI522&gt;0.32,"High Profit")</f>
        <v>High Profit</v>
      </c>
      <c r="AK522" s="2">
        <v>4</v>
      </c>
      <c r="AL522" s="2">
        <v>239.96</v>
      </c>
      <c r="AM522" s="2">
        <v>191.97</v>
      </c>
      <c r="AN522" s="2">
        <v>95.98</v>
      </c>
      <c r="AO522" s="2" t="s">
        <v>493</v>
      </c>
      <c r="AP522" s="2" t="s">
        <v>1098</v>
      </c>
      <c r="AQ522" s="2" t="s">
        <v>127</v>
      </c>
      <c r="AR522" s="2">
        <v>77095</v>
      </c>
      <c r="AS522" s="2">
        <v>365</v>
      </c>
      <c r="AT522" s="2">
        <v>17</v>
      </c>
      <c r="AU522" s="2" t="s">
        <v>421</v>
      </c>
      <c r="AV522" s="2">
        <v>59.99</v>
      </c>
      <c r="AW522" s="2">
        <v>0</v>
      </c>
      <c r="AX522" s="3">
        <v>42620.755555555559</v>
      </c>
      <c r="AY522" s="2" t="s">
        <v>162</v>
      </c>
      <c r="AZ522" s="4">
        <v>42528</v>
      </c>
      <c r="BA522" s="5">
        <v>0.75555555555555554</v>
      </c>
      <c r="BB522" s="2">
        <v>2016</v>
      </c>
      <c r="BC522" s="2" t="s">
        <v>474</v>
      </c>
      <c r="BD522" s="2">
        <v>7</v>
      </c>
      <c r="BE522" s="4">
        <v>42620</v>
      </c>
      <c r="BF522" s="5">
        <v>0.75555555555555554</v>
      </c>
      <c r="BG522" s="2" t="str" cm="1">
        <f t="array" ref="BG522">_xlfn.IFS(BF522&lt;TIMEVALUE("06:00"),"Night", BF522&gt;=TIMEVALUE("21:00"),"Night",BF522&gt;=TIMEVALUE("17:00"),"Evening",BF522&gt;=TIMEVALUE("12:00"),"Afternoon", BF522&gt;=TIMEVALUE("06:00"),"Morning")</f>
        <v>Evening</v>
      </c>
      <c r="BH522" s="2">
        <v>2016</v>
      </c>
      <c r="BI522" s="2" t="s">
        <v>552</v>
      </c>
      <c r="BJ522" s="2">
        <v>7</v>
      </c>
    </row>
    <row r="523" spans="1:62" x14ac:dyDescent="0.3">
      <c r="A523" s="2" t="s">
        <v>121</v>
      </c>
      <c r="B523" s="2">
        <v>6</v>
      </c>
      <c r="C523" s="2">
        <v>2</v>
      </c>
      <c r="D523" s="2">
        <v>67.489999999999995</v>
      </c>
      <c r="E523" s="2">
        <v>179.97</v>
      </c>
      <c r="F523" s="2" t="s">
        <v>87</v>
      </c>
      <c r="G523" s="2" t="s">
        <v>88</v>
      </c>
      <c r="H523" s="2">
        <v>17</v>
      </c>
      <c r="I523" s="2" t="s">
        <v>412</v>
      </c>
      <c r="J523" s="2" t="s">
        <v>66</v>
      </c>
      <c r="K523" s="2" t="s">
        <v>67</v>
      </c>
      <c r="L523" s="2" t="s">
        <v>1590</v>
      </c>
      <c r="M523" s="2">
        <v>7060</v>
      </c>
      <c r="N523" s="2" t="s">
        <v>2526</v>
      </c>
      <c r="O523" s="2" t="s">
        <v>113</v>
      </c>
      <c r="P523" s="2" t="s">
        <v>71</v>
      </c>
      <c r="Q523" s="2" t="s">
        <v>2527</v>
      </c>
      <c r="R523" s="2">
        <v>725</v>
      </c>
      <c r="S523" s="2">
        <v>4</v>
      </c>
      <c r="T523" s="2" t="s">
        <v>417</v>
      </c>
      <c r="U523" s="2">
        <v>18.261062599999999</v>
      </c>
      <c r="V523" s="2">
        <v>-66.370536799999996</v>
      </c>
      <c r="W523" s="2" t="s">
        <v>467</v>
      </c>
      <c r="X523" s="2" t="s">
        <v>1147</v>
      </c>
      <c r="Y523" s="2" t="s">
        <v>469</v>
      </c>
      <c r="Z523" s="2">
        <v>7060</v>
      </c>
      <c r="AA523" s="3">
        <v>42647.724305555559</v>
      </c>
      <c r="AB523" s="2">
        <v>31905</v>
      </c>
      <c r="AC523" s="2">
        <v>365</v>
      </c>
      <c r="AD523" s="2">
        <v>59.99</v>
      </c>
      <c r="AE523" s="2">
        <v>0.25</v>
      </c>
      <c r="AF523" s="2" t="str" cm="1">
        <f t="array" ref="AF523">_xlfn.IFS(AE523=0, "No Discount ", AE523&lt;=0.08,"Low Discount", AE523&lt;=0.16,"Medium Discount", AE523&gt;0.16, "High Discount")</f>
        <v>High Discount</v>
      </c>
      <c r="AG523" s="2">
        <v>79729</v>
      </c>
      <c r="AH523" s="2">
        <v>59.99</v>
      </c>
      <c r="AI523" s="2">
        <v>0.38</v>
      </c>
      <c r="AJ523" s="2" t="str" cm="1">
        <f t="array" ref="AJ523">_xlfn.IFS(AI523&lt;=0, "No Profit", AI523&lt;=0.16,"Low Profit",AI523&lt;=0.32,"Medium Profit",AI523&gt;0.32,"High Profit")</f>
        <v>High Profit</v>
      </c>
      <c r="AK523" s="2">
        <v>4</v>
      </c>
      <c r="AL523" s="2">
        <v>239.96</v>
      </c>
      <c r="AM523" s="2">
        <v>179.97</v>
      </c>
      <c r="AN523" s="2">
        <v>67.489999999999995</v>
      </c>
      <c r="AO523" s="2" t="s">
        <v>1124</v>
      </c>
      <c r="AP523" s="2" t="s">
        <v>1149</v>
      </c>
      <c r="AQ523" s="2" t="s">
        <v>127</v>
      </c>
      <c r="AR523" s="2">
        <v>19134</v>
      </c>
      <c r="AS523" s="2">
        <v>365</v>
      </c>
      <c r="AT523" s="2">
        <v>17</v>
      </c>
      <c r="AU523" s="2" t="s">
        <v>421</v>
      </c>
      <c r="AV523" s="2">
        <v>59.99</v>
      </c>
      <c r="AW523" s="2">
        <v>0</v>
      </c>
      <c r="AX523" s="2" t="s">
        <v>2528</v>
      </c>
      <c r="AY523" s="2" t="s">
        <v>162</v>
      </c>
      <c r="AZ523" s="4">
        <v>42647</v>
      </c>
      <c r="BA523" s="5">
        <v>0.72430555555555554</v>
      </c>
      <c r="BB523" s="2">
        <v>2016</v>
      </c>
      <c r="BC523" s="2" t="s">
        <v>434</v>
      </c>
      <c r="BD523" s="2">
        <v>4</v>
      </c>
      <c r="BE523" s="4">
        <v>42476</v>
      </c>
      <c r="BF523" s="5">
        <v>0.72430555555555554</v>
      </c>
      <c r="BG523" s="2" t="str" cm="1">
        <f t="array" ref="BG523">_xlfn.IFS(BF523&lt;TIMEVALUE("06:00"),"Night", BF523&gt;=TIMEVALUE("21:00"),"Night",BF523&gt;=TIMEVALUE("17:00"),"Evening",BF523&gt;=TIMEVALUE("12:00"),"Afternoon", BF523&gt;=TIMEVALUE("06:00"),"Morning")</f>
        <v>Evening</v>
      </c>
      <c r="BH523" s="2">
        <v>2016</v>
      </c>
      <c r="BI523" s="2" t="s">
        <v>487</v>
      </c>
      <c r="BJ523" s="2">
        <v>16</v>
      </c>
    </row>
    <row r="524" spans="1:62" x14ac:dyDescent="0.3">
      <c r="A524" s="2" t="s">
        <v>121</v>
      </c>
      <c r="B524" s="2">
        <v>5</v>
      </c>
      <c r="C524" s="2">
        <v>2</v>
      </c>
      <c r="D524" s="2">
        <v>-53.99</v>
      </c>
      <c r="E524" s="2">
        <v>179.97</v>
      </c>
      <c r="F524" s="2" t="s">
        <v>87</v>
      </c>
      <c r="G524" s="2" t="s">
        <v>88</v>
      </c>
      <c r="H524" s="2">
        <v>17</v>
      </c>
      <c r="I524" s="2" t="s">
        <v>412</v>
      </c>
      <c r="J524" s="2" t="s">
        <v>66</v>
      </c>
      <c r="K524" s="2" t="s">
        <v>67</v>
      </c>
      <c r="L524" s="2" t="s">
        <v>292</v>
      </c>
      <c r="M524" s="2">
        <v>3466</v>
      </c>
      <c r="N524" s="2" t="s">
        <v>425</v>
      </c>
      <c r="O524" s="2" t="s">
        <v>113</v>
      </c>
      <c r="P524" s="2" t="s">
        <v>71</v>
      </c>
      <c r="Q524" s="2" t="s">
        <v>2529</v>
      </c>
      <c r="R524" s="2">
        <v>725</v>
      </c>
      <c r="S524" s="2">
        <v>4</v>
      </c>
      <c r="T524" s="2" t="s">
        <v>417</v>
      </c>
      <c r="U524" s="2">
        <v>18.2928104</v>
      </c>
      <c r="V524" s="2">
        <v>-66.370536799999996</v>
      </c>
      <c r="W524" s="2" t="s">
        <v>467</v>
      </c>
      <c r="X524" s="2" t="s">
        <v>1684</v>
      </c>
      <c r="Y524" s="2" t="s">
        <v>469</v>
      </c>
      <c r="Z524" s="2">
        <v>3466</v>
      </c>
      <c r="AA524" s="2" t="s">
        <v>2530</v>
      </c>
      <c r="AB524" s="2">
        <v>36269</v>
      </c>
      <c r="AC524" s="2">
        <v>365</v>
      </c>
      <c r="AD524" s="2">
        <v>59.99</v>
      </c>
      <c r="AE524" s="2">
        <v>0.25</v>
      </c>
      <c r="AF524" s="2" t="str" cm="1">
        <f t="array" ref="AF524">_xlfn.IFS(AE524=0, "No Discount ", AE524&lt;=0.08,"Low Discount", AE524&lt;=0.16,"Medium Discount", AE524&gt;0.16, "High Discount")</f>
        <v>High Discount</v>
      </c>
      <c r="AG524" s="2">
        <v>90567</v>
      </c>
      <c r="AH524" s="2">
        <v>59.99</v>
      </c>
      <c r="AI524" s="2">
        <v>-0.3</v>
      </c>
      <c r="AJ524" s="2" t="str" cm="1">
        <f t="array" ref="AJ524">_xlfn.IFS(AI524&lt;=0, "No Profit", AI524&lt;=0.16,"Low Profit",AI524&lt;=0.32,"Medium Profit",AI524&gt;0.32,"High Profit")</f>
        <v>No Profit</v>
      </c>
      <c r="AK524" s="2">
        <v>4</v>
      </c>
      <c r="AL524" s="2">
        <v>239.96</v>
      </c>
      <c r="AM524" s="2">
        <v>179.97</v>
      </c>
      <c r="AN524" s="2">
        <v>-53.99</v>
      </c>
      <c r="AO524" s="2" t="s">
        <v>2424</v>
      </c>
      <c r="AP524" s="2" t="s">
        <v>2531</v>
      </c>
      <c r="AQ524" s="2" t="s">
        <v>127</v>
      </c>
      <c r="AR524" s="2">
        <v>32216</v>
      </c>
      <c r="AS524" s="2">
        <v>365</v>
      </c>
      <c r="AT524" s="2">
        <v>17</v>
      </c>
      <c r="AU524" s="2" t="s">
        <v>421</v>
      </c>
      <c r="AV524" s="2">
        <v>59.99</v>
      </c>
      <c r="AW524" s="2">
        <v>0</v>
      </c>
      <c r="AX524" s="2" t="s">
        <v>2532</v>
      </c>
      <c r="AY524" s="2" t="s">
        <v>162</v>
      </c>
      <c r="AZ524" s="4">
        <v>42534</v>
      </c>
      <c r="BA524" s="5">
        <v>0.4284722222222222</v>
      </c>
      <c r="BB524" s="2">
        <v>2016</v>
      </c>
      <c r="BC524" s="2" t="s">
        <v>474</v>
      </c>
      <c r="BD524" s="2">
        <v>13</v>
      </c>
      <c r="BE524" s="4">
        <v>42539</v>
      </c>
      <c r="BF524" s="5">
        <v>0.4284722222222222</v>
      </c>
      <c r="BG524" s="2" t="str" cm="1">
        <f t="array" ref="BG524">_xlfn.IFS(BF524&lt;TIMEVALUE("06:00"),"Night", BF524&gt;=TIMEVALUE("21:00"),"Night",BF524&gt;=TIMEVALUE("17:00"),"Evening",BF524&gt;=TIMEVALUE("12:00"),"Afternoon", BF524&gt;=TIMEVALUE("06:00"),"Morning")</f>
        <v>Morning</v>
      </c>
      <c r="BH524" s="2">
        <v>2016</v>
      </c>
      <c r="BI524" s="2" t="s">
        <v>474</v>
      </c>
      <c r="BJ524" s="2">
        <v>18</v>
      </c>
    </row>
    <row r="525" spans="1:62" x14ac:dyDescent="0.3">
      <c r="A525" s="2" t="s">
        <v>121</v>
      </c>
      <c r="B525" s="2">
        <v>3</v>
      </c>
      <c r="C525" s="2">
        <v>2</v>
      </c>
      <c r="D525" s="2">
        <v>56.33</v>
      </c>
      <c r="E525" s="2">
        <v>179.97</v>
      </c>
      <c r="F525" s="2" t="s">
        <v>87</v>
      </c>
      <c r="G525" s="2" t="s">
        <v>88</v>
      </c>
      <c r="H525" s="2">
        <v>17</v>
      </c>
      <c r="I525" s="2" t="s">
        <v>412</v>
      </c>
      <c r="J525" s="2" t="s">
        <v>66</v>
      </c>
      <c r="K525" s="2" t="s">
        <v>67</v>
      </c>
      <c r="L525" s="2" t="s">
        <v>414</v>
      </c>
      <c r="M525" s="2">
        <v>11776</v>
      </c>
      <c r="N525" s="2" t="s">
        <v>425</v>
      </c>
      <c r="O525" s="2" t="s">
        <v>113</v>
      </c>
      <c r="P525" s="2" t="s">
        <v>71</v>
      </c>
      <c r="Q525" s="2" t="s">
        <v>2525</v>
      </c>
      <c r="R525" s="2">
        <v>725</v>
      </c>
      <c r="S525" s="2">
        <v>4</v>
      </c>
      <c r="T525" s="2" t="s">
        <v>417</v>
      </c>
      <c r="U525" s="2">
        <v>18.2077198</v>
      </c>
      <c r="V525" s="2">
        <v>-66.370605499999996</v>
      </c>
      <c r="W525" s="2" t="s">
        <v>467</v>
      </c>
      <c r="X525" s="2" t="s">
        <v>1097</v>
      </c>
      <c r="Y525" s="2" t="s">
        <v>469</v>
      </c>
      <c r="Z525" s="2">
        <v>11776</v>
      </c>
      <c r="AA525" s="3">
        <v>42528.755555555559</v>
      </c>
      <c r="AB525" s="2">
        <v>37867</v>
      </c>
      <c r="AC525" s="2">
        <v>365</v>
      </c>
      <c r="AD525" s="2">
        <v>59.99</v>
      </c>
      <c r="AE525" s="2">
        <v>0.25</v>
      </c>
      <c r="AF525" s="2" t="str" cm="1">
        <f t="array" ref="AF525">_xlfn.IFS(AE525=0, "No Discount ", AE525&lt;=0.08,"Low Discount", AE525&lt;=0.16,"Medium Discount", AE525&gt;0.16, "High Discount")</f>
        <v>High Discount</v>
      </c>
      <c r="AG525" s="2">
        <v>94509</v>
      </c>
      <c r="AH525" s="2">
        <v>59.99</v>
      </c>
      <c r="AI525" s="2">
        <v>0.31</v>
      </c>
      <c r="AJ525" s="2" t="str" cm="1">
        <f t="array" ref="AJ525">_xlfn.IFS(AI525&lt;=0, "No Profit", AI525&lt;=0.16,"Low Profit",AI525&lt;=0.32,"Medium Profit",AI525&gt;0.32,"High Profit")</f>
        <v>Medium Profit</v>
      </c>
      <c r="AK525" s="2">
        <v>4</v>
      </c>
      <c r="AL525" s="2">
        <v>239.96</v>
      </c>
      <c r="AM525" s="2">
        <v>179.97</v>
      </c>
      <c r="AN525" s="2">
        <v>56.33</v>
      </c>
      <c r="AO525" s="2" t="s">
        <v>493</v>
      </c>
      <c r="AP525" s="2" t="s">
        <v>1098</v>
      </c>
      <c r="AQ525" s="2" t="s">
        <v>127</v>
      </c>
      <c r="AR525" s="2">
        <v>77095</v>
      </c>
      <c r="AS525" s="2">
        <v>365</v>
      </c>
      <c r="AT525" s="2">
        <v>17</v>
      </c>
      <c r="AU525" s="2" t="s">
        <v>421</v>
      </c>
      <c r="AV525" s="2">
        <v>59.99</v>
      </c>
      <c r="AW525" s="2">
        <v>0</v>
      </c>
      <c r="AX525" s="3">
        <v>42620.755555555559</v>
      </c>
      <c r="AY525" s="2" t="s">
        <v>162</v>
      </c>
      <c r="AZ525" s="4">
        <v>42528</v>
      </c>
      <c r="BA525" s="5">
        <v>0.75555555555555554</v>
      </c>
      <c r="BB525" s="2">
        <v>2016</v>
      </c>
      <c r="BC525" s="2" t="s">
        <v>474</v>
      </c>
      <c r="BD525" s="2">
        <v>7</v>
      </c>
      <c r="BE525" s="4">
        <v>42620</v>
      </c>
      <c r="BF525" s="5">
        <v>0.75555555555555554</v>
      </c>
      <c r="BG525" s="2" t="str" cm="1">
        <f t="array" ref="BG525">_xlfn.IFS(BF525&lt;TIMEVALUE("06:00"),"Night", BF525&gt;=TIMEVALUE("21:00"),"Night",BF525&gt;=TIMEVALUE("17:00"),"Evening",BF525&gt;=TIMEVALUE("12:00"),"Afternoon", BF525&gt;=TIMEVALUE("06:00"),"Morning")</f>
        <v>Evening</v>
      </c>
      <c r="BH525" s="2">
        <v>2016</v>
      </c>
      <c r="BI525" s="2" t="s">
        <v>552</v>
      </c>
      <c r="BJ525" s="2">
        <v>7</v>
      </c>
    </row>
    <row r="526" spans="1:62" x14ac:dyDescent="0.3">
      <c r="A526" s="2" t="s">
        <v>121</v>
      </c>
      <c r="B526" s="2">
        <v>6</v>
      </c>
      <c r="C526" s="2">
        <v>2</v>
      </c>
      <c r="D526" s="2">
        <v>48.04</v>
      </c>
      <c r="E526" s="2">
        <v>145.56</v>
      </c>
      <c r="F526" s="2" t="s">
        <v>87</v>
      </c>
      <c r="G526" s="2" t="s">
        <v>88</v>
      </c>
      <c r="H526" s="2">
        <v>29</v>
      </c>
      <c r="I526" s="2" t="s">
        <v>424</v>
      </c>
      <c r="J526" s="2" t="s">
        <v>66</v>
      </c>
      <c r="K526" s="2" t="s">
        <v>67</v>
      </c>
      <c r="L526" s="2" t="s">
        <v>414</v>
      </c>
      <c r="M526" s="2">
        <v>2426</v>
      </c>
      <c r="N526" s="2" t="s">
        <v>743</v>
      </c>
      <c r="O526" s="2" t="s">
        <v>113</v>
      </c>
      <c r="P526" s="2" t="s">
        <v>71</v>
      </c>
      <c r="Q526" s="2" t="s">
        <v>2422</v>
      </c>
      <c r="R526" s="2">
        <v>725</v>
      </c>
      <c r="S526" s="2">
        <v>5</v>
      </c>
      <c r="T526" s="2" t="s">
        <v>427</v>
      </c>
      <c r="U526" s="2">
        <v>18.233875300000001</v>
      </c>
      <c r="V526" s="2">
        <v>-66.370536799999996</v>
      </c>
      <c r="W526" s="2" t="s">
        <v>467</v>
      </c>
      <c r="X526" s="2" t="s">
        <v>2423</v>
      </c>
      <c r="Y526" s="2" t="s">
        <v>469</v>
      </c>
      <c r="Z526" s="2">
        <v>2426</v>
      </c>
      <c r="AA526" s="3">
        <v>42590.133333333331</v>
      </c>
      <c r="AB526" s="2">
        <v>40085</v>
      </c>
      <c r="AC526" s="2">
        <v>627</v>
      </c>
      <c r="AD526" s="2">
        <v>14.4</v>
      </c>
      <c r="AE526" s="2">
        <v>0.09</v>
      </c>
      <c r="AF526" s="2" t="str" cm="1">
        <f t="array" ref="AF526">_xlfn.IFS(AE526=0, "No Discount ", AE526&lt;=0.08,"Low Discount", AE526&lt;=0.16,"Medium Discount", AE526&gt;0.16, "High Discount")</f>
        <v>Medium Discount</v>
      </c>
      <c r="AG526" s="2">
        <v>100039</v>
      </c>
      <c r="AH526" s="2">
        <v>39.99</v>
      </c>
      <c r="AI526" s="2">
        <v>0.33</v>
      </c>
      <c r="AJ526" s="2" t="str" cm="1">
        <f t="array" ref="AJ526">_xlfn.IFS(AI526&lt;=0, "No Profit", AI526&lt;=0.16,"Low Profit",AI526&lt;=0.32,"Medium Profit",AI526&gt;0.32,"High Profit")</f>
        <v>High Profit</v>
      </c>
      <c r="AK526" s="2">
        <v>4</v>
      </c>
      <c r="AL526" s="2">
        <v>159.96</v>
      </c>
      <c r="AM526" s="2">
        <v>145.56</v>
      </c>
      <c r="AN526" s="2">
        <v>48.04</v>
      </c>
      <c r="AO526" s="2" t="s">
        <v>2424</v>
      </c>
      <c r="AP526" s="2" t="s">
        <v>2425</v>
      </c>
      <c r="AQ526" s="2" t="s">
        <v>127</v>
      </c>
      <c r="AR526" s="2">
        <v>28110</v>
      </c>
      <c r="AS526" s="2">
        <v>627</v>
      </c>
      <c r="AT526" s="2">
        <v>29</v>
      </c>
      <c r="AU526" s="2" t="s">
        <v>432</v>
      </c>
      <c r="AV526" s="2">
        <v>39.99</v>
      </c>
      <c r="AW526" s="2">
        <v>0</v>
      </c>
      <c r="AX526" s="2" t="s">
        <v>2426</v>
      </c>
      <c r="AY526" s="2" t="s">
        <v>162</v>
      </c>
      <c r="AZ526" s="4">
        <v>42590</v>
      </c>
      <c r="BA526" s="5">
        <v>0.13333333333333333</v>
      </c>
      <c r="BB526" s="2">
        <v>2016</v>
      </c>
      <c r="BC526" s="2" t="s">
        <v>482</v>
      </c>
      <c r="BD526" s="2">
        <v>8</v>
      </c>
      <c r="BE526" s="4">
        <v>42596</v>
      </c>
      <c r="BF526" s="5">
        <v>0.13333333333333333</v>
      </c>
      <c r="BG526" s="2" t="str" cm="1">
        <f t="array" ref="BG526">_xlfn.IFS(BF526&lt;TIMEVALUE("06:00"),"Night", BF526&gt;=TIMEVALUE("21:00"),"Night",BF526&gt;=TIMEVALUE("17:00"),"Evening",BF526&gt;=TIMEVALUE("12:00"),"Afternoon", BF526&gt;=TIMEVALUE("06:00"),"Morning")</f>
        <v>Night</v>
      </c>
      <c r="BH526" s="2">
        <v>2016</v>
      </c>
      <c r="BI526" s="2" t="s">
        <v>482</v>
      </c>
      <c r="BJ526" s="2">
        <v>14</v>
      </c>
    </row>
    <row r="527" spans="1:62" x14ac:dyDescent="0.3">
      <c r="A527" s="2" t="s">
        <v>121</v>
      </c>
      <c r="B527" s="2">
        <v>6</v>
      </c>
      <c r="C527" s="2">
        <v>2</v>
      </c>
      <c r="D527" s="2">
        <v>52.7</v>
      </c>
      <c r="E527" s="2">
        <v>170</v>
      </c>
      <c r="F527" s="2" t="s">
        <v>87</v>
      </c>
      <c r="G527" s="2" t="s">
        <v>88</v>
      </c>
      <c r="H527" s="2">
        <v>24</v>
      </c>
      <c r="I527" s="2" t="s">
        <v>435</v>
      </c>
      <c r="J527" s="2" t="s">
        <v>66</v>
      </c>
      <c r="K527" s="2" t="s">
        <v>67</v>
      </c>
      <c r="L527" s="2" t="s">
        <v>414</v>
      </c>
      <c r="M527" s="2">
        <v>2426</v>
      </c>
      <c r="N527" s="2" t="s">
        <v>743</v>
      </c>
      <c r="O527" s="2" t="s">
        <v>113</v>
      </c>
      <c r="P527" s="2" t="s">
        <v>71</v>
      </c>
      <c r="Q527" s="2" t="s">
        <v>2422</v>
      </c>
      <c r="R527" s="2">
        <v>725</v>
      </c>
      <c r="S527" s="2">
        <v>5</v>
      </c>
      <c r="T527" s="2" t="s">
        <v>427</v>
      </c>
      <c r="U527" s="2">
        <v>18.233875300000001</v>
      </c>
      <c r="V527" s="2">
        <v>-66.370536799999996</v>
      </c>
      <c r="W527" s="2" t="s">
        <v>467</v>
      </c>
      <c r="X527" s="2" t="s">
        <v>2423</v>
      </c>
      <c r="Y527" s="2" t="s">
        <v>469</v>
      </c>
      <c r="Z527" s="2">
        <v>2426</v>
      </c>
      <c r="AA527" s="3">
        <v>42590.133333333331</v>
      </c>
      <c r="AB527" s="2">
        <v>40085</v>
      </c>
      <c r="AC527" s="2">
        <v>502</v>
      </c>
      <c r="AD527" s="2">
        <v>30</v>
      </c>
      <c r="AE527" s="2">
        <v>0.15</v>
      </c>
      <c r="AF527" s="2" t="str" cm="1">
        <f t="array" ref="AF527">_xlfn.IFS(AE527=0, "No Discount ", AE527&lt;=0.08,"Low Discount", AE527&lt;=0.16,"Medium Discount", AE527&gt;0.16, "High Discount")</f>
        <v>Medium Discount</v>
      </c>
      <c r="AG527" s="2">
        <v>100036</v>
      </c>
      <c r="AH527" s="2">
        <v>50</v>
      </c>
      <c r="AI527" s="2">
        <v>0.31</v>
      </c>
      <c r="AJ527" s="2" t="str" cm="1">
        <f t="array" ref="AJ527">_xlfn.IFS(AI527&lt;=0, "No Profit", AI527&lt;=0.16,"Low Profit",AI527&lt;=0.32,"Medium Profit",AI527&gt;0.32,"High Profit")</f>
        <v>Medium Profit</v>
      </c>
      <c r="AK527" s="2">
        <v>4</v>
      </c>
      <c r="AL527" s="2">
        <v>200</v>
      </c>
      <c r="AM527" s="2">
        <v>170</v>
      </c>
      <c r="AN527" s="2">
        <v>52.7</v>
      </c>
      <c r="AO527" s="2" t="s">
        <v>2424</v>
      </c>
      <c r="AP527" s="2" t="s">
        <v>2425</v>
      </c>
      <c r="AQ527" s="2" t="s">
        <v>127</v>
      </c>
      <c r="AR527" s="2">
        <v>28110</v>
      </c>
      <c r="AS527" s="2">
        <v>502</v>
      </c>
      <c r="AT527" s="2">
        <v>24</v>
      </c>
      <c r="AU527" s="2" t="s">
        <v>442</v>
      </c>
      <c r="AV527" s="2">
        <v>50</v>
      </c>
      <c r="AW527" s="2">
        <v>0</v>
      </c>
      <c r="AX527" s="2" t="s">
        <v>2426</v>
      </c>
      <c r="AY527" s="2" t="s">
        <v>162</v>
      </c>
      <c r="AZ527" s="4">
        <v>42590</v>
      </c>
      <c r="BA527" s="5">
        <v>0.13333333333333333</v>
      </c>
      <c r="BB527" s="2">
        <v>2016</v>
      </c>
      <c r="BC527" s="2" t="s">
        <v>482</v>
      </c>
      <c r="BD527" s="2">
        <v>8</v>
      </c>
      <c r="BE527" s="4">
        <v>42596</v>
      </c>
      <c r="BF527" s="5">
        <v>0.13333333333333333</v>
      </c>
      <c r="BG527" s="2" t="str" cm="1">
        <f t="array" ref="BG527">_xlfn.IFS(BF527&lt;TIMEVALUE("06:00"),"Night", BF527&gt;=TIMEVALUE("21:00"),"Night",BF527&gt;=TIMEVALUE("17:00"),"Evening",BF527&gt;=TIMEVALUE("12:00"),"Afternoon", BF527&gt;=TIMEVALUE("06:00"),"Morning")</f>
        <v>Night</v>
      </c>
      <c r="BH527" s="2">
        <v>2016</v>
      </c>
      <c r="BI527" s="2" t="s">
        <v>482</v>
      </c>
      <c r="BJ527" s="2">
        <v>14</v>
      </c>
    </row>
    <row r="528" spans="1:62" x14ac:dyDescent="0.3">
      <c r="A528" s="2" t="s">
        <v>121</v>
      </c>
      <c r="B528" s="2">
        <v>5</v>
      </c>
      <c r="C528" s="2">
        <v>2</v>
      </c>
      <c r="D528" s="2">
        <v>-652.42999999999995</v>
      </c>
      <c r="E528" s="2">
        <v>434.96</v>
      </c>
      <c r="F528" s="2" t="s">
        <v>87</v>
      </c>
      <c r="G528" s="2" t="s">
        <v>88</v>
      </c>
      <c r="H528" s="2">
        <v>9</v>
      </c>
      <c r="I528" s="2" t="s">
        <v>496</v>
      </c>
      <c r="J528" s="2" t="s">
        <v>66</v>
      </c>
      <c r="K528" s="2" t="s">
        <v>67</v>
      </c>
      <c r="L528" s="2" t="s">
        <v>2533</v>
      </c>
      <c r="M528" s="2">
        <v>1834</v>
      </c>
      <c r="N528" s="2" t="s">
        <v>2167</v>
      </c>
      <c r="O528" s="2" t="s">
        <v>113</v>
      </c>
      <c r="P528" s="2" t="s">
        <v>71</v>
      </c>
      <c r="Q528" s="2" t="s">
        <v>2534</v>
      </c>
      <c r="R528" s="2">
        <v>725</v>
      </c>
      <c r="S528" s="2">
        <v>3</v>
      </c>
      <c r="T528" s="2" t="s">
        <v>466</v>
      </c>
      <c r="U528" s="2">
        <v>18.278989800000002</v>
      </c>
      <c r="V528" s="2">
        <v>-66.370529199999993</v>
      </c>
      <c r="W528" s="2" t="s">
        <v>500</v>
      </c>
      <c r="X528" s="2" t="s">
        <v>508</v>
      </c>
      <c r="Y528" s="2" t="s">
        <v>509</v>
      </c>
      <c r="Z528" s="2">
        <v>1834</v>
      </c>
      <c r="AA528" s="3">
        <v>42563.133333333331</v>
      </c>
      <c r="AB528" s="2">
        <v>48374</v>
      </c>
      <c r="AC528" s="2">
        <v>191</v>
      </c>
      <c r="AD528" s="2">
        <v>64.989999999999995</v>
      </c>
      <c r="AE528" s="2">
        <v>0.13</v>
      </c>
      <c r="AF528" s="2" t="str" cm="1">
        <f t="array" ref="AF528">_xlfn.IFS(AE528=0, "No Discount ", AE528&lt;=0.08,"Low Discount", AE528&lt;=0.16,"Medium Discount", AE528&gt;0.16, "High Discount")</f>
        <v>Medium Discount</v>
      </c>
      <c r="AG528" s="2">
        <v>120988</v>
      </c>
      <c r="AH528" s="2">
        <v>99.99</v>
      </c>
      <c r="AI528" s="2">
        <v>-1.5</v>
      </c>
      <c r="AJ528" s="2" t="str" cm="1">
        <f t="array" ref="AJ528">_xlfn.IFS(AI528&lt;=0, "No Profit", AI528&lt;=0.16,"Low Profit",AI528&lt;=0.32,"Medium Profit",AI528&gt;0.32,"High Profit")</f>
        <v>No Profit</v>
      </c>
      <c r="AK528" s="2">
        <v>5</v>
      </c>
      <c r="AL528" s="2">
        <v>499.95</v>
      </c>
      <c r="AM528" s="2">
        <v>434.96</v>
      </c>
      <c r="AN528" s="2">
        <v>-652.42999999999995</v>
      </c>
      <c r="AO528" s="2" t="s">
        <v>510</v>
      </c>
      <c r="AP528" s="2" t="s">
        <v>508</v>
      </c>
      <c r="AQ528" s="2" t="s">
        <v>127</v>
      </c>
      <c r="AR528" s="2" t="s">
        <v>81</v>
      </c>
      <c r="AS528" s="2">
        <v>191</v>
      </c>
      <c r="AT528" s="2">
        <v>9</v>
      </c>
      <c r="AU528" s="2" t="s">
        <v>505</v>
      </c>
      <c r="AV528" s="2">
        <v>99.99</v>
      </c>
      <c r="AW528" s="2">
        <v>0</v>
      </c>
      <c r="AX528" s="3">
        <v>42716.133333333331</v>
      </c>
      <c r="AY528" s="2" t="s">
        <v>162</v>
      </c>
      <c r="AZ528" s="4">
        <v>42563</v>
      </c>
      <c r="BA528" s="5">
        <v>0.13333333333333333</v>
      </c>
      <c r="BB528" s="2">
        <v>2016</v>
      </c>
      <c r="BC528" s="2" t="s">
        <v>533</v>
      </c>
      <c r="BD528" s="2">
        <v>12</v>
      </c>
      <c r="BE528" s="4">
        <v>42716</v>
      </c>
      <c r="BF528" s="5">
        <v>0.13333333333333333</v>
      </c>
      <c r="BG528" s="2" t="str" cm="1">
        <f t="array" ref="BG528">_xlfn.IFS(BF528&lt;TIMEVALUE("06:00"),"Night", BF528&gt;=TIMEVALUE("21:00"),"Night",BF528&gt;=TIMEVALUE("17:00"),"Evening",BF528&gt;=TIMEVALUE("12:00"),"Afternoon", BF528&gt;=TIMEVALUE("06:00"),"Morning")</f>
        <v>Night</v>
      </c>
      <c r="BH528" s="2">
        <v>2016</v>
      </c>
      <c r="BI528" s="2" t="s">
        <v>357</v>
      </c>
      <c r="BJ528" s="2">
        <v>12</v>
      </c>
    </row>
    <row r="529" spans="1:62" x14ac:dyDescent="0.3">
      <c r="A529" s="2" t="s">
        <v>121</v>
      </c>
      <c r="B529" s="2">
        <v>5</v>
      </c>
      <c r="C529" s="2">
        <v>2</v>
      </c>
      <c r="D529" s="2">
        <v>76.900000000000006</v>
      </c>
      <c r="E529" s="2">
        <v>227.5</v>
      </c>
      <c r="F529" s="2" t="s">
        <v>87</v>
      </c>
      <c r="G529" s="2" t="s">
        <v>88</v>
      </c>
      <c r="H529" s="2">
        <v>24</v>
      </c>
      <c r="I529" s="2" t="s">
        <v>435</v>
      </c>
      <c r="J529" s="2" t="s">
        <v>66</v>
      </c>
      <c r="K529" s="2" t="s">
        <v>67</v>
      </c>
      <c r="L529" s="2" t="s">
        <v>414</v>
      </c>
      <c r="M529" s="2">
        <v>9451</v>
      </c>
      <c r="N529" s="2" t="s">
        <v>425</v>
      </c>
      <c r="O529" s="2" t="s">
        <v>113</v>
      </c>
      <c r="P529" s="2" t="s">
        <v>71</v>
      </c>
      <c r="Q529" s="2" t="s">
        <v>520</v>
      </c>
      <c r="R529" s="2">
        <v>725</v>
      </c>
      <c r="S529" s="2">
        <v>5</v>
      </c>
      <c r="T529" s="2" t="s">
        <v>427</v>
      </c>
      <c r="U529" s="2">
        <v>18.236507400000001</v>
      </c>
      <c r="V529" s="2">
        <v>-66.370513900000006</v>
      </c>
      <c r="W529" s="2" t="s">
        <v>500</v>
      </c>
      <c r="X529" s="2" t="s">
        <v>521</v>
      </c>
      <c r="Y529" s="2" t="s">
        <v>522</v>
      </c>
      <c r="Z529" s="2">
        <v>9451</v>
      </c>
      <c r="AA529" s="3">
        <v>42594.009722222225</v>
      </c>
      <c r="AB529" s="2">
        <v>48434</v>
      </c>
      <c r="AC529" s="2">
        <v>502</v>
      </c>
      <c r="AD529" s="2">
        <v>22.5</v>
      </c>
      <c r="AE529" s="2">
        <v>0.09</v>
      </c>
      <c r="AF529" s="2" t="str" cm="1">
        <f t="array" ref="AF529">_xlfn.IFS(AE529=0, "No Discount ", AE529&lt;=0.08,"Low Discount", AE529&lt;=0.16,"Medium Discount", AE529&gt;0.16, "High Discount")</f>
        <v>Medium Discount</v>
      </c>
      <c r="AG529" s="2">
        <v>121133</v>
      </c>
      <c r="AH529" s="2">
        <v>50</v>
      </c>
      <c r="AI529" s="2">
        <v>0.34</v>
      </c>
      <c r="AJ529" s="2" t="str" cm="1">
        <f t="array" ref="AJ529">_xlfn.IFS(AI529&lt;=0, "No Profit", AI529&lt;=0.16,"Low Profit",AI529&lt;=0.32,"Medium Profit",AI529&gt;0.32,"High Profit")</f>
        <v>High Profit</v>
      </c>
      <c r="AK529" s="2">
        <v>5</v>
      </c>
      <c r="AL529" s="2">
        <v>250</v>
      </c>
      <c r="AM529" s="2">
        <v>227.5</v>
      </c>
      <c r="AN529" s="2">
        <v>76.900000000000006</v>
      </c>
      <c r="AO529" s="2" t="s">
        <v>523</v>
      </c>
      <c r="AP529" s="2" t="s">
        <v>524</v>
      </c>
      <c r="AQ529" s="2" t="s">
        <v>127</v>
      </c>
      <c r="AR529" s="2" t="s">
        <v>81</v>
      </c>
      <c r="AS529" s="2">
        <v>502</v>
      </c>
      <c r="AT529" s="2">
        <v>24</v>
      </c>
      <c r="AU529" s="2" t="s">
        <v>442</v>
      </c>
      <c r="AV529" s="2">
        <v>50</v>
      </c>
      <c r="AW529" s="2">
        <v>0</v>
      </c>
      <c r="AX529" s="2" t="s">
        <v>526</v>
      </c>
      <c r="AY529" s="2" t="s">
        <v>162</v>
      </c>
      <c r="AZ529" s="4">
        <v>42594</v>
      </c>
      <c r="BA529" s="5">
        <v>9.7222222222222224E-3</v>
      </c>
      <c r="BB529" s="2">
        <v>2016</v>
      </c>
      <c r="BC529" s="2" t="s">
        <v>482</v>
      </c>
      <c r="BD529" s="2">
        <v>12</v>
      </c>
      <c r="BE529" s="4">
        <v>42717</v>
      </c>
      <c r="BF529" s="5">
        <v>9.7222222222222224E-3</v>
      </c>
      <c r="BG529" s="2" t="str" cm="1">
        <f t="array" ref="BG529">_xlfn.IFS(BF529&lt;TIMEVALUE("06:00"),"Night", BF529&gt;=TIMEVALUE("21:00"),"Night",BF529&gt;=TIMEVALUE("17:00"),"Evening",BF529&gt;=TIMEVALUE("12:00"),"Afternoon", BF529&gt;=TIMEVALUE("06:00"),"Morning")</f>
        <v>Night</v>
      </c>
      <c r="BH529" s="2">
        <v>2016</v>
      </c>
      <c r="BI529" s="2" t="s">
        <v>357</v>
      </c>
      <c r="BJ529" s="2">
        <v>13</v>
      </c>
    </row>
    <row r="530" spans="1:62" x14ac:dyDescent="0.3">
      <c r="A530" s="2" t="s">
        <v>121</v>
      </c>
      <c r="B530" s="2">
        <v>5</v>
      </c>
      <c r="C530" s="2">
        <v>2</v>
      </c>
      <c r="D530" s="2">
        <v>174.98</v>
      </c>
      <c r="E530" s="2">
        <v>499.95</v>
      </c>
      <c r="F530" s="2" t="s">
        <v>87</v>
      </c>
      <c r="G530" s="2" t="s">
        <v>88</v>
      </c>
      <c r="H530" s="2">
        <v>9</v>
      </c>
      <c r="I530" s="2" t="s">
        <v>496</v>
      </c>
      <c r="J530" s="2" t="s">
        <v>66</v>
      </c>
      <c r="K530" s="2" t="s">
        <v>67</v>
      </c>
      <c r="L530" s="2" t="s">
        <v>414</v>
      </c>
      <c r="M530" s="2">
        <v>2439</v>
      </c>
      <c r="N530" s="2" t="s">
        <v>425</v>
      </c>
      <c r="O530" s="2" t="s">
        <v>113</v>
      </c>
      <c r="P530" s="2" t="s">
        <v>71</v>
      </c>
      <c r="Q530" s="2" t="s">
        <v>2535</v>
      </c>
      <c r="R530" s="2">
        <v>725</v>
      </c>
      <c r="S530" s="2">
        <v>3</v>
      </c>
      <c r="T530" s="2" t="s">
        <v>466</v>
      </c>
      <c r="U530" s="2">
        <v>18.285146699999999</v>
      </c>
      <c r="V530" s="2">
        <v>-66.370628400000001</v>
      </c>
      <c r="W530" s="2" t="s">
        <v>528</v>
      </c>
      <c r="X530" s="2" t="s">
        <v>1039</v>
      </c>
      <c r="Y530" s="2" t="s">
        <v>904</v>
      </c>
      <c r="Z530" s="2">
        <v>2439</v>
      </c>
      <c r="AA530" s="2" t="s">
        <v>2536</v>
      </c>
      <c r="AB530" s="2">
        <v>17719</v>
      </c>
      <c r="AC530" s="2">
        <v>191</v>
      </c>
      <c r="AD530" s="2">
        <v>0</v>
      </c>
      <c r="AE530" s="2">
        <v>0</v>
      </c>
      <c r="AF530" s="2" t="str" cm="1">
        <f t="array" ref="AF530">_xlfn.IFS(AE530=0, "No Discount ", AE530&lt;=0.08,"Low Discount", AE530&lt;=0.16,"Medium Discount", AE530&gt;0.16, "High Discount")</f>
        <v xml:space="preserve">No Discount </v>
      </c>
      <c r="AG530" s="2">
        <v>44274</v>
      </c>
      <c r="AH530" s="2">
        <v>99.99</v>
      </c>
      <c r="AI530" s="2">
        <v>0.35</v>
      </c>
      <c r="AJ530" s="2" t="str" cm="1">
        <f t="array" ref="AJ530">_xlfn.IFS(AI530&lt;=0, "No Profit", AI530&lt;=0.16,"Low Profit",AI530&lt;=0.32,"Medium Profit",AI530&gt;0.32,"High Profit")</f>
        <v>High Profit</v>
      </c>
      <c r="AK530" s="2">
        <v>5</v>
      </c>
      <c r="AL530" s="2">
        <v>499.95</v>
      </c>
      <c r="AM530" s="2">
        <v>499.95</v>
      </c>
      <c r="AN530" s="2">
        <v>174.98</v>
      </c>
      <c r="AO530" s="2" t="s">
        <v>905</v>
      </c>
      <c r="AP530" s="2" t="s">
        <v>969</v>
      </c>
      <c r="AQ530" s="2" t="s">
        <v>127</v>
      </c>
      <c r="AR530" s="2" t="s">
        <v>81</v>
      </c>
      <c r="AS530" s="2">
        <v>191</v>
      </c>
      <c r="AT530" s="2">
        <v>9</v>
      </c>
      <c r="AU530" s="2" t="s">
        <v>505</v>
      </c>
      <c r="AV530" s="2">
        <v>99.99</v>
      </c>
      <c r="AW530" s="2">
        <v>0</v>
      </c>
      <c r="AX530" s="2" t="s">
        <v>2537</v>
      </c>
      <c r="AY530" s="2" t="s">
        <v>162</v>
      </c>
      <c r="AZ530" s="4">
        <v>42263</v>
      </c>
      <c r="BA530" s="5">
        <v>0.64166666666666672</v>
      </c>
      <c r="BB530" s="2">
        <v>2015</v>
      </c>
      <c r="BC530" s="2" t="s">
        <v>552</v>
      </c>
      <c r="BD530" s="2">
        <v>16</v>
      </c>
      <c r="BE530" s="4">
        <v>42268</v>
      </c>
      <c r="BF530" s="5">
        <v>0.64166666666666672</v>
      </c>
      <c r="BG530" s="2" t="str" cm="1">
        <f t="array" ref="BG530">_xlfn.IFS(BF530&lt;TIMEVALUE("06:00"),"Night", BF530&gt;=TIMEVALUE("21:00"),"Night",BF530&gt;=TIMEVALUE("17:00"),"Evening",BF530&gt;=TIMEVALUE("12:00"),"Afternoon", BF530&gt;=TIMEVALUE("06:00"),"Morning")</f>
        <v>Afternoon</v>
      </c>
      <c r="BH530" s="2">
        <v>2015</v>
      </c>
      <c r="BI530" s="2" t="s">
        <v>552</v>
      </c>
      <c r="BJ530" s="2">
        <v>21</v>
      </c>
    </row>
    <row r="531" spans="1:62" x14ac:dyDescent="0.3">
      <c r="A531" s="2" t="s">
        <v>121</v>
      </c>
      <c r="B531" s="2">
        <v>2</v>
      </c>
      <c r="C531" s="2">
        <v>2</v>
      </c>
      <c r="D531" s="2">
        <v>114.39</v>
      </c>
      <c r="E531" s="2">
        <v>439.96</v>
      </c>
      <c r="F531" s="2" t="s">
        <v>100</v>
      </c>
      <c r="G531" s="2" t="s">
        <v>64</v>
      </c>
      <c r="H531" s="2">
        <v>9</v>
      </c>
      <c r="I531" s="2" t="s">
        <v>496</v>
      </c>
      <c r="J531" s="2" t="s">
        <v>66</v>
      </c>
      <c r="K531" s="2" t="s">
        <v>67</v>
      </c>
      <c r="L531" s="2" t="s">
        <v>414</v>
      </c>
      <c r="M531" s="2">
        <v>6416</v>
      </c>
      <c r="N531" s="2" t="s">
        <v>425</v>
      </c>
      <c r="O531" s="2" t="s">
        <v>113</v>
      </c>
      <c r="P531" s="2" t="s">
        <v>71</v>
      </c>
      <c r="Q531" s="2" t="s">
        <v>2538</v>
      </c>
      <c r="R531" s="2">
        <v>725</v>
      </c>
      <c r="S531" s="2">
        <v>3</v>
      </c>
      <c r="T531" s="2" t="s">
        <v>466</v>
      </c>
      <c r="U531" s="2">
        <v>18.275041600000002</v>
      </c>
      <c r="V531" s="2">
        <v>-66.370628400000001</v>
      </c>
      <c r="W531" s="2" t="s">
        <v>528</v>
      </c>
      <c r="X531" s="2" t="s">
        <v>2539</v>
      </c>
      <c r="Y531" s="2" t="s">
        <v>904</v>
      </c>
      <c r="Z531" s="2">
        <v>6416</v>
      </c>
      <c r="AA531" s="2" t="s">
        <v>2540</v>
      </c>
      <c r="AB531" s="2">
        <v>15766</v>
      </c>
      <c r="AC531" s="2">
        <v>191</v>
      </c>
      <c r="AD531" s="2">
        <v>59.99</v>
      </c>
      <c r="AE531" s="2">
        <v>0.12</v>
      </c>
      <c r="AF531" s="2" t="str" cm="1">
        <f t="array" ref="AF531">_xlfn.IFS(AE531=0, "No Discount ", AE531&lt;=0.08,"Low Discount", AE531&lt;=0.16,"Medium Discount", AE531&gt;0.16, "High Discount")</f>
        <v>Medium Discount</v>
      </c>
      <c r="AG531" s="2">
        <v>39413</v>
      </c>
      <c r="AH531" s="2">
        <v>99.99</v>
      </c>
      <c r="AI531" s="2">
        <v>0.26</v>
      </c>
      <c r="AJ531" s="2" t="str" cm="1">
        <f t="array" ref="AJ531">_xlfn.IFS(AI531&lt;=0, "No Profit", AI531&lt;=0.16,"Low Profit",AI531&lt;=0.32,"Medium Profit",AI531&gt;0.32,"High Profit")</f>
        <v>Medium Profit</v>
      </c>
      <c r="AK531" s="2">
        <v>5</v>
      </c>
      <c r="AL531" s="2">
        <v>499.95</v>
      </c>
      <c r="AM531" s="2">
        <v>439.96</v>
      </c>
      <c r="AN531" s="2">
        <v>114.39</v>
      </c>
      <c r="AO531" s="2" t="s">
        <v>905</v>
      </c>
      <c r="AP531" s="2" t="s">
        <v>2541</v>
      </c>
      <c r="AQ531" s="2" t="s">
        <v>127</v>
      </c>
      <c r="AR531" s="2" t="s">
        <v>81</v>
      </c>
      <c r="AS531" s="2">
        <v>191</v>
      </c>
      <c r="AT531" s="2">
        <v>9</v>
      </c>
      <c r="AU531" s="2" t="s">
        <v>505</v>
      </c>
      <c r="AV531" s="2">
        <v>99.99</v>
      </c>
      <c r="AW531" s="2">
        <v>0</v>
      </c>
      <c r="AX531" s="2" t="s">
        <v>2542</v>
      </c>
      <c r="AY531" s="2" t="s">
        <v>162</v>
      </c>
      <c r="AZ531" s="4">
        <v>42235</v>
      </c>
      <c r="BA531" s="5">
        <v>0.13194444444444445</v>
      </c>
      <c r="BB531" s="2">
        <v>2015</v>
      </c>
      <c r="BC531" s="2" t="s">
        <v>482</v>
      </c>
      <c r="BD531" s="2">
        <v>19</v>
      </c>
      <c r="BE531" s="4">
        <v>42237</v>
      </c>
      <c r="BF531" s="5">
        <v>0.13194444444444445</v>
      </c>
      <c r="BG531" s="2" t="str" cm="1">
        <f t="array" ref="BG531">_xlfn.IFS(BF531&lt;TIMEVALUE("06:00"),"Night", BF531&gt;=TIMEVALUE("21:00"),"Night",BF531&gt;=TIMEVALUE("17:00"),"Evening",BF531&gt;=TIMEVALUE("12:00"),"Afternoon", BF531&gt;=TIMEVALUE("06:00"),"Morning")</f>
        <v>Night</v>
      </c>
      <c r="BH531" s="2">
        <v>2015</v>
      </c>
      <c r="BI531" s="2" t="s">
        <v>482</v>
      </c>
      <c r="BJ531" s="2">
        <v>21</v>
      </c>
    </row>
    <row r="532" spans="1:62" x14ac:dyDescent="0.3">
      <c r="A532" s="2" t="s">
        <v>121</v>
      </c>
      <c r="B532" s="2">
        <v>5</v>
      </c>
      <c r="C532" s="2">
        <v>2</v>
      </c>
      <c r="D532" s="2">
        <v>136.75</v>
      </c>
      <c r="E532" s="2">
        <v>290.95</v>
      </c>
      <c r="F532" s="2" t="s">
        <v>87</v>
      </c>
      <c r="G532" s="2" t="s">
        <v>88</v>
      </c>
      <c r="H532" s="2">
        <v>17</v>
      </c>
      <c r="I532" s="2" t="s">
        <v>412</v>
      </c>
      <c r="J532" s="2" t="s">
        <v>66</v>
      </c>
      <c r="K532" s="2" t="s">
        <v>67</v>
      </c>
      <c r="L532" s="2" t="s">
        <v>856</v>
      </c>
      <c r="M532" s="2">
        <v>6310</v>
      </c>
      <c r="N532" s="2" t="s">
        <v>2543</v>
      </c>
      <c r="O532" s="2" t="s">
        <v>113</v>
      </c>
      <c r="P532" s="2" t="s">
        <v>71</v>
      </c>
      <c r="Q532" s="2" t="s">
        <v>2544</v>
      </c>
      <c r="R532" s="2">
        <v>725</v>
      </c>
      <c r="S532" s="2">
        <v>4</v>
      </c>
      <c r="T532" s="2" t="s">
        <v>417</v>
      </c>
      <c r="U532" s="2">
        <v>18.257404300000001</v>
      </c>
      <c r="V532" s="2">
        <v>-66.370597799999999</v>
      </c>
      <c r="W532" s="2" t="s">
        <v>528</v>
      </c>
      <c r="X532" s="2" t="s">
        <v>2545</v>
      </c>
      <c r="Y532" s="2" t="s">
        <v>530</v>
      </c>
      <c r="Z532" s="2">
        <v>6310</v>
      </c>
      <c r="AA532" s="2" t="s">
        <v>2546</v>
      </c>
      <c r="AB532" s="2">
        <v>12179</v>
      </c>
      <c r="AC532" s="2">
        <v>365</v>
      </c>
      <c r="AD532" s="2">
        <v>9</v>
      </c>
      <c r="AE532" s="2">
        <v>0.03</v>
      </c>
      <c r="AF532" s="2" t="str" cm="1">
        <f t="array" ref="AF532">_xlfn.IFS(AE532=0, "No Discount ", AE532&lt;=0.08,"Low Discount", AE532&lt;=0.16,"Medium Discount", AE532&gt;0.16, "High Discount")</f>
        <v>Low Discount</v>
      </c>
      <c r="AG532" s="2">
        <v>30449</v>
      </c>
      <c r="AH532" s="2">
        <v>59.99</v>
      </c>
      <c r="AI532" s="2">
        <v>0.47</v>
      </c>
      <c r="AJ532" s="2" t="str" cm="1">
        <f t="array" ref="AJ532">_xlfn.IFS(AI532&lt;=0, "No Profit", AI532&lt;=0.16,"Low Profit",AI532&lt;=0.32,"Medium Profit",AI532&gt;0.32,"High Profit")</f>
        <v>High Profit</v>
      </c>
      <c r="AK532" s="2">
        <v>5</v>
      </c>
      <c r="AL532" s="2">
        <v>299.95</v>
      </c>
      <c r="AM532" s="2">
        <v>290.95</v>
      </c>
      <c r="AN532" s="2">
        <v>136.75</v>
      </c>
      <c r="AO532" s="2" t="s">
        <v>531</v>
      </c>
      <c r="AP532" s="2" t="s">
        <v>2545</v>
      </c>
      <c r="AQ532" s="2" t="s">
        <v>127</v>
      </c>
      <c r="AR532" s="2" t="s">
        <v>81</v>
      </c>
      <c r="AS532" s="2">
        <v>365</v>
      </c>
      <c r="AT532" s="2">
        <v>17</v>
      </c>
      <c r="AU532" s="2" t="s">
        <v>421</v>
      </c>
      <c r="AV532" s="2">
        <v>59.99</v>
      </c>
      <c r="AW532" s="2">
        <v>0</v>
      </c>
      <c r="AX532" s="3">
        <v>42042.770138888889</v>
      </c>
      <c r="AY532" s="2" t="s">
        <v>162</v>
      </c>
      <c r="AZ532" s="4">
        <v>42182</v>
      </c>
      <c r="BA532" s="5">
        <v>0.77013888888888893</v>
      </c>
      <c r="BB532" s="2">
        <v>2015</v>
      </c>
      <c r="BC532" s="2" t="s">
        <v>474</v>
      </c>
      <c r="BD532" s="2">
        <v>27</v>
      </c>
      <c r="BE532" s="4">
        <v>42042</v>
      </c>
      <c r="BF532" s="5">
        <v>0.77013888888888893</v>
      </c>
      <c r="BG532" s="2" t="str" cm="1">
        <f t="array" ref="BG532">_xlfn.IFS(BF532&lt;TIMEVALUE("06:00"),"Night", BF532&gt;=TIMEVALUE("21:00"),"Night",BF532&gt;=TIMEVALUE("17:00"),"Evening",BF532&gt;=TIMEVALUE("12:00"),"Afternoon", BF532&gt;=TIMEVALUE("06:00"),"Morning")</f>
        <v>Evening</v>
      </c>
      <c r="BH532" s="2">
        <v>2015</v>
      </c>
      <c r="BI532" s="2" t="s">
        <v>423</v>
      </c>
      <c r="BJ532" s="2">
        <v>7</v>
      </c>
    </row>
    <row r="533" spans="1:62" x14ac:dyDescent="0.3">
      <c r="A533" s="2" t="s">
        <v>121</v>
      </c>
      <c r="B533" s="2">
        <v>6</v>
      </c>
      <c r="C533" s="2">
        <v>2</v>
      </c>
      <c r="D533" s="2">
        <v>18.670000000000002</v>
      </c>
      <c r="E533" s="2">
        <v>248.96</v>
      </c>
      <c r="F533" s="2" t="s">
        <v>87</v>
      </c>
      <c r="G533" s="2" t="s">
        <v>88</v>
      </c>
      <c r="H533" s="2">
        <v>17</v>
      </c>
      <c r="I533" s="2" t="s">
        <v>412</v>
      </c>
      <c r="J533" s="2" t="s">
        <v>66</v>
      </c>
      <c r="K533" s="2" t="s">
        <v>67</v>
      </c>
      <c r="L533" s="2" t="s">
        <v>414</v>
      </c>
      <c r="M533" s="2">
        <v>9029</v>
      </c>
      <c r="N533" s="2" t="s">
        <v>2547</v>
      </c>
      <c r="O533" s="2" t="s">
        <v>113</v>
      </c>
      <c r="P533" s="2" t="s">
        <v>71</v>
      </c>
      <c r="Q533" s="2" t="s">
        <v>2548</v>
      </c>
      <c r="R533" s="2">
        <v>725</v>
      </c>
      <c r="S533" s="2">
        <v>4</v>
      </c>
      <c r="T533" s="2" t="s">
        <v>417</v>
      </c>
      <c r="U533" s="2">
        <v>18.2605076</v>
      </c>
      <c r="V533" s="2">
        <v>-66.370620700000003</v>
      </c>
      <c r="W533" s="2" t="s">
        <v>528</v>
      </c>
      <c r="X533" s="2" t="s">
        <v>2549</v>
      </c>
      <c r="Y533" s="2" t="s">
        <v>549</v>
      </c>
      <c r="Z533" s="2">
        <v>9029</v>
      </c>
      <c r="AA533" s="2" t="s">
        <v>2550</v>
      </c>
      <c r="AB533" s="2">
        <v>66275</v>
      </c>
      <c r="AC533" s="2">
        <v>365</v>
      </c>
      <c r="AD533" s="2">
        <v>50.99</v>
      </c>
      <c r="AE533" s="2">
        <v>0.17</v>
      </c>
      <c r="AF533" s="2" t="str" cm="1">
        <f t="array" ref="AF533">_xlfn.IFS(AE533=0, "No Discount ", AE533&lt;=0.08,"Low Discount", AE533&lt;=0.16,"Medium Discount", AE533&gt;0.16, "High Discount")</f>
        <v>High Discount</v>
      </c>
      <c r="AG533" s="2">
        <v>165672</v>
      </c>
      <c r="AH533" s="2">
        <v>59.99</v>
      </c>
      <c r="AI533" s="2">
        <v>0.08</v>
      </c>
      <c r="AJ533" s="2" t="str" cm="1">
        <f t="array" ref="AJ533">_xlfn.IFS(AI533&lt;=0, "No Profit", AI533&lt;=0.16,"Low Profit",AI533&lt;=0.32,"Medium Profit",AI533&gt;0.32,"High Profit")</f>
        <v>Low Profit</v>
      </c>
      <c r="AK533" s="2">
        <v>5</v>
      </c>
      <c r="AL533" s="2">
        <v>299.95</v>
      </c>
      <c r="AM533" s="2">
        <v>248.96</v>
      </c>
      <c r="AN533" s="2">
        <v>18.670000000000002</v>
      </c>
      <c r="AO533" s="2" t="s">
        <v>531</v>
      </c>
      <c r="AP533" s="2" t="s">
        <v>2551</v>
      </c>
      <c r="AQ533" s="2" t="s">
        <v>127</v>
      </c>
      <c r="AR533" s="2" t="s">
        <v>81</v>
      </c>
      <c r="AS533" s="2">
        <v>365</v>
      </c>
      <c r="AT533" s="2">
        <v>17</v>
      </c>
      <c r="AU533" s="2" t="s">
        <v>421</v>
      </c>
      <c r="AV533" s="2">
        <v>59.99</v>
      </c>
      <c r="AW533" s="2">
        <v>0</v>
      </c>
      <c r="AX533" s="2" t="s">
        <v>2552</v>
      </c>
      <c r="AY533" s="2" t="s">
        <v>162</v>
      </c>
      <c r="AZ533" s="4">
        <v>42972</v>
      </c>
      <c r="BA533" s="5">
        <v>0.44722222222222224</v>
      </c>
      <c r="BB533" s="2">
        <v>2017</v>
      </c>
      <c r="BC533" s="2" t="s">
        <v>482</v>
      </c>
      <c r="BD533" s="2">
        <v>25</v>
      </c>
      <c r="BE533" s="4">
        <v>42978</v>
      </c>
      <c r="BF533" s="5">
        <v>0.44722222222222224</v>
      </c>
      <c r="BG533" s="2" t="str" cm="1">
        <f t="array" ref="BG533">_xlfn.IFS(BF533&lt;TIMEVALUE("06:00"),"Night", BF533&gt;=TIMEVALUE("21:00"),"Night",BF533&gt;=TIMEVALUE("17:00"),"Evening",BF533&gt;=TIMEVALUE("12:00"),"Afternoon", BF533&gt;=TIMEVALUE("06:00"),"Morning")</f>
        <v>Morning</v>
      </c>
      <c r="BH533" s="2">
        <v>2017</v>
      </c>
      <c r="BI533" s="2" t="s">
        <v>482</v>
      </c>
      <c r="BJ533" s="2">
        <v>31</v>
      </c>
    </row>
    <row r="534" spans="1:62" x14ac:dyDescent="0.3">
      <c r="A534" s="2" t="s">
        <v>121</v>
      </c>
      <c r="B534" s="2">
        <v>6</v>
      </c>
      <c r="C534" s="2">
        <v>2</v>
      </c>
      <c r="D534" s="2">
        <v>84.15</v>
      </c>
      <c r="E534" s="2">
        <v>248.96</v>
      </c>
      <c r="F534" s="2" t="s">
        <v>87</v>
      </c>
      <c r="G534" s="2" t="s">
        <v>88</v>
      </c>
      <c r="H534" s="2">
        <v>17</v>
      </c>
      <c r="I534" s="2" t="s">
        <v>412</v>
      </c>
      <c r="J534" s="2" t="s">
        <v>66</v>
      </c>
      <c r="K534" s="2" t="s">
        <v>67</v>
      </c>
      <c r="L534" s="2" t="s">
        <v>1101</v>
      </c>
      <c r="M534" s="2">
        <v>295</v>
      </c>
      <c r="N534" s="2" t="s">
        <v>2553</v>
      </c>
      <c r="O534" s="2" t="s">
        <v>113</v>
      </c>
      <c r="P534" s="2" t="s">
        <v>71</v>
      </c>
      <c r="Q534" s="2" t="s">
        <v>2554</v>
      </c>
      <c r="R534" s="2">
        <v>725</v>
      </c>
      <c r="S534" s="2">
        <v>4</v>
      </c>
      <c r="T534" s="2" t="s">
        <v>417</v>
      </c>
      <c r="U534" s="2">
        <v>18.351293600000002</v>
      </c>
      <c r="V534" s="2">
        <v>-65.963119500000005</v>
      </c>
      <c r="W534" s="2" t="s">
        <v>528</v>
      </c>
      <c r="X534" s="2" t="s">
        <v>1087</v>
      </c>
      <c r="Y534" s="2" t="s">
        <v>1088</v>
      </c>
      <c r="Z534" s="2">
        <v>295</v>
      </c>
      <c r="AA534" s="3">
        <v>42315.798611111109</v>
      </c>
      <c r="AB534" s="2">
        <v>13140</v>
      </c>
      <c r="AC534" s="2">
        <v>365</v>
      </c>
      <c r="AD534" s="2">
        <v>50.99</v>
      </c>
      <c r="AE534" s="2">
        <v>0.17</v>
      </c>
      <c r="AF534" s="2" t="str" cm="1">
        <f t="array" ref="AF534">_xlfn.IFS(AE534=0, "No Discount ", AE534&lt;=0.08,"Low Discount", AE534&lt;=0.16,"Medium Discount", AE534&gt;0.16, "High Discount")</f>
        <v>High Discount</v>
      </c>
      <c r="AG534" s="2">
        <v>32869</v>
      </c>
      <c r="AH534" s="2">
        <v>59.99</v>
      </c>
      <c r="AI534" s="2">
        <v>0.34</v>
      </c>
      <c r="AJ534" s="2" t="str" cm="1">
        <f t="array" ref="AJ534">_xlfn.IFS(AI534&lt;=0, "No Profit", AI534&lt;=0.16,"Low Profit",AI534&lt;=0.32,"Medium Profit",AI534&gt;0.32,"High Profit")</f>
        <v>High Profit</v>
      </c>
      <c r="AK534" s="2">
        <v>5</v>
      </c>
      <c r="AL534" s="2">
        <v>299.95</v>
      </c>
      <c r="AM534" s="2">
        <v>248.96</v>
      </c>
      <c r="AN534" s="2">
        <v>84.15</v>
      </c>
      <c r="AO534" s="2" t="s">
        <v>531</v>
      </c>
      <c r="AP534" s="2" t="s">
        <v>1087</v>
      </c>
      <c r="AQ534" s="2" t="s">
        <v>127</v>
      </c>
      <c r="AR534" s="2" t="s">
        <v>81</v>
      </c>
      <c r="AS534" s="2">
        <v>365</v>
      </c>
      <c r="AT534" s="2">
        <v>17</v>
      </c>
      <c r="AU534" s="2" t="s">
        <v>421</v>
      </c>
      <c r="AV534" s="2">
        <v>59.99</v>
      </c>
      <c r="AW534" s="2">
        <v>0</v>
      </c>
      <c r="AX534" s="2" t="s">
        <v>2555</v>
      </c>
      <c r="AY534" s="2" t="s">
        <v>162</v>
      </c>
      <c r="AZ534" s="4">
        <v>42315</v>
      </c>
      <c r="BA534" s="5">
        <v>0.79861111111111116</v>
      </c>
      <c r="BB534" s="2">
        <v>2015</v>
      </c>
      <c r="BC534" s="2" t="s">
        <v>455</v>
      </c>
      <c r="BD534" s="2">
        <v>7</v>
      </c>
      <c r="BE534" s="4">
        <v>42202</v>
      </c>
      <c r="BF534" s="5">
        <v>0.79861111111111116</v>
      </c>
      <c r="BG534" s="2" t="str" cm="1">
        <f t="array" ref="BG534">_xlfn.IFS(BF534&lt;TIMEVALUE("06:00"),"Night", BF534&gt;=TIMEVALUE("21:00"),"Night",BF534&gt;=TIMEVALUE("17:00"),"Evening",BF534&gt;=TIMEVALUE("12:00"),"Afternoon", BF534&gt;=TIMEVALUE("06:00"),"Morning")</f>
        <v>Evening</v>
      </c>
      <c r="BH534" s="2">
        <v>2015</v>
      </c>
      <c r="BI534" s="2" t="s">
        <v>533</v>
      </c>
      <c r="BJ534" s="2">
        <v>17</v>
      </c>
    </row>
    <row r="535" spans="1:62" x14ac:dyDescent="0.3">
      <c r="A535" s="2" t="s">
        <v>121</v>
      </c>
      <c r="B535" s="2">
        <v>5</v>
      </c>
      <c r="C535" s="2">
        <v>2</v>
      </c>
      <c r="D535" s="2">
        <v>-67.64</v>
      </c>
      <c r="E535" s="2">
        <v>245.96</v>
      </c>
      <c r="F535" s="2" t="s">
        <v>87</v>
      </c>
      <c r="G535" s="2" t="s">
        <v>88</v>
      </c>
      <c r="H535" s="2">
        <v>17</v>
      </c>
      <c r="I535" s="2" t="s">
        <v>412</v>
      </c>
      <c r="J535" s="2" t="s">
        <v>66</v>
      </c>
      <c r="K535" s="2" t="s">
        <v>67</v>
      </c>
      <c r="L535" s="2" t="s">
        <v>414</v>
      </c>
      <c r="M535" s="2">
        <v>9011</v>
      </c>
      <c r="N535" s="2" t="s">
        <v>425</v>
      </c>
      <c r="O535" s="2" t="s">
        <v>113</v>
      </c>
      <c r="P535" s="2" t="s">
        <v>71</v>
      </c>
      <c r="Q535" s="2" t="s">
        <v>2556</v>
      </c>
      <c r="R535" s="2">
        <v>725</v>
      </c>
      <c r="S535" s="2">
        <v>4</v>
      </c>
      <c r="T535" s="2" t="s">
        <v>417</v>
      </c>
      <c r="U535" s="2">
        <v>18.223773999999999</v>
      </c>
      <c r="V535" s="2">
        <v>-66.370605499999996</v>
      </c>
      <c r="W535" s="2" t="s">
        <v>528</v>
      </c>
      <c r="X535" s="2" t="s">
        <v>957</v>
      </c>
      <c r="Y535" s="2" t="s">
        <v>530</v>
      </c>
      <c r="Z535" s="2">
        <v>9011</v>
      </c>
      <c r="AA535" s="2" t="s">
        <v>2557</v>
      </c>
      <c r="AB535" s="2">
        <v>16444</v>
      </c>
      <c r="AC535" s="2">
        <v>365</v>
      </c>
      <c r="AD535" s="2">
        <v>53.99</v>
      </c>
      <c r="AE535" s="2">
        <v>0.18</v>
      </c>
      <c r="AF535" s="2" t="str" cm="1">
        <f t="array" ref="AF535">_xlfn.IFS(AE535=0, "No Discount ", AE535&lt;=0.08,"Low Discount", AE535&lt;=0.16,"Medium Discount", AE535&gt;0.16, "High Discount")</f>
        <v>High Discount</v>
      </c>
      <c r="AG535" s="2">
        <v>41061</v>
      </c>
      <c r="AH535" s="2">
        <v>59.99</v>
      </c>
      <c r="AI535" s="2">
        <v>-0.28000000000000003</v>
      </c>
      <c r="AJ535" s="2" t="str" cm="1">
        <f t="array" ref="AJ535">_xlfn.IFS(AI535&lt;=0, "No Profit", AI535&lt;=0.16,"Low Profit",AI535&lt;=0.32,"Medium Profit",AI535&gt;0.32,"High Profit")</f>
        <v>No Profit</v>
      </c>
      <c r="AK535" s="2">
        <v>5</v>
      </c>
      <c r="AL535" s="2">
        <v>299.95</v>
      </c>
      <c r="AM535" s="2">
        <v>245.96</v>
      </c>
      <c r="AN535" s="2">
        <v>-67.64</v>
      </c>
      <c r="AO535" s="2" t="s">
        <v>531</v>
      </c>
      <c r="AP535" s="2" t="s">
        <v>532</v>
      </c>
      <c r="AQ535" s="2" t="s">
        <v>127</v>
      </c>
      <c r="AR535" s="2" t="s">
        <v>81</v>
      </c>
      <c r="AS535" s="2">
        <v>365</v>
      </c>
      <c r="AT535" s="2">
        <v>17</v>
      </c>
      <c r="AU535" s="2" t="s">
        <v>421</v>
      </c>
      <c r="AV535" s="2">
        <v>59.99</v>
      </c>
      <c r="AW535" s="2">
        <v>0</v>
      </c>
      <c r="AX535" s="3">
        <v>42072.029166666667</v>
      </c>
      <c r="AY535" s="2" t="s">
        <v>162</v>
      </c>
      <c r="AZ535" s="4">
        <v>42245</v>
      </c>
      <c r="BA535" s="5">
        <v>2.9166666666666667E-2</v>
      </c>
      <c r="BB535" s="2">
        <v>2015</v>
      </c>
      <c r="BC535" s="2" t="s">
        <v>482</v>
      </c>
      <c r="BD535" s="2">
        <v>29</v>
      </c>
      <c r="BE535" s="4">
        <v>42072</v>
      </c>
      <c r="BF535" s="5">
        <v>2.9166666666666667E-2</v>
      </c>
      <c r="BG535" s="2" t="str" cm="1">
        <f t="array" ref="BG535">_xlfn.IFS(BF535&lt;TIMEVALUE("06:00"),"Night", BF535&gt;=TIMEVALUE("21:00"),"Night",BF535&gt;=TIMEVALUE("17:00"),"Evening",BF535&gt;=TIMEVALUE("12:00"),"Afternoon", BF535&gt;=TIMEVALUE("06:00"),"Morning")</f>
        <v>Night</v>
      </c>
      <c r="BH535" s="2">
        <v>2015</v>
      </c>
      <c r="BI535" s="2" t="s">
        <v>85</v>
      </c>
      <c r="BJ535" s="2">
        <v>9</v>
      </c>
    </row>
    <row r="536" spans="1:62" x14ac:dyDescent="0.3">
      <c r="A536" s="2" t="s">
        <v>121</v>
      </c>
      <c r="B536" s="2">
        <v>2</v>
      </c>
      <c r="C536" s="2">
        <v>2</v>
      </c>
      <c r="D536" s="2">
        <v>50.95</v>
      </c>
      <c r="E536" s="2">
        <v>195.95</v>
      </c>
      <c r="F536" s="2" t="s">
        <v>100</v>
      </c>
      <c r="G536" s="2" t="s">
        <v>64</v>
      </c>
      <c r="H536" s="2">
        <v>26</v>
      </c>
      <c r="I536" s="2" t="s">
        <v>1132</v>
      </c>
      <c r="J536" s="2" t="s">
        <v>66</v>
      </c>
      <c r="K536" s="2" t="s">
        <v>67</v>
      </c>
      <c r="L536" s="2" t="s">
        <v>414</v>
      </c>
      <c r="M536" s="2">
        <v>6416</v>
      </c>
      <c r="N536" s="2" t="s">
        <v>425</v>
      </c>
      <c r="O536" s="2" t="s">
        <v>113</v>
      </c>
      <c r="P536" s="2" t="s">
        <v>71</v>
      </c>
      <c r="Q536" s="2" t="s">
        <v>2538</v>
      </c>
      <c r="R536" s="2">
        <v>725</v>
      </c>
      <c r="S536" s="2">
        <v>5</v>
      </c>
      <c r="T536" s="2" t="s">
        <v>427</v>
      </c>
      <c r="U536" s="2">
        <v>18.275041600000002</v>
      </c>
      <c r="V536" s="2">
        <v>-66.370628400000001</v>
      </c>
      <c r="W536" s="2" t="s">
        <v>528</v>
      </c>
      <c r="X536" s="2" t="s">
        <v>2539</v>
      </c>
      <c r="Y536" s="2" t="s">
        <v>904</v>
      </c>
      <c r="Z536" s="2">
        <v>6416</v>
      </c>
      <c r="AA536" s="2" t="s">
        <v>2540</v>
      </c>
      <c r="AB536" s="2">
        <v>15766</v>
      </c>
      <c r="AC536" s="2">
        <v>572</v>
      </c>
      <c r="AD536" s="2">
        <v>4</v>
      </c>
      <c r="AE536" s="2">
        <v>0.02</v>
      </c>
      <c r="AF536" s="2" t="str" cm="1">
        <f t="array" ref="AF536">_xlfn.IFS(AE536=0, "No Discount ", AE536&lt;=0.08,"Low Discount", AE536&lt;=0.16,"Medium Discount", AE536&gt;0.16, "High Discount")</f>
        <v>Low Discount</v>
      </c>
      <c r="AG536" s="2">
        <v>39411</v>
      </c>
      <c r="AH536" s="2">
        <v>39.99</v>
      </c>
      <c r="AI536" s="2">
        <v>0.26</v>
      </c>
      <c r="AJ536" s="2" t="str" cm="1">
        <f t="array" ref="AJ536">_xlfn.IFS(AI536&lt;=0, "No Profit", AI536&lt;=0.16,"Low Profit",AI536&lt;=0.32,"Medium Profit",AI536&gt;0.32,"High Profit")</f>
        <v>Medium Profit</v>
      </c>
      <c r="AK536" s="2">
        <v>5</v>
      </c>
      <c r="AL536" s="2">
        <v>199.95</v>
      </c>
      <c r="AM536" s="2">
        <v>195.95</v>
      </c>
      <c r="AN536" s="2">
        <v>50.95</v>
      </c>
      <c r="AO536" s="2" t="s">
        <v>905</v>
      </c>
      <c r="AP536" s="2" t="s">
        <v>2541</v>
      </c>
      <c r="AQ536" s="2" t="s">
        <v>127</v>
      </c>
      <c r="AR536" s="2" t="s">
        <v>81</v>
      </c>
      <c r="AS536" s="2">
        <v>572</v>
      </c>
      <c r="AT536" s="2">
        <v>26</v>
      </c>
      <c r="AU536" s="2" t="s">
        <v>1936</v>
      </c>
      <c r="AV536" s="2">
        <v>39.99</v>
      </c>
      <c r="AW536" s="2">
        <v>0</v>
      </c>
      <c r="AX536" s="2" t="s">
        <v>2542</v>
      </c>
      <c r="AY536" s="2" t="s">
        <v>162</v>
      </c>
      <c r="AZ536" s="4">
        <v>42235</v>
      </c>
      <c r="BA536" s="5">
        <v>0.13194444444444445</v>
      </c>
      <c r="BB536" s="2">
        <v>2015</v>
      </c>
      <c r="BC536" s="2" t="s">
        <v>482</v>
      </c>
      <c r="BD536" s="2">
        <v>19</v>
      </c>
      <c r="BE536" s="4">
        <v>42237</v>
      </c>
      <c r="BF536" s="5">
        <v>0.13194444444444445</v>
      </c>
      <c r="BG536" s="2" t="str" cm="1">
        <f t="array" ref="BG536">_xlfn.IFS(BF536&lt;TIMEVALUE("06:00"),"Night", BF536&gt;=TIMEVALUE("21:00"),"Night",BF536&gt;=TIMEVALUE("17:00"),"Evening",BF536&gt;=TIMEVALUE("12:00"),"Afternoon", BF536&gt;=TIMEVALUE("06:00"),"Morning")</f>
        <v>Night</v>
      </c>
      <c r="BH536" s="2">
        <v>2015</v>
      </c>
      <c r="BI536" s="2" t="s">
        <v>482</v>
      </c>
      <c r="BJ536" s="2">
        <v>21</v>
      </c>
    </row>
    <row r="537" spans="1:62" x14ac:dyDescent="0.3">
      <c r="A537" s="2" t="s">
        <v>121</v>
      </c>
      <c r="B537" s="2">
        <v>6</v>
      </c>
      <c r="C537" s="2">
        <v>2</v>
      </c>
      <c r="D537" s="2">
        <v>102.38</v>
      </c>
      <c r="E537" s="2">
        <v>227.5</v>
      </c>
      <c r="F537" s="2" t="s">
        <v>87</v>
      </c>
      <c r="G537" s="2" t="s">
        <v>88</v>
      </c>
      <c r="H537" s="2">
        <v>24</v>
      </c>
      <c r="I537" s="2" t="s">
        <v>435</v>
      </c>
      <c r="J537" s="2" t="s">
        <v>66</v>
      </c>
      <c r="K537" s="2" t="s">
        <v>67</v>
      </c>
      <c r="L537" s="2" t="s">
        <v>414</v>
      </c>
      <c r="M537" s="2">
        <v>3570</v>
      </c>
      <c r="N537" s="2" t="s">
        <v>540</v>
      </c>
      <c r="O537" s="2" t="s">
        <v>113</v>
      </c>
      <c r="P537" s="2" t="s">
        <v>71</v>
      </c>
      <c r="Q537" s="2" t="s">
        <v>541</v>
      </c>
      <c r="R537" s="2">
        <v>725</v>
      </c>
      <c r="S537" s="2">
        <v>5</v>
      </c>
      <c r="T537" s="2" t="s">
        <v>427</v>
      </c>
      <c r="U537" s="2">
        <v>18.289968500000001</v>
      </c>
      <c r="V537" s="2">
        <v>-66.3705444</v>
      </c>
      <c r="W537" s="2" t="s">
        <v>528</v>
      </c>
      <c r="X537" s="2" t="s">
        <v>542</v>
      </c>
      <c r="Y537" s="2" t="s">
        <v>536</v>
      </c>
      <c r="Z537" s="2">
        <v>3570</v>
      </c>
      <c r="AA537" s="3">
        <v>42924.272916666669</v>
      </c>
      <c r="AB537" s="2">
        <v>65030</v>
      </c>
      <c r="AC537" s="2">
        <v>502</v>
      </c>
      <c r="AD537" s="2">
        <v>22.5</v>
      </c>
      <c r="AE537" s="2">
        <v>0.09</v>
      </c>
      <c r="AF537" s="2" t="str" cm="1">
        <f t="array" ref="AF537">_xlfn.IFS(AE537=0, "No Discount ", AE537&lt;=0.08,"Low Discount", AE537&lt;=0.16,"Medium Discount", AE537&gt;0.16, "High Discount")</f>
        <v>Medium Discount</v>
      </c>
      <c r="AG537" s="2">
        <v>162550</v>
      </c>
      <c r="AH537" s="2">
        <v>50</v>
      </c>
      <c r="AI537" s="2">
        <v>0.45</v>
      </c>
      <c r="AJ537" s="2" t="str" cm="1">
        <f t="array" ref="AJ537">_xlfn.IFS(AI537&lt;=0, "No Profit", AI537&lt;=0.16,"Low Profit",AI537&lt;=0.32,"Medium Profit",AI537&gt;0.32,"High Profit")</f>
        <v>High Profit</v>
      </c>
      <c r="AK537" s="2">
        <v>5</v>
      </c>
      <c r="AL537" s="2">
        <v>250</v>
      </c>
      <c r="AM537" s="2">
        <v>227.5</v>
      </c>
      <c r="AN537" s="2">
        <v>102.38</v>
      </c>
      <c r="AO537" s="2" t="s">
        <v>531</v>
      </c>
      <c r="AP537" s="2" t="s">
        <v>543</v>
      </c>
      <c r="AQ537" s="2" t="s">
        <v>127</v>
      </c>
      <c r="AR537" s="2" t="s">
        <v>81</v>
      </c>
      <c r="AS537" s="2">
        <v>502</v>
      </c>
      <c r="AT537" s="2">
        <v>24</v>
      </c>
      <c r="AU537" s="2" t="s">
        <v>442</v>
      </c>
      <c r="AV537" s="2">
        <v>50</v>
      </c>
      <c r="AW537" s="2">
        <v>0</v>
      </c>
      <c r="AX537" s="2" t="s">
        <v>544</v>
      </c>
      <c r="AY537" s="2" t="s">
        <v>162</v>
      </c>
      <c r="AZ537" s="4">
        <v>42924</v>
      </c>
      <c r="BA537" s="5">
        <v>0.27291666666666664</v>
      </c>
      <c r="BB537" s="2">
        <v>2017</v>
      </c>
      <c r="BC537" s="2" t="s">
        <v>533</v>
      </c>
      <c r="BD537" s="2">
        <v>8</v>
      </c>
      <c r="BE537" s="4">
        <v>42960</v>
      </c>
      <c r="BF537" s="5">
        <v>0.27291666666666664</v>
      </c>
      <c r="BG537" s="2" t="str" cm="1">
        <f t="array" ref="BG537">_xlfn.IFS(BF537&lt;TIMEVALUE("06:00"),"Night", BF537&gt;=TIMEVALUE("21:00"),"Night",BF537&gt;=TIMEVALUE("17:00"),"Evening",BF537&gt;=TIMEVALUE("12:00"),"Afternoon", BF537&gt;=TIMEVALUE("06:00"),"Morning")</f>
        <v>Morning</v>
      </c>
      <c r="BH537" s="2">
        <v>2017</v>
      </c>
      <c r="BI537" s="2" t="s">
        <v>482</v>
      </c>
      <c r="BJ537" s="2">
        <v>13</v>
      </c>
    </row>
    <row r="538" spans="1:62" x14ac:dyDescent="0.3">
      <c r="A538" s="2" t="s">
        <v>121</v>
      </c>
      <c r="B538" s="2">
        <v>5</v>
      </c>
      <c r="C538" s="2">
        <v>2</v>
      </c>
      <c r="D538" s="2">
        <v>29.25</v>
      </c>
      <c r="E538" s="2">
        <v>225</v>
      </c>
      <c r="F538" s="2" t="s">
        <v>87</v>
      </c>
      <c r="G538" s="2" t="s">
        <v>88</v>
      </c>
      <c r="H538" s="2">
        <v>24</v>
      </c>
      <c r="I538" s="2" t="s">
        <v>435</v>
      </c>
      <c r="J538" s="2" t="s">
        <v>66</v>
      </c>
      <c r="K538" s="2" t="s">
        <v>67</v>
      </c>
      <c r="L538" s="2" t="s">
        <v>414</v>
      </c>
      <c r="M538" s="2">
        <v>1577</v>
      </c>
      <c r="N538" s="2" t="s">
        <v>425</v>
      </c>
      <c r="O538" s="2" t="s">
        <v>113</v>
      </c>
      <c r="P538" s="2" t="s">
        <v>71</v>
      </c>
      <c r="Q538" s="2" t="s">
        <v>2558</v>
      </c>
      <c r="R538" s="2">
        <v>725</v>
      </c>
      <c r="S538" s="2">
        <v>5</v>
      </c>
      <c r="T538" s="2" t="s">
        <v>427</v>
      </c>
      <c r="U538" s="2">
        <v>18.294447000000002</v>
      </c>
      <c r="V538" s="2">
        <v>-66.3705444</v>
      </c>
      <c r="W538" s="2" t="s">
        <v>528</v>
      </c>
      <c r="X538" s="2" t="s">
        <v>2559</v>
      </c>
      <c r="Y538" s="2" t="s">
        <v>557</v>
      </c>
      <c r="Z538" s="2">
        <v>1577</v>
      </c>
      <c r="AA538" s="2" t="s">
        <v>2560</v>
      </c>
      <c r="AB538" s="2">
        <v>14454</v>
      </c>
      <c r="AC538" s="2">
        <v>502</v>
      </c>
      <c r="AD538" s="2">
        <v>25</v>
      </c>
      <c r="AE538" s="2">
        <v>0.1</v>
      </c>
      <c r="AF538" s="2" t="str" cm="1">
        <f t="array" ref="AF538">_xlfn.IFS(AE538=0, "No Discount ", AE538&lt;=0.08,"Low Discount", AE538&lt;=0.16,"Medium Discount", AE538&gt;0.16, "High Discount")</f>
        <v>Medium Discount</v>
      </c>
      <c r="AG538" s="2">
        <v>36153</v>
      </c>
      <c r="AH538" s="2">
        <v>50</v>
      </c>
      <c r="AI538" s="2">
        <v>0.13</v>
      </c>
      <c r="AJ538" s="2" t="str" cm="1">
        <f t="array" ref="AJ538">_xlfn.IFS(AI538&lt;=0, "No Profit", AI538&lt;=0.16,"Low Profit",AI538&lt;=0.32,"Medium Profit",AI538&gt;0.32,"High Profit")</f>
        <v>Low Profit</v>
      </c>
      <c r="AK538" s="2">
        <v>5</v>
      </c>
      <c r="AL538" s="2">
        <v>250</v>
      </c>
      <c r="AM538" s="2">
        <v>225</v>
      </c>
      <c r="AN538" s="2">
        <v>29.25</v>
      </c>
      <c r="AO538" s="2" t="s">
        <v>558</v>
      </c>
      <c r="AP538" s="2" t="s">
        <v>559</v>
      </c>
      <c r="AQ538" s="2" t="s">
        <v>127</v>
      </c>
      <c r="AR538" s="2" t="s">
        <v>81</v>
      </c>
      <c r="AS538" s="2">
        <v>502</v>
      </c>
      <c r="AT538" s="2">
        <v>24</v>
      </c>
      <c r="AU538" s="2" t="s">
        <v>442</v>
      </c>
      <c r="AV538" s="2">
        <v>50</v>
      </c>
      <c r="AW538" s="2">
        <v>0</v>
      </c>
      <c r="AX538" s="3">
        <v>42102.979861111111</v>
      </c>
      <c r="AY538" s="2" t="s">
        <v>162</v>
      </c>
      <c r="AZ538" s="4">
        <v>42215</v>
      </c>
      <c r="BA538" s="5">
        <v>0.97986111111111107</v>
      </c>
      <c r="BB538" s="2">
        <v>2015</v>
      </c>
      <c r="BC538" s="2" t="s">
        <v>533</v>
      </c>
      <c r="BD538" s="2">
        <v>30</v>
      </c>
      <c r="BE538" s="4">
        <v>42102</v>
      </c>
      <c r="BF538" s="5">
        <v>0.97986111111111107</v>
      </c>
      <c r="BG538" s="2" t="str" cm="1">
        <f t="array" ref="BG538">_xlfn.IFS(BF538&lt;TIMEVALUE("06:00"),"Night", BF538&gt;=TIMEVALUE("21:00"),"Night",BF538&gt;=TIMEVALUE("17:00"),"Evening",BF538&gt;=TIMEVALUE("12:00"),"Afternoon", BF538&gt;=TIMEVALUE("06:00"),"Morning")</f>
        <v>Night</v>
      </c>
      <c r="BH538" s="2">
        <v>2015</v>
      </c>
      <c r="BI538" s="2" t="s">
        <v>487</v>
      </c>
      <c r="BJ538" s="2">
        <v>8</v>
      </c>
    </row>
    <row r="539" spans="1:62" x14ac:dyDescent="0.3">
      <c r="A539" s="2" t="s">
        <v>121</v>
      </c>
      <c r="B539" s="2">
        <v>2</v>
      </c>
      <c r="C539" s="2">
        <v>2</v>
      </c>
      <c r="D539" s="2">
        <v>58.5</v>
      </c>
      <c r="E539" s="2">
        <v>225</v>
      </c>
      <c r="F539" s="2" t="s">
        <v>100</v>
      </c>
      <c r="G539" s="2" t="s">
        <v>64</v>
      </c>
      <c r="H539" s="2">
        <v>24</v>
      </c>
      <c r="I539" s="2" t="s">
        <v>435</v>
      </c>
      <c r="J539" s="2" t="s">
        <v>66</v>
      </c>
      <c r="K539" s="2" t="s">
        <v>67</v>
      </c>
      <c r="L539" s="2" t="s">
        <v>414</v>
      </c>
      <c r="M539" s="2">
        <v>1086</v>
      </c>
      <c r="N539" s="2" t="s">
        <v>425</v>
      </c>
      <c r="O539" s="2" t="s">
        <v>113</v>
      </c>
      <c r="P539" s="2" t="s">
        <v>71</v>
      </c>
      <c r="Q539" s="2" t="s">
        <v>2463</v>
      </c>
      <c r="R539" s="2">
        <v>725</v>
      </c>
      <c r="S539" s="2">
        <v>5</v>
      </c>
      <c r="T539" s="2" t="s">
        <v>427</v>
      </c>
      <c r="U539" s="2">
        <v>18.278791399999999</v>
      </c>
      <c r="V539" s="2">
        <v>-66.370575000000002</v>
      </c>
      <c r="W539" s="2" t="s">
        <v>528</v>
      </c>
      <c r="X539" s="2" t="s">
        <v>2464</v>
      </c>
      <c r="Y539" s="2" t="s">
        <v>557</v>
      </c>
      <c r="Z539" s="2">
        <v>1086</v>
      </c>
      <c r="AA539" s="2" t="s">
        <v>2465</v>
      </c>
      <c r="AB539" s="2">
        <v>13736</v>
      </c>
      <c r="AC539" s="2">
        <v>502</v>
      </c>
      <c r="AD539" s="2">
        <v>25</v>
      </c>
      <c r="AE539" s="2">
        <v>0.1</v>
      </c>
      <c r="AF539" s="2" t="str" cm="1">
        <f t="array" ref="AF539">_xlfn.IFS(AE539=0, "No Discount ", AE539&lt;=0.08,"Low Discount", AE539&lt;=0.16,"Medium Discount", AE539&gt;0.16, "High Discount")</f>
        <v>Medium Discount</v>
      </c>
      <c r="AG539" s="2">
        <v>34403</v>
      </c>
      <c r="AH539" s="2">
        <v>50</v>
      </c>
      <c r="AI539" s="2">
        <v>0.26</v>
      </c>
      <c r="AJ539" s="2" t="str" cm="1">
        <f t="array" ref="AJ539">_xlfn.IFS(AI539&lt;=0, "No Profit", AI539&lt;=0.16,"Low Profit",AI539&lt;=0.32,"Medium Profit",AI539&gt;0.32,"High Profit")</f>
        <v>Medium Profit</v>
      </c>
      <c r="AK539" s="2">
        <v>5</v>
      </c>
      <c r="AL539" s="2">
        <v>250</v>
      </c>
      <c r="AM539" s="2">
        <v>225</v>
      </c>
      <c r="AN539" s="2">
        <v>58.5</v>
      </c>
      <c r="AO539" s="2" t="s">
        <v>558</v>
      </c>
      <c r="AP539" s="2" t="s">
        <v>559</v>
      </c>
      <c r="AQ539" s="2" t="s">
        <v>127</v>
      </c>
      <c r="AR539" s="2" t="s">
        <v>81</v>
      </c>
      <c r="AS539" s="2">
        <v>502</v>
      </c>
      <c r="AT539" s="2">
        <v>24</v>
      </c>
      <c r="AU539" s="2" t="s">
        <v>442</v>
      </c>
      <c r="AV539" s="2">
        <v>50</v>
      </c>
      <c r="AW539" s="2">
        <v>0</v>
      </c>
      <c r="AX539" s="2" t="s">
        <v>2466</v>
      </c>
      <c r="AY539" s="2" t="s">
        <v>162</v>
      </c>
      <c r="AZ539" s="4">
        <v>42205</v>
      </c>
      <c r="BA539" s="5">
        <v>0.49861111111111112</v>
      </c>
      <c r="BB539" s="2">
        <v>2015</v>
      </c>
      <c r="BC539" s="2" t="s">
        <v>533</v>
      </c>
      <c r="BD539" s="2">
        <v>20</v>
      </c>
      <c r="BE539" s="4">
        <v>42207</v>
      </c>
      <c r="BF539" s="5">
        <v>0.49861111111111112</v>
      </c>
      <c r="BG539" s="2" t="str" cm="1">
        <f t="array" ref="BG539">_xlfn.IFS(BF539&lt;TIMEVALUE("06:00"),"Night", BF539&gt;=TIMEVALUE("21:00"),"Night",BF539&gt;=TIMEVALUE("17:00"),"Evening",BF539&gt;=TIMEVALUE("12:00"),"Afternoon", BF539&gt;=TIMEVALUE("06:00"),"Morning")</f>
        <v>Morning</v>
      </c>
      <c r="BH539" s="2">
        <v>2015</v>
      </c>
      <c r="BI539" s="2" t="s">
        <v>533</v>
      </c>
      <c r="BJ539" s="2">
        <v>22</v>
      </c>
    </row>
    <row r="540" spans="1:62" x14ac:dyDescent="0.3">
      <c r="A540" s="2" t="s">
        <v>121</v>
      </c>
      <c r="B540" s="2">
        <v>5</v>
      </c>
      <c r="C540" s="2">
        <v>2</v>
      </c>
      <c r="D540" s="2">
        <v>-33.83</v>
      </c>
      <c r="E540" s="2">
        <v>179.96</v>
      </c>
      <c r="F540" s="2" t="s">
        <v>87</v>
      </c>
      <c r="G540" s="2" t="s">
        <v>88</v>
      </c>
      <c r="H540" s="2">
        <v>29</v>
      </c>
      <c r="I540" s="2" t="s">
        <v>424</v>
      </c>
      <c r="J540" s="2" t="s">
        <v>66</v>
      </c>
      <c r="K540" s="2" t="s">
        <v>67</v>
      </c>
      <c r="L540" s="2" t="s">
        <v>414</v>
      </c>
      <c r="M540" s="2">
        <v>1568</v>
      </c>
      <c r="N540" s="2" t="s">
        <v>2192</v>
      </c>
      <c r="O540" s="2" t="s">
        <v>113</v>
      </c>
      <c r="P540" s="2" t="s">
        <v>71</v>
      </c>
      <c r="Q540" s="2" t="s">
        <v>2561</v>
      </c>
      <c r="R540" s="2">
        <v>725</v>
      </c>
      <c r="S540" s="2">
        <v>5</v>
      </c>
      <c r="T540" s="2" t="s">
        <v>427</v>
      </c>
      <c r="U540" s="2">
        <v>18.225015599999999</v>
      </c>
      <c r="V540" s="2">
        <v>-66.370620700000003</v>
      </c>
      <c r="W540" s="2" t="s">
        <v>528</v>
      </c>
      <c r="X540" s="2" t="s">
        <v>1012</v>
      </c>
      <c r="Y540" s="2" t="s">
        <v>536</v>
      </c>
      <c r="Z540" s="2">
        <v>1568</v>
      </c>
      <c r="AA540" s="2" t="s">
        <v>2562</v>
      </c>
      <c r="AB540" s="2">
        <v>67979</v>
      </c>
      <c r="AC540" s="2">
        <v>627</v>
      </c>
      <c r="AD540" s="2">
        <v>20</v>
      </c>
      <c r="AE540" s="2">
        <v>0.1</v>
      </c>
      <c r="AF540" s="2" t="str" cm="1">
        <f t="array" ref="AF540">_xlfn.IFS(AE540=0, "No Discount ", AE540&lt;=0.08,"Low Discount", AE540&lt;=0.16,"Medium Discount", AE540&gt;0.16, "High Discount")</f>
        <v>Medium Discount</v>
      </c>
      <c r="AG540" s="2">
        <v>169947</v>
      </c>
      <c r="AH540" s="2">
        <v>39.99</v>
      </c>
      <c r="AI540" s="2">
        <v>-0.19</v>
      </c>
      <c r="AJ540" s="2" t="str" cm="1">
        <f t="array" ref="AJ540">_xlfn.IFS(AI540&lt;=0, "No Profit", AI540&lt;=0.16,"Low Profit",AI540&lt;=0.32,"Medium Profit",AI540&gt;0.32,"High Profit")</f>
        <v>No Profit</v>
      </c>
      <c r="AK540" s="2">
        <v>5</v>
      </c>
      <c r="AL540" s="2">
        <v>199.95</v>
      </c>
      <c r="AM540" s="2">
        <v>179.96</v>
      </c>
      <c r="AN540" s="2">
        <v>-33.83</v>
      </c>
      <c r="AO540" s="2" t="s">
        <v>531</v>
      </c>
      <c r="AP540" s="2" t="s">
        <v>1014</v>
      </c>
      <c r="AQ540" s="2" t="s">
        <v>127</v>
      </c>
      <c r="AR540" s="2" t="s">
        <v>81</v>
      </c>
      <c r="AS540" s="2">
        <v>627</v>
      </c>
      <c r="AT540" s="2">
        <v>29</v>
      </c>
      <c r="AU540" s="2" t="s">
        <v>432</v>
      </c>
      <c r="AV540" s="2">
        <v>39.99</v>
      </c>
      <c r="AW540" s="2">
        <v>0</v>
      </c>
      <c r="AX540" s="2" t="s">
        <v>2563</v>
      </c>
      <c r="AY540" s="2" t="s">
        <v>162</v>
      </c>
      <c r="AZ540" s="4">
        <v>42997</v>
      </c>
      <c r="BA540" s="5">
        <v>0.3215277777777778</v>
      </c>
      <c r="BB540" s="2">
        <v>2017</v>
      </c>
      <c r="BC540" s="2" t="s">
        <v>552</v>
      </c>
      <c r="BD540" s="2">
        <v>19</v>
      </c>
      <c r="BE540" s="4">
        <v>43002</v>
      </c>
      <c r="BF540" s="5">
        <v>0.3215277777777778</v>
      </c>
      <c r="BG540" s="2" t="str" cm="1">
        <f t="array" ref="BG540">_xlfn.IFS(BF540&lt;TIMEVALUE("06:00"),"Night", BF540&gt;=TIMEVALUE("21:00"),"Night",BF540&gt;=TIMEVALUE("17:00"),"Evening",BF540&gt;=TIMEVALUE("12:00"),"Afternoon", BF540&gt;=TIMEVALUE("06:00"),"Morning")</f>
        <v>Morning</v>
      </c>
      <c r="BH540" s="2">
        <v>2017</v>
      </c>
      <c r="BI540" s="2" t="s">
        <v>552</v>
      </c>
      <c r="BJ540" s="2">
        <v>24</v>
      </c>
    </row>
    <row r="541" spans="1:62" x14ac:dyDescent="0.3">
      <c r="A541" s="2" t="s">
        <v>121</v>
      </c>
      <c r="B541" s="2">
        <v>6</v>
      </c>
      <c r="C541" s="2">
        <v>2</v>
      </c>
      <c r="D541" s="2">
        <v>84.38</v>
      </c>
      <c r="E541" s="2">
        <v>225</v>
      </c>
      <c r="F541" s="2" t="s">
        <v>87</v>
      </c>
      <c r="G541" s="2" t="s">
        <v>88</v>
      </c>
      <c r="H541" s="2">
        <v>24</v>
      </c>
      <c r="I541" s="2" t="s">
        <v>435</v>
      </c>
      <c r="J541" s="2" t="s">
        <v>66</v>
      </c>
      <c r="K541" s="2" t="s">
        <v>67</v>
      </c>
      <c r="L541" s="2" t="s">
        <v>414</v>
      </c>
      <c r="M541" s="2">
        <v>3570</v>
      </c>
      <c r="N541" s="2" t="s">
        <v>540</v>
      </c>
      <c r="O541" s="2" t="s">
        <v>113</v>
      </c>
      <c r="P541" s="2" t="s">
        <v>71</v>
      </c>
      <c r="Q541" s="2" t="s">
        <v>541</v>
      </c>
      <c r="R541" s="2">
        <v>725</v>
      </c>
      <c r="S541" s="2">
        <v>5</v>
      </c>
      <c r="T541" s="2" t="s">
        <v>427</v>
      </c>
      <c r="U541" s="2">
        <v>18.289968500000001</v>
      </c>
      <c r="V541" s="2">
        <v>-66.3705444</v>
      </c>
      <c r="W541" s="2" t="s">
        <v>528</v>
      </c>
      <c r="X541" s="2" t="s">
        <v>542</v>
      </c>
      <c r="Y541" s="2" t="s">
        <v>536</v>
      </c>
      <c r="Z541" s="2">
        <v>3570</v>
      </c>
      <c r="AA541" s="3">
        <v>42924.272916666669</v>
      </c>
      <c r="AB541" s="2">
        <v>65030</v>
      </c>
      <c r="AC541" s="2">
        <v>502</v>
      </c>
      <c r="AD541" s="2">
        <v>25</v>
      </c>
      <c r="AE541" s="2">
        <v>0.1</v>
      </c>
      <c r="AF541" s="2" t="str" cm="1">
        <f t="array" ref="AF541">_xlfn.IFS(AE541=0, "No Discount ", AE541&lt;=0.08,"Low Discount", AE541&lt;=0.16,"Medium Discount", AE541&gt;0.16, "High Discount")</f>
        <v>Medium Discount</v>
      </c>
      <c r="AG541" s="2">
        <v>162549</v>
      </c>
      <c r="AH541" s="2">
        <v>50</v>
      </c>
      <c r="AI541" s="2">
        <v>0.38</v>
      </c>
      <c r="AJ541" s="2" t="str" cm="1">
        <f t="array" ref="AJ541">_xlfn.IFS(AI541&lt;=0, "No Profit", AI541&lt;=0.16,"Low Profit",AI541&lt;=0.32,"Medium Profit",AI541&gt;0.32,"High Profit")</f>
        <v>High Profit</v>
      </c>
      <c r="AK541" s="2">
        <v>5</v>
      </c>
      <c r="AL541" s="2">
        <v>250</v>
      </c>
      <c r="AM541" s="2">
        <v>225</v>
      </c>
      <c r="AN541" s="2">
        <v>84.38</v>
      </c>
      <c r="AO541" s="2" t="s">
        <v>531</v>
      </c>
      <c r="AP541" s="2" t="s">
        <v>543</v>
      </c>
      <c r="AQ541" s="2" t="s">
        <v>127</v>
      </c>
      <c r="AR541" s="2" t="s">
        <v>81</v>
      </c>
      <c r="AS541" s="2">
        <v>502</v>
      </c>
      <c r="AT541" s="2">
        <v>24</v>
      </c>
      <c r="AU541" s="2" t="s">
        <v>442</v>
      </c>
      <c r="AV541" s="2">
        <v>50</v>
      </c>
      <c r="AW541" s="2">
        <v>0</v>
      </c>
      <c r="AX541" s="2" t="s">
        <v>544</v>
      </c>
      <c r="AY541" s="2" t="s">
        <v>162</v>
      </c>
      <c r="AZ541" s="4">
        <v>42924</v>
      </c>
      <c r="BA541" s="5">
        <v>0.27291666666666664</v>
      </c>
      <c r="BB541" s="2">
        <v>2017</v>
      </c>
      <c r="BC541" s="2" t="s">
        <v>533</v>
      </c>
      <c r="BD541" s="2">
        <v>8</v>
      </c>
      <c r="BE541" s="4">
        <v>42960</v>
      </c>
      <c r="BF541" s="5">
        <v>0.27291666666666664</v>
      </c>
      <c r="BG541" s="2" t="str" cm="1">
        <f t="array" ref="BG541">_xlfn.IFS(BF541&lt;TIMEVALUE("06:00"),"Night", BF541&gt;=TIMEVALUE("21:00"),"Night",BF541&gt;=TIMEVALUE("17:00"),"Evening",BF541&gt;=TIMEVALUE("12:00"),"Afternoon", BF541&gt;=TIMEVALUE("06:00"),"Morning")</f>
        <v>Morning</v>
      </c>
      <c r="BH541" s="2">
        <v>2017</v>
      </c>
      <c r="BI541" s="2" t="s">
        <v>482</v>
      </c>
      <c r="BJ541" s="2">
        <v>13</v>
      </c>
    </row>
    <row r="542" spans="1:62" x14ac:dyDescent="0.3">
      <c r="A542" s="2" t="s">
        <v>121</v>
      </c>
      <c r="B542" s="2">
        <v>6</v>
      </c>
      <c r="C542" s="2">
        <v>2</v>
      </c>
      <c r="D542" s="2">
        <v>-170</v>
      </c>
      <c r="E542" s="2">
        <v>212.5</v>
      </c>
      <c r="F542" s="2" t="s">
        <v>87</v>
      </c>
      <c r="G542" s="2" t="s">
        <v>88</v>
      </c>
      <c r="H542" s="2">
        <v>24</v>
      </c>
      <c r="I542" s="2" t="s">
        <v>435</v>
      </c>
      <c r="J542" s="2" t="s">
        <v>66</v>
      </c>
      <c r="K542" s="2" t="s">
        <v>67</v>
      </c>
      <c r="L542" s="2" t="s">
        <v>414</v>
      </c>
      <c r="M542" s="2">
        <v>9029</v>
      </c>
      <c r="N542" s="2" t="s">
        <v>2547</v>
      </c>
      <c r="O542" s="2" t="s">
        <v>113</v>
      </c>
      <c r="P542" s="2" t="s">
        <v>71</v>
      </c>
      <c r="Q542" s="2" t="s">
        <v>2548</v>
      </c>
      <c r="R542" s="2">
        <v>725</v>
      </c>
      <c r="S542" s="2">
        <v>5</v>
      </c>
      <c r="T542" s="2" t="s">
        <v>427</v>
      </c>
      <c r="U542" s="2">
        <v>18.2605076</v>
      </c>
      <c r="V542" s="2">
        <v>-66.370620700000003</v>
      </c>
      <c r="W542" s="2" t="s">
        <v>528</v>
      </c>
      <c r="X542" s="2" t="s">
        <v>2549</v>
      </c>
      <c r="Y542" s="2" t="s">
        <v>549</v>
      </c>
      <c r="Z542" s="2">
        <v>9029</v>
      </c>
      <c r="AA542" s="2" t="s">
        <v>2550</v>
      </c>
      <c r="AB542" s="2">
        <v>66275</v>
      </c>
      <c r="AC542" s="2">
        <v>502</v>
      </c>
      <c r="AD542" s="2">
        <v>37.5</v>
      </c>
      <c r="AE542" s="2">
        <v>0.15</v>
      </c>
      <c r="AF542" s="2" t="str" cm="1">
        <f t="array" ref="AF542">_xlfn.IFS(AE542=0, "No Discount ", AE542&lt;=0.08,"Low Discount", AE542&lt;=0.16,"Medium Discount", AE542&gt;0.16, "High Discount")</f>
        <v>Medium Discount</v>
      </c>
      <c r="AG542" s="2">
        <v>165673</v>
      </c>
      <c r="AH542" s="2">
        <v>50</v>
      </c>
      <c r="AI542" s="2">
        <v>-0.8</v>
      </c>
      <c r="AJ542" s="2" t="str" cm="1">
        <f t="array" ref="AJ542">_xlfn.IFS(AI542&lt;=0, "No Profit", AI542&lt;=0.16,"Low Profit",AI542&lt;=0.32,"Medium Profit",AI542&gt;0.32,"High Profit")</f>
        <v>No Profit</v>
      </c>
      <c r="AK542" s="2">
        <v>5</v>
      </c>
      <c r="AL542" s="2">
        <v>250</v>
      </c>
      <c r="AM542" s="2">
        <v>212.5</v>
      </c>
      <c r="AN542" s="2">
        <v>-170</v>
      </c>
      <c r="AO542" s="2" t="s">
        <v>531</v>
      </c>
      <c r="AP542" s="2" t="s">
        <v>2551</v>
      </c>
      <c r="AQ542" s="2" t="s">
        <v>127</v>
      </c>
      <c r="AR542" s="2" t="s">
        <v>81</v>
      </c>
      <c r="AS542" s="2">
        <v>502</v>
      </c>
      <c r="AT542" s="2">
        <v>24</v>
      </c>
      <c r="AU542" s="2" t="s">
        <v>442</v>
      </c>
      <c r="AV542" s="2">
        <v>50</v>
      </c>
      <c r="AW542" s="2">
        <v>0</v>
      </c>
      <c r="AX542" s="2" t="s">
        <v>2552</v>
      </c>
      <c r="AY542" s="2" t="s">
        <v>162</v>
      </c>
      <c r="AZ542" s="4">
        <v>42972</v>
      </c>
      <c r="BA542" s="5">
        <v>0.44722222222222224</v>
      </c>
      <c r="BB542" s="2">
        <v>2017</v>
      </c>
      <c r="BC542" s="2" t="s">
        <v>482</v>
      </c>
      <c r="BD542" s="2">
        <v>25</v>
      </c>
      <c r="BE542" s="4">
        <v>42978</v>
      </c>
      <c r="BF542" s="5">
        <v>0.44722222222222224</v>
      </c>
      <c r="BG542" s="2" t="str" cm="1">
        <f t="array" ref="BG542">_xlfn.IFS(BF542&lt;TIMEVALUE("06:00"),"Night", BF542&gt;=TIMEVALUE("21:00"),"Night",BF542&gt;=TIMEVALUE("17:00"),"Evening",BF542&gt;=TIMEVALUE("12:00"),"Afternoon", BF542&gt;=TIMEVALUE("06:00"),"Morning")</f>
        <v>Morning</v>
      </c>
      <c r="BH542" s="2">
        <v>2017</v>
      </c>
      <c r="BI542" s="2" t="s">
        <v>482</v>
      </c>
      <c r="BJ542" s="2">
        <v>31</v>
      </c>
    </row>
    <row r="543" spans="1:62" x14ac:dyDescent="0.3">
      <c r="A543" s="2" t="s">
        <v>121</v>
      </c>
      <c r="B543" s="2">
        <v>5</v>
      </c>
      <c r="C543" s="2">
        <v>2</v>
      </c>
      <c r="D543" s="2">
        <v>78.63</v>
      </c>
      <c r="E543" s="2">
        <v>212.5</v>
      </c>
      <c r="F543" s="2" t="s">
        <v>87</v>
      </c>
      <c r="G543" s="2" t="s">
        <v>88</v>
      </c>
      <c r="H543" s="2">
        <v>24</v>
      </c>
      <c r="I543" s="2" t="s">
        <v>435</v>
      </c>
      <c r="J543" s="2" t="s">
        <v>66</v>
      </c>
      <c r="K543" s="2" t="s">
        <v>67</v>
      </c>
      <c r="L543" s="2" t="s">
        <v>498</v>
      </c>
      <c r="M543" s="2">
        <v>9047</v>
      </c>
      <c r="N543" s="2" t="s">
        <v>2564</v>
      </c>
      <c r="O543" s="2" t="s">
        <v>113</v>
      </c>
      <c r="P543" s="2" t="s">
        <v>71</v>
      </c>
      <c r="Q543" s="2" t="s">
        <v>2565</v>
      </c>
      <c r="R543" s="2">
        <v>725</v>
      </c>
      <c r="S543" s="2">
        <v>5</v>
      </c>
      <c r="T543" s="2" t="s">
        <v>427</v>
      </c>
      <c r="U543" s="2">
        <v>18.216712999999999</v>
      </c>
      <c r="V543" s="2">
        <v>-66.370582600000006</v>
      </c>
      <c r="W543" s="2" t="s">
        <v>528</v>
      </c>
      <c r="X543" s="2" t="s">
        <v>2566</v>
      </c>
      <c r="Y543" s="2" t="s">
        <v>530</v>
      </c>
      <c r="Z543" s="2">
        <v>9047</v>
      </c>
      <c r="AA543" s="3">
        <v>43016.688888888886</v>
      </c>
      <c r="AB543" s="2">
        <v>65264</v>
      </c>
      <c r="AC543" s="2">
        <v>502</v>
      </c>
      <c r="AD543" s="2">
        <v>37.5</v>
      </c>
      <c r="AE543" s="2">
        <v>0.15</v>
      </c>
      <c r="AF543" s="2" t="str" cm="1">
        <f t="array" ref="AF543">_xlfn.IFS(AE543=0, "No Discount ", AE543&lt;=0.08,"Low Discount", AE543&lt;=0.16,"Medium Discount", AE543&gt;0.16, "High Discount")</f>
        <v>Medium Discount</v>
      </c>
      <c r="AG543" s="2">
        <v>163099</v>
      </c>
      <c r="AH543" s="2">
        <v>50</v>
      </c>
      <c r="AI543" s="2">
        <v>0.37</v>
      </c>
      <c r="AJ543" s="2" t="str" cm="1">
        <f t="array" ref="AJ543">_xlfn.IFS(AI543&lt;=0, "No Profit", AI543&lt;=0.16,"Low Profit",AI543&lt;=0.32,"Medium Profit",AI543&gt;0.32,"High Profit")</f>
        <v>High Profit</v>
      </c>
      <c r="AK543" s="2">
        <v>5</v>
      </c>
      <c r="AL543" s="2">
        <v>250</v>
      </c>
      <c r="AM543" s="2">
        <v>212.5</v>
      </c>
      <c r="AN543" s="2">
        <v>78.63</v>
      </c>
      <c r="AO543" s="2" t="s">
        <v>531</v>
      </c>
      <c r="AP543" s="2" t="s">
        <v>532</v>
      </c>
      <c r="AQ543" s="2" t="s">
        <v>127</v>
      </c>
      <c r="AR543" s="2" t="s">
        <v>81</v>
      </c>
      <c r="AS543" s="2">
        <v>502</v>
      </c>
      <c r="AT543" s="2">
        <v>24</v>
      </c>
      <c r="AU543" s="2" t="s">
        <v>442</v>
      </c>
      <c r="AV543" s="2">
        <v>50</v>
      </c>
      <c r="AW543" s="2">
        <v>0</v>
      </c>
      <c r="AX543" s="2" t="s">
        <v>2567</v>
      </c>
      <c r="AY543" s="2" t="s">
        <v>162</v>
      </c>
      <c r="AZ543" s="4">
        <v>43016</v>
      </c>
      <c r="BA543" s="5">
        <v>0.68888888888888888</v>
      </c>
      <c r="BB543" s="2">
        <v>2017</v>
      </c>
      <c r="BC543" s="2" t="s">
        <v>434</v>
      </c>
      <c r="BD543" s="2">
        <v>8</v>
      </c>
      <c r="BE543" s="4">
        <v>42962</v>
      </c>
      <c r="BF543" s="5">
        <v>0.68888888888888888</v>
      </c>
      <c r="BG543" s="2" t="str" cm="1">
        <f t="array" ref="BG543">_xlfn.IFS(BF543&lt;TIMEVALUE("06:00"),"Night", BF543&gt;=TIMEVALUE("21:00"),"Night",BF543&gt;=TIMEVALUE("17:00"),"Evening",BF543&gt;=TIMEVALUE("12:00"),"Afternoon", BF543&gt;=TIMEVALUE("06:00"),"Morning")</f>
        <v>Afternoon</v>
      </c>
      <c r="BH543" s="2">
        <v>2017</v>
      </c>
      <c r="BI543" s="2" t="s">
        <v>482</v>
      </c>
      <c r="BJ543" s="2">
        <v>15</v>
      </c>
    </row>
    <row r="544" spans="1:62" x14ac:dyDescent="0.3">
      <c r="A544" s="2" t="s">
        <v>121</v>
      </c>
      <c r="B544" s="2">
        <v>2</v>
      </c>
      <c r="C544" s="2">
        <v>2</v>
      </c>
      <c r="D544" s="2">
        <v>-72.63</v>
      </c>
      <c r="E544" s="2">
        <v>290.5</v>
      </c>
      <c r="F544" s="2" t="s">
        <v>100</v>
      </c>
      <c r="G544" s="2" t="s">
        <v>64</v>
      </c>
      <c r="H544" s="2">
        <v>26</v>
      </c>
      <c r="I544" s="2" t="s">
        <v>1132</v>
      </c>
      <c r="J544" s="2" t="s">
        <v>66</v>
      </c>
      <c r="K544" s="2" t="s">
        <v>67</v>
      </c>
      <c r="L544" s="2" t="s">
        <v>1486</v>
      </c>
      <c r="M544" s="2">
        <v>724</v>
      </c>
      <c r="N544" s="2" t="s">
        <v>2449</v>
      </c>
      <c r="O544" s="2" t="s">
        <v>113</v>
      </c>
      <c r="P544" s="2" t="s">
        <v>71</v>
      </c>
      <c r="Q544" s="2" t="s">
        <v>2450</v>
      </c>
      <c r="R544" s="2">
        <v>725</v>
      </c>
      <c r="S544" s="2">
        <v>5</v>
      </c>
      <c r="T544" s="2" t="s">
        <v>427</v>
      </c>
      <c r="U544" s="2">
        <v>18.227573400000001</v>
      </c>
      <c r="V544" s="2">
        <v>-66.043579100000002</v>
      </c>
      <c r="W544" s="2" t="s">
        <v>528</v>
      </c>
      <c r="X544" s="2" t="s">
        <v>2451</v>
      </c>
      <c r="Y544" s="2" t="s">
        <v>536</v>
      </c>
      <c r="Z544" s="2">
        <v>724</v>
      </c>
      <c r="AA544" s="2" t="s">
        <v>2452</v>
      </c>
      <c r="AB544" s="2">
        <v>11936</v>
      </c>
      <c r="AC544" s="2">
        <v>565</v>
      </c>
      <c r="AD544" s="2">
        <v>59.5</v>
      </c>
      <c r="AE544" s="2">
        <v>0.17</v>
      </c>
      <c r="AF544" s="2" t="str" cm="1">
        <f t="array" ref="AF544">_xlfn.IFS(AE544=0, "No Discount ", AE544&lt;=0.08,"Low Discount", AE544&lt;=0.16,"Medium Discount", AE544&gt;0.16, "High Discount")</f>
        <v>High Discount</v>
      </c>
      <c r="AG544" s="2">
        <v>29830</v>
      </c>
      <c r="AH544" s="2">
        <v>70</v>
      </c>
      <c r="AI544" s="2">
        <v>-0.25</v>
      </c>
      <c r="AJ544" s="2" t="str" cm="1">
        <f t="array" ref="AJ544">_xlfn.IFS(AI544&lt;=0, "No Profit", AI544&lt;=0.16,"Low Profit",AI544&lt;=0.32,"Medium Profit",AI544&gt;0.32,"High Profit")</f>
        <v>No Profit</v>
      </c>
      <c r="AK544" s="2">
        <v>5</v>
      </c>
      <c r="AL544" s="2">
        <v>350</v>
      </c>
      <c r="AM544" s="2">
        <v>290.5</v>
      </c>
      <c r="AN544" s="2">
        <v>-72.63</v>
      </c>
      <c r="AO544" s="2" t="s">
        <v>531</v>
      </c>
      <c r="AP544" s="2" t="s">
        <v>538</v>
      </c>
      <c r="AQ544" s="2" t="s">
        <v>127</v>
      </c>
      <c r="AR544" s="2" t="s">
        <v>81</v>
      </c>
      <c r="AS544" s="2">
        <v>565</v>
      </c>
      <c r="AT544" s="2">
        <v>26</v>
      </c>
      <c r="AU544" s="2" t="s">
        <v>1871</v>
      </c>
      <c r="AV544" s="2">
        <v>70</v>
      </c>
      <c r="AW544" s="2">
        <v>0</v>
      </c>
      <c r="AX544" s="2" t="s">
        <v>2453</v>
      </c>
      <c r="AY544" s="2" t="s">
        <v>162</v>
      </c>
      <c r="AZ544" s="4">
        <v>42179</v>
      </c>
      <c r="BA544" s="5">
        <v>0.22291666666666668</v>
      </c>
      <c r="BB544" s="2">
        <v>2015</v>
      </c>
      <c r="BC544" s="2" t="s">
        <v>474</v>
      </c>
      <c r="BD544" s="2">
        <v>24</v>
      </c>
      <c r="BE544" s="4">
        <v>42181</v>
      </c>
      <c r="BF544" s="5">
        <v>0.22291666666666668</v>
      </c>
      <c r="BG544" s="2" t="str" cm="1">
        <f t="array" ref="BG544">_xlfn.IFS(BF544&lt;TIMEVALUE("06:00"),"Night", BF544&gt;=TIMEVALUE("21:00"),"Night",BF544&gt;=TIMEVALUE("17:00"),"Evening",BF544&gt;=TIMEVALUE("12:00"),"Afternoon", BF544&gt;=TIMEVALUE("06:00"),"Morning")</f>
        <v>Night</v>
      </c>
      <c r="BH544" s="2">
        <v>2015</v>
      </c>
      <c r="BI544" s="2" t="s">
        <v>474</v>
      </c>
      <c r="BJ544" s="2">
        <v>26</v>
      </c>
    </row>
    <row r="545" spans="1:62" x14ac:dyDescent="0.3">
      <c r="A545" s="2" t="s">
        <v>121</v>
      </c>
      <c r="B545" s="2">
        <v>6</v>
      </c>
      <c r="C545" s="2">
        <v>2</v>
      </c>
      <c r="D545" s="2">
        <v>-5.13</v>
      </c>
      <c r="E545" s="2">
        <v>205</v>
      </c>
      <c r="F545" s="2" t="s">
        <v>87</v>
      </c>
      <c r="G545" s="2" t="s">
        <v>88</v>
      </c>
      <c r="H545" s="2">
        <v>24</v>
      </c>
      <c r="I545" s="2" t="s">
        <v>435</v>
      </c>
      <c r="J545" s="2" t="s">
        <v>66</v>
      </c>
      <c r="K545" s="2" t="s">
        <v>67</v>
      </c>
      <c r="L545" s="2" t="s">
        <v>2436</v>
      </c>
      <c r="M545" s="2">
        <v>9120</v>
      </c>
      <c r="N545" s="2" t="s">
        <v>2437</v>
      </c>
      <c r="O545" s="2" t="s">
        <v>113</v>
      </c>
      <c r="P545" s="2" t="s">
        <v>71</v>
      </c>
      <c r="Q545" s="2" t="s">
        <v>2438</v>
      </c>
      <c r="R545" s="2">
        <v>725</v>
      </c>
      <c r="S545" s="2">
        <v>5</v>
      </c>
      <c r="T545" s="2" t="s">
        <v>427</v>
      </c>
      <c r="U545" s="2">
        <v>18.262495000000001</v>
      </c>
      <c r="V545" s="2">
        <v>-66.370536799999996</v>
      </c>
      <c r="W545" s="2" t="s">
        <v>528</v>
      </c>
      <c r="X545" s="2" t="s">
        <v>2439</v>
      </c>
      <c r="Y545" s="2" t="s">
        <v>530</v>
      </c>
      <c r="Z545" s="2">
        <v>9120</v>
      </c>
      <c r="AA545" s="2" t="s">
        <v>2440</v>
      </c>
      <c r="AB545" s="2">
        <v>13890</v>
      </c>
      <c r="AC545" s="2">
        <v>502</v>
      </c>
      <c r="AD545" s="2">
        <v>45</v>
      </c>
      <c r="AE545" s="2">
        <v>0.18</v>
      </c>
      <c r="AF545" s="2" t="str" cm="1">
        <f t="array" ref="AF545">_xlfn.IFS(AE545=0, "No Discount ", AE545&lt;=0.08,"Low Discount", AE545&lt;=0.16,"Medium Discount", AE545&gt;0.16, "High Discount")</f>
        <v>High Discount</v>
      </c>
      <c r="AG545" s="2">
        <v>34784</v>
      </c>
      <c r="AH545" s="2">
        <v>50</v>
      </c>
      <c r="AI545" s="2">
        <v>-0.03</v>
      </c>
      <c r="AJ545" s="2" t="str" cm="1">
        <f t="array" ref="AJ545">_xlfn.IFS(AI545&lt;=0, "No Profit", AI545&lt;=0.16,"Low Profit",AI545&lt;=0.32,"Medium Profit",AI545&gt;0.32,"High Profit")</f>
        <v>No Profit</v>
      </c>
      <c r="AK545" s="2">
        <v>5</v>
      </c>
      <c r="AL545" s="2">
        <v>250</v>
      </c>
      <c r="AM545" s="2">
        <v>205</v>
      </c>
      <c r="AN545" s="2">
        <v>-5.13</v>
      </c>
      <c r="AO545" s="2" t="s">
        <v>531</v>
      </c>
      <c r="AP545" s="2" t="s">
        <v>2441</v>
      </c>
      <c r="AQ545" s="2" t="s">
        <v>127</v>
      </c>
      <c r="AR545" s="2" t="s">
        <v>81</v>
      </c>
      <c r="AS545" s="2">
        <v>502</v>
      </c>
      <c r="AT545" s="2">
        <v>24</v>
      </c>
      <c r="AU545" s="2" t="s">
        <v>442</v>
      </c>
      <c r="AV545" s="2">
        <v>50</v>
      </c>
      <c r="AW545" s="2">
        <v>0</v>
      </c>
      <c r="AX545" s="2" t="s">
        <v>2442</v>
      </c>
      <c r="AY545" s="2" t="s">
        <v>162</v>
      </c>
      <c r="AZ545" s="4">
        <v>42207</v>
      </c>
      <c r="BA545" s="5">
        <v>0.74722222222222223</v>
      </c>
      <c r="BB545" s="2">
        <v>2015</v>
      </c>
      <c r="BC545" s="2" t="s">
        <v>533</v>
      </c>
      <c r="BD545" s="2">
        <v>22</v>
      </c>
      <c r="BE545" s="4">
        <v>42213</v>
      </c>
      <c r="BF545" s="5">
        <v>0.74722222222222223</v>
      </c>
      <c r="BG545" s="2" t="str" cm="1">
        <f t="array" ref="BG545">_xlfn.IFS(BF545&lt;TIMEVALUE("06:00"),"Night", BF545&gt;=TIMEVALUE("21:00"),"Night",BF545&gt;=TIMEVALUE("17:00"),"Evening",BF545&gt;=TIMEVALUE("12:00"),"Afternoon", BF545&gt;=TIMEVALUE("06:00"),"Morning")</f>
        <v>Evening</v>
      </c>
      <c r="BH545" s="2">
        <v>2015</v>
      </c>
      <c r="BI545" s="2" t="s">
        <v>533</v>
      </c>
      <c r="BJ545" s="2">
        <v>28</v>
      </c>
    </row>
    <row r="546" spans="1:62" x14ac:dyDescent="0.3">
      <c r="A546" s="2" t="s">
        <v>121</v>
      </c>
      <c r="B546" s="2">
        <v>2</v>
      </c>
      <c r="C546" s="2">
        <v>2</v>
      </c>
      <c r="D546" s="2">
        <v>25.21</v>
      </c>
      <c r="E546" s="2">
        <v>96.95</v>
      </c>
      <c r="F546" s="2" t="s">
        <v>100</v>
      </c>
      <c r="G546" s="2" t="s">
        <v>64</v>
      </c>
      <c r="H546" s="2">
        <v>36</v>
      </c>
      <c r="I546" s="2" t="s">
        <v>1967</v>
      </c>
      <c r="J546" s="2" t="s">
        <v>66</v>
      </c>
      <c r="K546" s="2" t="s">
        <v>67</v>
      </c>
      <c r="L546" s="2" t="s">
        <v>2568</v>
      </c>
      <c r="M546" s="2">
        <v>7603</v>
      </c>
      <c r="N546" s="2" t="s">
        <v>425</v>
      </c>
      <c r="O546" s="2" t="s">
        <v>113</v>
      </c>
      <c r="P546" s="2" t="s">
        <v>71</v>
      </c>
      <c r="Q546" s="2" t="s">
        <v>2569</v>
      </c>
      <c r="R546" s="2">
        <v>725</v>
      </c>
      <c r="S546" s="2">
        <v>6</v>
      </c>
      <c r="T546" s="2" t="s">
        <v>515</v>
      </c>
      <c r="U546" s="2">
        <v>18.204933199999999</v>
      </c>
      <c r="V546" s="2">
        <v>-66.370521600000004</v>
      </c>
      <c r="W546" s="2" t="s">
        <v>528</v>
      </c>
      <c r="X546" s="2" t="s">
        <v>2570</v>
      </c>
      <c r="Y546" s="2" t="s">
        <v>1802</v>
      </c>
      <c r="Z546" s="2">
        <v>7603</v>
      </c>
      <c r="AA546" s="2" t="s">
        <v>2571</v>
      </c>
      <c r="AB546" s="2">
        <v>51226</v>
      </c>
      <c r="AC546" s="2">
        <v>804</v>
      </c>
      <c r="AD546" s="2">
        <v>3</v>
      </c>
      <c r="AE546" s="2">
        <v>0.03</v>
      </c>
      <c r="AF546" s="2" t="str" cm="1">
        <f t="array" ref="AF546">_xlfn.IFS(AE546=0, "No Discount ", AE546&lt;=0.08,"Low Discount", AE546&lt;=0.16,"Medium Discount", AE546&gt;0.16, "High Discount")</f>
        <v>Low Discount</v>
      </c>
      <c r="AG546" s="2">
        <v>128006</v>
      </c>
      <c r="AH546" s="2">
        <v>19.989999999999998</v>
      </c>
      <c r="AI546" s="2">
        <v>0.26</v>
      </c>
      <c r="AJ546" s="2" t="str" cm="1">
        <f t="array" ref="AJ546">_xlfn.IFS(AI546&lt;=0, "No Profit", AI546&lt;=0.16,"Low Profit",AI546&lt;=0.32,"Medium Profit",AI546&gt;0.32,"High Profit")</f>
        <v>Medium Profit</v>
      </c>
      <c r="AK546" s="2">
        <v>5</v>
      </c>
      <c r="AL546" s="2">
        <v>99.95</v>
      </c>
      <c r="AM546" s="2">
        <v>96.95</v>
      </c>
      <c r="AN546" s="2">
        <v>25.21</v>
      </c>
      <c r="AO546" s="2" t="s">
        <v>1717</v>
      </c>
      <c r="AP546" s="2" t="s">
        <v>2570</v>
      </c>
      <c r="AQ546" s="2" t="s">
        <v>127</v>
      </c>
      <c r="AR546" s="2" t="s">
        <v>81</v>
      </c>
      <c r="AS546" s="2">
        <v>804</v>
      </c>
      <c r="AT546" s="2">
        <v>36</v>
      </c>
      <c r="AU546" s="2" t="s">
        <v>1973</v>
      </c>
      <c r="AV546" s="2">
        <v>19.989999999999998</v>
      </c>
      <c r="AW546" s="2">
        <v>0</v>
      </c>
      <c r="AX546" s="2" t="s">
        <v>2572</v>
      </c>
      <c r="AY546" s="2" t="s">
        <v>162</v>
      </c>
      <c r="AZ546" s="4">
        <v>42752</v>
      </c>
      <c r="BA546" s="5">
        <v>0.76597222222222228</v>
      </c>
      <c r="BB546" s="2">
        <v>2017</v>
      </c>
      <c r="BC546" s="2" t="s">
        <v>84</v>
      </c>
      <c r="BD546" s="2">
        <v>17</v>
      </c>
      <c r="BE546" s="4">
        <v>42754</v>
      </c>
      <c r="BF546" s="5">
        <v>0.76597222222222228</v>
      </c>
      <c r="BG546" s="2" t="str" cm="1">
        <f t="array" ref="BG546">_xlfn.IFS(BF546&lt;TIMEVALUE("06:00"),"Night", BF546&gt;=TIMEVALUE("21:00"),"Night",BF546&gt;=TIMEVALUE("17:00"),"Evening",BF546&gt;=TIMEVALUE("12:00"),"Afternoon", BF546&gt;=TIMEVALUE("06:00"),"Morning")</f>
        <v>Evening</v>
      </c>
      <c r="BH546" s="2">
        <v>2017</v>
      </c>
      <c r="BI546" s="2" t="s">
        <v>84</v>
      </c>
      <c r="BJ546" s="2">
        <v>19</v>
      </c>
    </row>
    <row r="547" spans="1:62" x14ac:dyDescent="0.3">
      <c r="A547" s="2" t="s">
        <v>121</v>
      </c>
      <c r="B547" s="2">
        <v>2</v>
      </c>
      <c r="C547" s="2">
        <v>2</v>
      </c>
      <c r="D547" s="2">
        <v>112.8</v>
      </c>
      <c r="E547" s="2">
        <v>240</v>
      </c>
      <c r="F547" s="2" t="s">
        <v>100</v>
      </c>
      <c r="G547" s="2" t="s">
        <v>64</v>
      </c>
      <c r="H547" s="2">
        <v>24</v>
      </c>
      <c r="I547" s="2" t="s">
        <v>435</v>
      </c>
      <c r="J547" s="2" t="s">
        <v>66</v>
      </c>
      <c r="K547" s="2" t="s">
        <v>67</v>
      </c>
      <c r="L547" s="2" t="s">
        <v>852</v>
      </c>
      <c r="M547" s="2">
        <v>6746</v>
      </c>
      <c r="N547" s="2" t="s">
        <v>612</v>
      </c>
      <c r="O547" s="2" t="s">
        <v>113</v>
      </c>
      <c r="P547" s="2" t="s">
        <v>71</v>
      </c>
      <c r="Q547" s="2" t="s">
        <v>2573</v>
      </c>
      <c r="R547" s="2">
        <v>725</v>
      </c>
      <c r="S547" s="2">
        <v>5</v>
      </c>
      <c r="T547" s="2" t="s">
        <v>427</v>
      </c>
      <c r="U547" s="2">
        <v>18.2505703</v>
      </c>
      <c r="V547" s="2">
        <v>-66.370582600000006</v>
      </c>
      <c r="W547" s="2" t="s">
        <v>582</v>
      </c>
      <c r="X547" s="2" t="s">
        <v>2574</v>
      </c>
      <c r="Y547" s="2" t="s">
        <v>638</v>
      </c>
      <c r="Z547" s="2">
        <v>6746</v>
      </c>
      <c r="AA547" s="3">
        <v>42888.472916666666</v>
      </c>
      <c r="AB547" s="2">
        <v>52576</v>
      </c>
      <c r="AC547" s="2">
        <v>502</v>
      </c>
      <c r="AD547" s="2">
        <v>10</v>
      </c>
      <c r="AE547" s="2">
        <v>0.04</v>
      </c>
      <c r="AF547" s="2" t="str" cm="1">
        <f t="array" ref="AF547">_xlfn.IFS(AE547=0, "No Discount ", AE547&lt;=0.08,"Low Discount", AE547&lt;=0.16,"Medium Discount", AE547&gt;0.16, "High Discount")</f>
        <v>Low Discount</v>
      </c>
      <c r="AG547" s="2">
        <v>131420</v>
      </c>
      <c r="AH547" s="2">
        <v>50</v>
      </c>
      <c r="AI547" s="2">
        <v>0.47</v>
      </c>
      <c r="AJ547" s="2" t="str" cm="1">
        <f t="array" ref="AJ547">_xlfn.IFS(AI547&lt;=0, "No Profit", AI547&lt;=0.16,"Low Profit",AI547&lt;=0.32,"Medium Profit",AI547&gt;0.32,"High Profit")</f>
        <v>High Profit</v>
      </c>
      <c r="AK547" s="2">
        <v>5</v>
      </c>
      <c r="AL547" s="2">
        <v>250</v>
      </c>
      <c r="AM547" s="2">
        <v>240</v>
      </c>
      <c r="AN547" s="2">
        <v>112.8</v>
      </c>
      <c r="AO547" s="2" t="s">
        <v>586</v>
      </c>
      <c r="AP547" s="2" t="s">
        <v>2480</v>
      </c>
      <c r="AQ547" s="2" t="s">
        <v>2314</v>
      </c>
      <c r="AR547" s="2" t="s">
        <v>81</v>
      </c>
      <c r="AS547" s="2">
        <v>502</v>
      </c>
      <c r="AT547" s="2">
        <v>24</v>
      </c>
      <c r="AU547" s="2" t="s">
        <v>442</v>
      </c>
      <c r="AV547" s="2">
        <v>50</v>
      </c>
      <c r="AW547" s="2">
        <v>0</v>
      </c>
      <c r="AX547" s="3">
        <v>42949.472916666666</v>
      </c>
      <c r="AY547" s="2" t="s">
        <v>162</v>
      </c>
      <c r="AZ547" s="4">
        <v>42888</v>
      </c>
      <c r="BA547" s="5">
        <v>0.47291666666666665</v>
      </c>
      <c r="BB547" s="2">
        <v>2017</v>
      </c>
      <c r="BC547" s="2" t="s">
        <v>474</v>
      </c>
      <c r="BD547" s="2">
        <v>2</v>
      </c>
      <c r="BE547" s="4">
        <v>42949</v>
      </c>
      <c r="BF547" s="5">
        <v>0.47291666666666665</v>
      </c>
      <c r="BG547" s="2" t="str" cm="1">
        <f t="array" ref="BG547">_xlfn.IFS(BF547&lt;TIMEVALUE("06:00"),"Night", BF547&gt;=TIMEVALUE("21:00"),"Night",BF547&gt;=TIMEVALUE("17:00"),"Evening",BF547&gt;=TIMEVALUE("12:00"),"Afternoon", BF547&gt;=TIMEVALUE("06:00"),"Morning")</f>
        <v>Morning</v>
      </c>
      <c r="BH547" s="2">
        <v>2017</v>
      </c>
      <c r="BI547" s="2" t="s">
        <v>482</v>
      </c>
      <c r="BJ547" s="2">
        <v>2</v>
      </c>
    </row>
    <row r="548" spans="1:62" x14ac:dyDescent="0.3">
      <c r="A548" s="2" t="s">
        <v>121</v>
      </c>
      <c r="B548" s="2">
        <v>3</v>
      </c>
      <c r="C548" s="2">
        <v>2</v>
      </c>
      <c r="D548" s="2">
        <v>6.81</v>
      </c>
      <c r="E548" s="2">
        <v>158.35</v>
      </c>
      <c r="F548" s="2" t="s">
        <v>87</v>
      </c>
      <c r="G548" s="2" t="s">
        <v>88</v>
      </c>
      <c r="H548" s="2">
        <v>13</v>
      </c>
      <c r="I548" s="2" t="s">
        <v>464</v>
      </c>
      <c r="J548" s="2" t="s">
        <v>66</v>
      </c>
      <c r="K548" s="2" t="s">
        <v>67</v>
      </c>
      <c r="L548" s="2" t="s">
        <v>414</v>
      </c>
      <c r="M548" s="2">
        <v>5007</v>
      </c>
      <c r="N548" s="2" t="s">
        <v>425</v>
      </c>
      <c r="O548" s="2" t="s">
        <v>113</v>
      </c>
      <c r="P548" s="2" t="s">
        <v>71</v>
      </c>
      <c r="Q548" s="2" t="s">
        <v>603</v>
      </c>
      <c r="R548" s="2">
        <v>725</v>
      </c>
      <c r="S548" s="2">
        <v>3</v>
      </c>
      <c r="T548" s="2" t="s">
        <v>466</v>
      </c>
      <c r="U548" s="2">
        <v>18.249845499999999</v>
      </c>
      <c r="V548" s="2">
        <v>-66.370506300000002</v>
      </c>
      <c r="W548" s="2" t="s">
        <v>582</v>
      </c>
      <c r="X548" s="2" t="s">
        <v>2481</v>
      </c>
      <c r="Y548" s="2" t="s">
        <v>638</v>
      </c>
      <c r="Z548" s="2">
        <v>5007</v>
      </c>
      <c r="AA548" s="2" t="s">
        <v>2482</v>
      </c>
      <c r="AB548" s="2">
        <v>53202</v>
      </c>
      <c r="AC548" s="2">
        <v>282</v>
      </c>
      <c r="AD548" s="2">
        <v>1.6</v>
      </c>
      <c r="AE548" s="2">
        <v>0.01</v>
      </c>
      <c r="AF548" s="2" t="str" cm="1">
        <f t="array" ref="AF548">_xlfn.IFS(AE548=0, "No Discount ", AE548&lt;=0.08,"Low Discount", AE548&lt;=0.16,"Medium Discount", AE548&gt;0.16, "High Discount")</f>
        <v>Low Discount</v>
      </c>
      <c r="AG548" s="2">
        <v>132932</v>
      </c>
      <c r="AH548" s="2">
        <v>31.99</v>
      </c>
      <c r="AI548" s="2">
        <v>0.04</v>
      </c>
      <c r="AJ548" s="2" t="str" cm="1">
        <f t="array" ref="AJ548">_xlfn.IFS(AI548&lt;=0, "No Profit", AI548&lt;=0.16,"Low Profit",AI548&lt;=0.32,"Medium Profit",AI548&gt;0.32,"High Profit")</f>
        <v>Low Profit</v>
      </c>
      <c r="AK548" s="2">
        <v>5</v>
      </c>
      <c r="AL548" s="2">
        <v>159.94999999999999</v>
      </c>
      <c r="AM548" s="2">
        <v>158.35</v>
      </c>
      <c r="AN548" s="2">
        <v>6.81</v>
      </c>
      <c r="AO548" s="2" t="s">
        <v>586</v>
      </c>
      <c r="AP548" s="2" t="s">
        <v>2483</v>
      </c>
      <c r="AQ548" s="2" t="s">
        <v>127</v>
      </c>
      <c r="AR548" s="2" t="s">
        <v>81</v>
      </c>
      <c r="AS548" s="2">
        <v>282</v>
      </c>
      <c r="AT548" s="2">
        <v>13</v>
      </c>
      <c r="AU548" s="2" t="s">
        <v>1757</v>
      </c>
      <c r="AV548" s="2">
        <v>31.99</v>
      </c>
      <c r="AW548" s="2">
        <v>0</v>
      </c>
      <c r="AX548" s="2" t="s">
        <v>2484</v>
      </c>
      <c r="AY548" s="2" t="s">
        <v>162</v>
      </c>
      <c r="AZ548" s="4">
        <v>42781</v>
      </c>
      <c r="BA548" s="5">
        <v>0.61111111111111116</v>
      </c>
      <c r="BB548" s="2">
        <v>2017</v>
      </c>
      <c r="BC548" s="2" t="s">
        <v>423</v>
      </c>
      <c r="BD548" s="2">
        <v>15</v>
      </c>
      <c r="BE548" s="4">
        <v>42784</v>
      </c>
      <c r="BF548" s="5">
        <v>0.61111111111111116</v>
      </c>
      <c r="BG548" s="2" t="str" cm="1">
        <f t="array" ref="BG548">_xlfn.IFS(BF548&lt;TIMEVALUE("06:00"),"Night", BF548&gt;=TIMEVALUE("21:00"),"Night",BF548&gt;=TIMEVALUE("17:00"),"Evening",BF548&gt;=TIMEVALUE("12:00"),"Afternoon", BF548&gt;=TIMEVALUE("06:00"),"Morning")</f>
        <v>Afternoon</v>
      </c>
      <c r="BH548" s="2">
        <v>2017</v>
      </c>
      <c r="BI548" s="2" t="s">
        <v>423</v>
      </c>
      <c r="BJ548" s="2">
        <v>18</v>
      </c>
    </row>
    <row r="549" spans="1:62" x14ac:dyDescent="0.3">
      <c r="A549" s="2" t="s">
        <v>62</v>
      </c>
      <c r="B549" s="2">
        <v>4</v>
      </c>
      <c r="C549" s="2">
        <v>2</v>
      </c>
      <c r="D549" s="2">
        <v>105.6</v>
      </c>
      <c r="E549" s="2">
        <v>351.99</v>
      </c>
      <c r="F549" s="2" t="s">
        <v>87</v>
      </c>
      <c r="G549" s="2" t="s">
        <v>88</v>
      </c>
      <c r="H549" s="2">
        <v>10</v>
      </c>
      <c r="I549" s="2" t="s">
        <v>2575</v>
      </c>
      <c r="J549" s="2" t="s">
        <v>66</v>
      </c>
      <c r="K549" s="2" t="s">
        <v>67</v>
      </c>
      <c r="L549" s="2" t="s">
        <v>414</v>
      </c>
      <c r="M549" s="2">
        <v>1566</v>
      </c>
      <c r="N549" s="2" t="s">
        <v>233</v>
      </c>
      <c r="O549" s="2" t="s">
        <v>70</v>
      </c>
      <c r="P549" s="2" t="s">
        <v>71</v>
      </c>
      <c r="Q549" s="2" t="s">
        <v>153</v>
      </c>
      <c r="R549" s="2">
        <v>725</v>
      </c>
      <c r="S549" s="2">
        <v>3</v>
      </c>
      <c r="T549" s="2" t="s">
        <v>466</v>
      </c>
      <c r="U549" s="2">
        <v>18.2709236</v>
      </c>
      <c r="V549" s="2">
        <v>-66.370605499999996</v>
      </c>
      <c r="W549" s="2" t="s">
        <v>528</v>
      </c>
      <c r="X549" s="2" t="s">
        <v>2576</v>
      </c>
      <c r="Y549" s="2" t="s">
        <v>549</v>
      </c>
      <c r="Z549" s="2">
        <v>1566</v>
      </c>
      <c r="AA549" s="2" t="s">
        <v>2577</v>
      </c>
      <c r="AB549" s="2">
        <v>67753</v>
      </c>
      <c r="AC549" s="2">
        <v>203</v>
      </c>
      <c r="AD549" s="2">
        <v>48</v>
      </c>
      <c r="AE549" s="2">
        <v>0.12</v>
      </c>
      <c r="AF549" s="2" t="str" cm="1">
        <f t="array" ref="AF549">_xlfn.IFS(AE549=0, "No Discount ", AE549&lt;=0.08,"Low Discount", AE549&lt;=0.16,"Medium Discount", AE549&gt;0.16, "High Discount")</f>
        <v>Medium Discount</v>
      </c>
      <c r="AG549" s="2">
        <v>169391</v>
      </c>
      <c r="AH549" s="2">
        <v>399.99</v>
      </c>
      <c r="AI549" s="2">
        <v>0.3</v>
      </c>
      <c r="AJ549" s="2" t="str" cm="1">
        <f t="array" ref="AJ549">_xlfn.IFS(AI549&lt;=0, "No Profit", AI549&lt;=0.16,"Low Profit",AI549&lt;=0.32,"Medium Profit",AI549&gt;0.32,"High Profit")</f>
        <v>Medium Profit</v>
      </c>
      <c r="AK549" s="2">
        <v>1</v>
      </c>
      <c r="AL549" s="2">
        <v>399.99</v>
      </c>
      <c r="AM549" s="2">
        <v>351.99</v>
      </c>
      <c r="AN549" s="2">
        <v>105.6</v>
      </c>
      <c r="AO549" s="2" t="s">
        <v>531</v>
      </c>
      <c r="AP549" s="2" t="s">
        <v>2578</v>
      </c>
      <c r="AQ549" s="2" t="s">
        <v>80</v>
      </c>
      <c r="AR549" s="2" t="s">
        <v>81</v>
      </c>
      <c r="AS549" s="2">
        <v>203</v>
      </c>
      <c r="AT549" s="2">
        <v>10</v>
      </c>
      <c r="AU549" s="2" t="s">
        <v>2579</v>
      </c>
      <c r="AV549" s="2">
        <v>399.99</v>
      </c>
      <c r="AW549" s="2">
        <v>0</v>
      </c>
      <c r="AX549" s="2" t="s">
        <v>2580</v>
      </c>
      <c r="AY549" s="2" t="s">
        <v>162</v>
      </c>
      <c r="AZ549" s="4">
        <v>42994</v>
      </c>
      <c r="BA549" s="5">
        <v>2.2222222222222223E-2</v>
      </c>
      <c r="BB549" s="2">
        <v>2017</v>
      </c>
      <c r="BC549" s="2" t="s">
        <v>552</v>
      </c>
      <c r="BD549" s="2">
        <v>16</v>
      </c>
      <c r="BE549" s="4">
        <v>42998</v>
      </c>
      <c r="BF549" s="5">
        <v>2.2222222222222223E-2</v>
      </c>
      <c r="BG549" s="2" t="str" cm="1">
        <f t="array" ref="BG549">_xlfn.IFS(BF549&lt;TIMEVALUE("06:00"),"Night", BF549&gt;=TIMEVALUE("21:00"),"Night",BF549&gt;=TIMEVALUE("17:00"),"Evening",BF549&gt;=TIMEVALUE("12:00"),"Afternoon", BF549&gt;=TIMEVALUE("06:00"),"Morning")</f>
        <v>Night</v>
      </c>
      <c r="BH549" s="2">
        <v>2017</v>
      </c>
      <c r="BI549" s="2" t="s">
        <v>552</v>
      </c>
      <c r="BJ549" s="2">
        <v>20</v>
      </c>
    </row>
    <row r="550" spans="1:62" x14ac:dyDescent="0.3">
      <c r="A550" s="2" t="s">
        <v>62</v>
      </c>
      <c r="B550" s="2">
        <v>2</v>
      </c>
      <c r="C550" s="2">
        <v>2</v>
      </c>
      <c r="D550" s="2">
        <v>40.89</v>
      </c>
      <c r="E550" s="2">
        <v>86.99</v>
      </c>
      <c r="F550" s="2" t="s">
        <v>100</v>
      </c>
      <c r="G550" s="2" t="s">
        <v>64</v>
      </c>
      <c r="H550" s="2">
        <v>9</v>
      </c>
      <c r="I550" s="2" t="s">
        <v>496</v>
      </c>
      <c r="J550" s="2" t="s">
        <v>66</v>
      </c>
      <c r="K550" s="2" t="s">
        <v>67</v>
      </c>
      <c r="L550" s="2" t="s">
        <v>414</v>
      </c>
      <c r="M550" s="2">
        <v>2918</v>
      </c>
      <c r="N550" s="2" t="s">
        <v>2581</v>
      </c>
      <c r="O550" s="2" t="s">
        <v>70</v>
      </c>
      <c r="P550" s="2" t="s">
        <v>71</v>
      </c>
      <c r="Q550" s="2" t="s">
        <v>2582</v>
      </c>
      <c r="R550" s="2">
        <v>725</v>
      </c>
      <c r="S550" s="2">
        <v>3</v>
      </c>
      <c r="T550" s="2" t="s">
        <v>466</v>
      </c>
      <c r="U550" s="2">
        <v>18.207653100000002</v>
      </c>
      <c r="V550" s="2">
        <v>-66.370559700000001</v>
      </c>
      <c r="W550" s="2" t="s">
        <v>528</v>
      </c>
      <c r="X550" s="2" t="s">
        <v>2583</v>
      </c>
      <c r="Y550" s="2" t="s">
        <v>904</v>
      </c>
      <c r="Z550" s="2">
        <v>2918</v>
      </c>
      <c r="AA550" s="2" t="s">
        <v>2584</v>
      </c>
      <c r="AB550" s="2">
        <v>15421</v>
      </c>
      <c r="AC550" s="2">
        <v>191</v>
      </c>
      <c r="AD550" s="2">
        <v>13</v>
      </c>
      <c r="AE550" s="2">
        <v>0.13</v>
      </c>
      <c r="AF550" s="2" t="str" cm="1">
        <f t="array" ref="AF550">_xlfn.IFS(AE550=0, "No Discount ", AE550&lt;=0.08,"Low Discount", AE550&lt;=0.16,"Medium Discount", AE550&gt;0.16, "High Discount")</f>
        <v>Medium Discount</v>
      </c>
      <c r="AG550" s="2">
        <v>38553</v>
      </c>
      <c r="AH550" s="2">
        <v>99.99</v>
      </c>
      <c r="AI550" s="2">
        <v>0.47</v>
      </c>
      <c r="AJ550" s="2" t="str" cm="1">
        <f t="array" ref="AJ550">_xlfn.IFS(AI550&lt;=0, "No Profit", AI550&lt;=0.16,"Low Profit",AI550&lt;=0.32,"Medium Profit",AI550&gt;0.32,"High Profit")</f>
        <v>High Profit</v>
      </c>
      <c r="AK550" s="2">
        <v>1</v>
      </c>
      <c r="AL550" s="2">
        <v>99.99</v>
      </c>
      <c r="AM550" s="2">
        <v>86.99</v>
      </c>
      <c r="AN550" s="2">
        <v>40.89</v>
      </c>
      <c r="AO550" s="2" t="s">
        <v>905</v>
      </c>
      <c r="AP550" s="2" t="s">
        <v>2585</v>
      </c>
      <c r="AQ550" s="2" t="s">
        <v>80</v>
      </c>
      <c r="AR550" s="2" t="s">
        <v>81</v>
      </c>
      <c r="AS550" s="2">
        <v>191</v>
      </c>
      <c r="AT550" s="2">
        <v>9</v>
      </c>
      <c r="AU550" s="2" t="s">
        <v>505</v>
      </c>
      <c r="AV550" s="2">
        <v>99.99</v>
      </c>
      <c r="AW550" s="2">
        <v>0</v>
      </c>
      <c r="AX550" s="2" t="s">
        <v>2586</v>
      </c>
      <c r="AY550" s="2" t="s">
        <v>162</v>
      </c>
      <c r="AZ550" s="4">
        <v>42230</v>
      </c>
      <c r="BA550" s="5">
        <v>9.583333333333334E-2</v>
      </c>
      <c r="BB550" s="2">
        <v>2015</v>
      </c>
      <c r="BC550" s="2" t="s">
        <v>482</v>
      </c>
      <c r="BD550" s="2">
        <v>14</v>
      </c>
      <c r="BE550" s="4">
        <v>42232</v>
      </c>
      <c r="BF550" s="5">
        <v>9.583333333333334E-2</v>
      </c>
      <c r="BG550" s="2" t="str" cm="1">
        <f t="array" ref="BG550">_xlfn.IFS(BF550&lt;TIMEVALUE("06:00"),"Night", BF550&gt;=TIMEVALUE("21:00"),"Night",BF550&gt;=TIMEVALUE("17:00"),"Evening",BF550&gt;=TIMEVALUE("12:00"),"Afternoon", BF550&gt;=TIMEVALUE("06:00"),"Morning")</f>
        <v>Night</v>
      </c>
      <c r="BH550" s="2">
        <v>2015</v>
      </c>
      <c r="BI550" s="2" t="s">
        <v>482</v>
      </c>
      <c r="BJ550" s="2">
        <v>16</v>
      </c>
    </row>
    <row r="551" spans="1:62" x14ac:dyDescent="0.3">
      <c r="A551" s="2" t="s">
        <v>62</v>
      </c>
      <c r="B551" s="2">
        <v>6</v>
      </c>
      <c r="C551" s="2">
        <v>2</v>
      </c>
      <c r="D551" s="2">
        <v>-1.39</v>
      </c>
      <c r="E551" s="2">
        <v>23.51</v>
      </c>
      <c r="F551" s="2" t="s">
        <v>87</v>
      </c>
      <c r="G551" s="2" t="s">
        <v>88</v>
      </c>
      <c r="H551" s="2">
        <v>13</v>
      </c>
      <c r="I551" s="2" t="s">
        <v>464</v>
      </c>
      <c r="J551" s="2" t="s">
        <v>66</v>
      </c>
      <c r="K551" s="2" t="s">
        <v>67</v>
      </c>
      <c r="L551" s="2" t="s">
        <v>1223</v>
      </c>
      <c r="M551" s="2">
        <v>1491</v>
      </c>
      <c r="N551" s="2" t="s">
        <v>425</v>
      </c>
      <c r="O551" s="2" t="s">
        <v>70</v>
      </c>
      <c r="P551" s="2" t="s">
        <v>71</v>
      </c>
      <c r="Q551" s="2" t="s">
        <v>2587</v>
      </c>
      <c r="R551" s="2">
        <v>725</v>
      </c>
      <c r="S551" s="2">
        <v>3</v>
      </c>
      <c r="T551" s="2" t="s">
        <v>466</v>
      </c>
      <c r="U551" s="2">
        <v>18.296438200000001</v>
      </c>
      <c r="V551" s="2">
        <v>-66.370620700000003</v>
      </c>
      <c r="W551" s="2" t="s">
        <v>528</v>
      </c>
      <c r="X551" s="2" t="s">
        <v>2588</v>
      </c>
      <c r="Y551" s="2" t="s">
        <v>2589</v>
      </c>
      <c r="Z551" s="2">
        <v>1491</v>
      </c>
      <c r="AA551" s="2" t="s">
        <v>2590</v>
      </c>
      <c r="AB551" s="2">
        <v>13225</v>
      </c>
      <c r="AC551" s="2">
        <v>273</v>
      </c>
      <c r="AD551" s="2">
        <v>4.4800000000000004</v>
      </c>
      <c r="AE551" s="2">
        <v>0.16</v>
      </c>
      <c r="AF551" s="2" t="str" cm="1">
        <f t="array" ref="AF551">_xlfn.IFS(AE551=0, "No Discount ", AE551&lt;=0.08,"Low Discount", AE551&lt;=0.16,"Medium Discount", AE551&gt;0.16, "High Discount")</f>
        <v>Medium Discount</v>
      </c>
      <c r="AG551" s="2">
        <v>33089</v>
      </c>
      <c r="AH551" s="2">
        <v>27.99</v>
      </c>
      <c r="AI551" s="2">
        <v>-0.06</v>
      </c>
      <c r="AJ551" s="2" t="str" cm="1">
        <f t="array" ref="AJ551">_xlfn.IFS(AI551&lt;=0, "No Profit", AI551&lt;=0.16,"Low Profit",AI551&lt;=0.32,"Medium Profit",AI551&gt;0.32,"High Profit")</f>
        <v>No Profit</v>
      </c>
      <c r="AK551" s="2">
        <v>1</v>
      </c>
      <c r="AL551" s="2">
        <v>27.99</v>
      </c>
      <c r="AM551" s="2">
        <v>23.51</v>
      </c>
      <c r="AN551" s="2">
        <v>-1.39</v>
      </c>
      <c r="AO551" s="2" t="s">
        <v>558</v>
      </c>
      <c r="AP551" s="2" t="s">
        <v>2591</v>
      </c>
      <c r="AQ551" s="2" t="s">
        <v>80</v>
      </c>
      <c r="AR551" s="2" t="s">
        <v>81</v>
      </c>
      <c r="AS551" s="2">
        <v>273</v>
      </c>
      <c r="AT551" s="2">
        <v>13</v>
      </c>
      <c r="AU551" s="2" t="s">
        <v>1729</v>
      </c>
      <c r="AV551" s="2">
        <v>27.99</v>
      </c>
      <c r="AW551" s="2">
        <v>0</v>
      </c>
      <c r="AX551" s="2" t="s">
        <v>2592</v>
      </c>
      <c r="AY551" s="2" t="s">
        <v>162</v>
      </c>
      <c r="AZ551" s="4">
        <v>42198</v>
      </c>
      <c r="BA551" s="5">
        <v>3.9583333333333331E-2</v>
      </c>
      <c r="BB551" s="2">
        <v>2015</v>
      </c>
      <c r="BC551" s="2" t="s">
        <v>533</v>
      </c>
      <c r="BD551" s="2">
        <v>13</v>
      </c>
      <c r="BE551" s="4">
        <v>42204</v>
      </c>
      <c r="BF551" s="5">
        <v>3.9583333333333331E-2</v>
      </c>
      <c r="BG551" s="2" t="str" cm="1">
        <f t="array" ref="BG551">_xlfn.IFS(BF551&lt;TIMEVALUE("06:00"),"Night", BF551&gt;=TIMEVALUE("21:00"),"Night",BF551&gt;=TIMEVALUE("17:00"),"Evening",BF551&gt;=TIMEVALUE("12:00"),"Afternoon", BF551&gt;=TIMEVALUE("06:00"),"Morning")</f>
        <v>Night</v>
      </c>
      <c r="BH551" s="2">
        <v>2015</v>
      </c>
      <c r="BI551" s="2" t="s">
        <v>533</v>
      </c>
      <c r="BJ551" s="2">
        <v>19</v>
      </c>
    </row>
    <row r="552" spans="1:62" x14ac:dyDescent="0.3">
      <c r="A552" s="2" t="s">
        <v>62</v>
      </c>
      <c r="B552" s="2">
        <v>3</v>
      </c>
      <c r="C552" s="2">
        <v>2</v>
      </c>
      <c r="D552" s="2">
        <v>144.44</v>
      </c>
      <c r="E552" s="2">
        <v>461.48</v>
      </c>
      <c r="F552" s="2" t="s">
        <v>87</v>
      </c>
      <c r="G552" s="2" t="s">
        <v>88</v>
      </c>
      <c r="H552" s="2">
        <v>66</v>
      </c>
      <c r="I552" s="2" t="s">
        <v>1400</v>
      </c>
      <c r="J552" s="2" t="s">
        <v>66</v>
      </c>
      <c r="K552" s="2" t="s">
        <v>67</v>
      </c>
      <c r="L552" s="2" t="s">
        <v>2593</v>
      </c>
      <c r="M552" s="2">
        <v>14915</v>
      </c>
      <c r="N552" s="2" t="s">
        <v>2594</v>
      </c>
      <c r="O552" s="2" t="s">
        <v>70</v>
      </c>
      <c r="P552" s="2" t="s">
        <v>71</v>
      </c>
      <c r="Q552" s="2" t="s">
        <v>2595</v>
      </c>
      <c r="R552" s="2">
        <v>725</v>
      </c>
      <c r="S552" s="2">
        <v>4</v>
      </c>
      <c r="T552" s="2" t="s">
        <v>417</v>
      </c>
      <c r="U552" s="2">
        <v>18.279960599999999</v>
      </c>
      <c r="V552" s="2">
        <v>-66.037063599999996</v>
      </c>
      <c r="W552" s="2" t="s">
        <v>528</v>
      </c>
      <c r="X552" s="2" t="s">
        <v>1167</v>
      </c>
      <c r="Y552" s="2" t="s">
        <v>904</v>
      </c>
      <c r="Z552" s="2">
        <v>14915</v>
      </c>
      <c r="AA552" s="3">
        <v>42927.705555555556</v>
      </c>
      <c r="AB552" s="2">
        <v>71362</v>
      </c>
      <c r="AC552" s="2">
        <v>1353</v>
      </c>
      <c r="AD552" s="2">
        <v>0</v>
      </c>
      <c r="AE552" s="2">
        <v>0</v>
      </c>
      <c r="AF552" s="2" t="str" cm="1">
        <f t="array" ref="AF552">_xlfn.IFS(AE552=0, "No Discount ", AE552&lt;=0.08,"Low Discount", AE552&lt;=0.16,"Medium Discount", AE552&gt;0.16, "High Discount")</f>
        <v xml:space="preserve">No Discount </v>
      </c>
      <c r="AG552" s="2">
        <v>174677</v>
      </c>
      <c r="AH552" s="2">
        <v>461.48</v>
      </c>
      <c r="AI552" s="2">
        <v>0.31</v>
      </c>
      <c r="AJ552" s="2" t="str" cm="1">
        <f t="array" ref="AJ552">_xlfn.IFS(AI552&lt;=0, "No Profit", AI552&lt;=0.16,"Low Profit",AI552&lt;=0.32,"Medium Profit",AI552&gt;0.32,"High Profit")</f>
        <v>Medium Profit</v>
      </c>
      <c r="AK552" s="2">
        <v>1</v>
      </c>
      <c r="AL552" s="2">
        <v>461.48</v>
      </c>
      <c r="AM552" s="2">
        <v>461.48</v>
      </c>
      <c r="AN552" s="2">
        <v>144.44</v>
      </c>
      <c r="AO552" s="2" t="s">
        <v>905</v>
      </c>
      <c r="AP552" s="2" t="s">
        <v>2596</v>
      </c>
      <c r="AQ552" s="2" t="s">
        <v>80</v>
      </c>
      <c r="AR552" s="2" t="s">
        <v>81</v>
      </c>
      <c r="AS552" s="2">
        <v>1353</v>
      </c>
      <c r="AT552" s="2">
        <v>66</v>
      </c>
      <c r="AU552" s="2" t="s">
        <v>1407</v>
      </c>
      <c r="AV552" s="2">
        <v>461.48</v>
      </c>
      <c r="AW552" s="2">
        <v>0</v>
      </c>
      <c r="AX552" s="3">
        <v>43019.705555555556</v>
      </c>
      <c r="AY552" s="2" t="s">
        <v>162</v>
      </c>
      <c r="AZ552" s="4">
        <v>42927</v>
      </c>
      <c r="BA552" s="5">
        <v>0.7055555555555556</v>
      </c>
      <c r="BB552" s="2">
        <v>2017</v>
      </c>
      <c r="BC552" s="2" t="s">
        <v>533</v>
      </c>
      <c r="BD552" s="2">
        <v>11</v>
      </c>
      <c r="BE552" s="4">
        <v>43019</v>
      </c>
      <c r="BF552" s="5">
        <v>0.7055555555555556</v>
      </c>
      <c r="BG552" s="2" t="str" cm="1">
        <f t="array" ref="BG552">_xlfn.IFS(BF552&lt;TIMEVALUE("06:00"),"Night", BF552&gt;=TIMEVALUE("21:00"),"Night",BF552&gt;=TIMEVALUE("17:00"),"Evening",BF552&gt;=TIMEVALUE("12:00"),"Afternoon", BF552&gt;=TIMEVALUE("06:00"),"Morning")</f>
        <v>Afternoon</v>
      </c>
      <c r="BH552" s="2">
        <v>2017</v>
      </c>
      <c r="BI552" s="2" t="s">
        <v>434</v>
      </c>
      <c r="BJ552" s="2">
        <v>11</v>
      </c>
    </row>
    <row r="553" spans="1:62" x14ac:dyDescent="0.3">
      <c r="A553" s="2" t="s">
        <v>62</v>
      </c>
      <c r="B553" s="2">
        <v>3</v>
      </c>
      <c r="C553" s="2">
        <v>2</v>
      </c>
      <c r="D553" s="2">
        <v>48.1</v>
      </c>
      <c r="E553" s="2">
        <v>129.99</v>
      </c>
      <c r="F553" s="2" t="s">
        <v>87</v>
      </c>
      <c r="G553" s="2" t="s">
        <v>88</v>
      </c>
      <c r="H553" s="2">
        <v>18</v>
      </c>
      <c r="I553" s="2" t="s">
        <v>863</v>
      </c>
      <c r="J553" s="2" t="s">
        <v>66</v>
      </c>
      <c r="K553" s="2" t="s">
        <v>67</v>
      </c>
      <c r="L553" s="2" t="s">
        <v>414</v>
      </c>
      <c r="M553" s="2">
        <v>9619</v>
      </c>
      <c r="N553" s="2" t="s">
        <v>425</v>
      </c>
      <c r="O553" s="2" t="s">
        <v>70</v>
      </c>
      <c r="P553" s="2" t="s">
        <v>71</v>
      </c>
      <c r="Q553" s="2" t="s">
        <v>2597</v>
      </c>
      <c r="R553" s="2">
        <v>725</v>
      </c>
      <c r="S553" s="2">
        <v>4</v>
      </c>
      <c r="T553" s="2" t="s">
        <v>417</v>
      </c>
      <c r="U553" s="2">
        <v>18.2735214</v>
      </c>
      <c r="V553" s="2">
        <v>-66.370536799999996</v>
      </c>
      <c r="W553" s="2" t="s">
        <v>528</v>
      </c>
      <c r="X553" s="2" t="s">
        <v>2598</v>
      </c>
      <c r="Y553" s="2" t="s">
        <v>904</v>
      </c>
      <c r="Z553" s="2">
        <v>9619</v>
      </c>
      <c r="AA553" s="2" t="s">
        <v>2599</v>
      </c>
      <c r="AB553" s="2">
        <v>13232</v>
      </c>
      <c r="AC553" s="2">
        <v>403</v>
      </c>
      <c r="AD553" s="2">
        <v>0</v>
      </c>
      <c r="AE553" s="2">
        <v>0</v>
      </c>
      <c r="AF553" s="2" t="str" cm="1">
        <f t="array" ref="AF553">_xlfn.IFS(AE553=0, "No Discount ", AE553&lt;=0.08,"Low Discount", AE553&lt;=0.16,"Medium Discount", AE553&gt;0.16, "High Discount")</f>
        <v xml:space="preserve">No Discount </v>
      </c>
      <c r="AG553" s="2">
        <v>33103</v>
      </c>
      <c r="AH553" s="2">
        <v>129.99</v>
      </c>
      <c r="AI553" s="2">
        <v>0.37</v>
      </c>
      <c r="AJ553" s="2" t="str" cm="1">
        <f t="array" ref="AJ553">_xlfn.IFS(AI553&lt;=0, "No Profit", AI553&lt;=0.16,"Low Profit",AI553&lt;=0.32,"Medium Profit",AI553&gt;0.32,"High Profit")</f>
        <v>High Profit</v>
      </c>
      <c r="AK553" s="2">
        <v>1</v>
      </c>
      <c r="AL553" s="2">
        <v>129.99</v>
      </c>
      <c r="AM553" s="2">
        <v>129.99</v>
      </c>
      <c r="AN553" s="2">
        <v>48.1</v>
      </c>
      <c r="AO553" s="2" t="s">
        <v>905</v>
      </c>
      <c r="AP553" s="2" t="s">
        <v>1763</v>
      </c>
      <c r="AQ553" s="2" t="s">
        <v>80</v>
      </c>
      <c r="AR553" s="2" t="s">
        <v>81</v>
      </c>
      <c r="AS553" s="2">
        <v>403</v>
      </c>
      <c r="AT553" s="2">
        <v>18</v>
      </c>
      <c r="AU553" s="2" t="s">
        <v>869</v>
      </c>
      <c r="AV553" s="2">
        <v>129.99</v>
      </c>
      <c r="AW553" s="2">
        <v>0</v>
      </c>
      <c r="AX553" s="2" t="s">
        <v>2600</v>
      </c>
      <c r="AY553" s="2" t="s">
        <v>162</v>
      </c>
      <c r="AZ553" s="4">
        <v>42198</v>
      </c>
      <c r="BA553" s="5">
        <v>0.14166666666666666</v>
      </c>
      <c r="BB553" s="2">
        <v>2015</v>
      </c>
      <c r="BC553" s="2" t="s">
        <v>533</v>
      </c>
      <c r="BD553" s="2">
        <v>13</v>
      </c>
      <c r="BE553" s="4">
        <v>42201</v>
      </c>
      <c r="BF553" s="5">
        <v>0.14166666666666666</v>
      </c>
      <c r="BG553" s="2" t="str" cm="1">
        <f t="array" ref="BG553">_xlfn.IFS(BF553&lt;TIMEVALUE("06:00"),"Night", BF553&gt;=TIMEVALUE("21:00"),"Night",BF553&gt;=TIMEVALUE("17:00"),"Evening",BF553&gt;=TIMEVALUE("12:00"),"Afternoon", BF553&gt;=TIMEVALUE("06:00"),"Morning")</f>
        <v>Night</v>
      </c>
      <c r="BH553" s="2">
        <v>2015</v>
      </c>
      <c r="BI553" s="2" t="s">
        <v>533</v>
      </c>
      <c r="BJ553" s="2">
        <v>16</v>
      </c>
    </row>
    <row r="554" spans="1:62" x14ac:dyDescent="0.3">
      <c r="A554" s="2" t="s">
        <v>62</v>
      </c>
      <c r="B554" s="2">
        <v>4</v>
      </c>
      <c r="C554" s="2">
        <v>2</v>
      </c>
      <c r="D554" s="2">
        <v>144</v>
      </c>
      <c r="E554" s="2">
        <v>299.99</v>
      </c>
      <c r="F554" s="2" t="s">
        <v>87</v>
      </c>
      <c r="G554" s="2" t="s">
        <v>88</v>
      </c>
      <c r="H554" s="2">
        <v>17</v>
      </c>
      <c r="I554" s="2" t="s">
        <v>412</v>
      </c>
      <c r="J554" s="2" t="s">
        <v>66</v>
      </c>
      <c r="K554" s="2" t="s">
        <v>67</v>
      </c>
      <c r="L554" s="2" t="s">
        <v>414</v>
      </c>
      <c r="M554" s="2">
        <v>1566</v>
      </c>
      <c r="N554" s="2" t="s">
        <v>233</v>
      </c>
      <c r="O554" s="2" t="s">
        <v>70</v>
      </c>
      <c r="P554" s="2" t="s">
        <v>71</v>
      </c>
      <c r="Q554" s="2" t="s">
        <v>153</v>
      </c>
      <c r="R554" s="2">
        <v>725</v>
      </c>
      <c r="S554" s="2">
        <v>4</v>
      </c>
      <c r="T554" s="2" t="s">
        <v>417</v>
      </c>
      <c r="U554" s="2">
        <v>18.2709236</v>
      </c>
      <c r="V554" s="2">
        <v>-66.370605499999996</v>
      </c>
      <c r="W554" s="2" t="s">
        <v>528</v>
      </c>
      <c r="X554" s="2" t="s">
        <v>2576</v>
      </c>
      <c r="Y554" s="2" t="s">
        <v>549</v>
      </c>
      <c r="Z554" s="2">
        <v>1566</v>
      </c>
      <c r="AA554" s="2" t="s">
        <v>2577</v>
      </c>
      <c r="AB554" s="2">
        <v>67753</v>
      </c>
      <c r="AC554" s="2">
        <v>364</v>
      </c>
      <c r="AD554" s="2">
        <v>0</v>
      </c>
      <c r="AE554" s="2">
        <v>0</v>
      </c>
      <c r="AF554" s="2" t="str" cm="1">
        <f t="array" ref="AF554">_xlfn.IFS(AE554=0, "No Discount ", AE554&lt;=0.08,"Low Discount", AE554&lt;=0.16,"Medium Discount", AE554&gt;0.16, "High Discount")</f>
        <v xml:space="preserve">No Discount </v>
      </c>
      <c r="AG554" s="2">
        <v>169394</v>
      </c>
      <c r="AH554" s="2">
        <v>299.99</v>
      </c>
      <c r="AI554" s="2">
        <v>0.48</v>
      </c>
      <c r="AJ554" s="2" t="str" cm="1">
        <f t="array" ref="AJ554">_xlfn.IFS(AI554&lt;=0, "No Profit", AI554&lt;=0.16,"Low Profit",AI554&lt;=0.32,"Medium Profit",AI554&gt;0.32,"High Profit")</f>
        <v>High Profit</v>
      </c>
      <c r="AK554" s="2">
        <v>1</v>
      </c>
      <c r="AL554" s="2">
        <v>299.99</v>
      </c>
      <c r="AM554" s="2">
        <v>299.99</v>
      </c>
      <c r="AN554" s="2">
        <v>144</v>
      </c>
      <c r="AO554" s="2" t="s">
        <v>531</v>
      </c>
      <c r="AP554" s="2" t="s">
        <v>2578</v>
      </c>
      <c r="AQ554" s="2" t="s">
        <v>80</v>
      </c>
      <c r="AR554" s="2" t="s">
        <v>81</v>
      </c>
      <c r="AS554" s="2">
        <v>364</v>
      </c>
      <c r="AT554" s="2">
        <v>17</v>
      </c>
      <c r="AU554" s="2" t="s">
        <v>2601</v>
      </c>
      <c r="AV554" s="2">
        <v>299.99</v>
      </c>
      <c r="AW554" s="2">
        <v>0</v>
      </c>
      <c r="AX554" s="2" t="s">
        <v>2580</v>
      </c>
      <c r="AY554" s="2" t="s">
        <v>162</v>
      </c>
      <c r="AZ554" s="4">
        <v>42994</v>
      </c>
      <c r="BA554" s="5">
        <v>2.2222222222222223E-2</v>
      </c>
      <c r="BB554" s="2">
        <v>2017</v>
      </c>
      <c r="BC554" s="2" t="s">
        <v>552</v>
      </c>
      <c r="BD554" s="2">
        <v>16</v>
      </c>
      <c r="BE554" s="4">
        <v>42998</v>
      </c>
      <c r="BF554" s="5">
        <v>2.2222222222222223E-2</v>
      </c>
      <c r="BG554" s="2" t="str" cm="1">
        <f t="array" ref="BG554">_xlfn.IFS(BF554&lt;TIMEVALUE("06:00"),"Night", BF554&gt;=TIMEVALUE("21:00"),"Night",BF554&gt;=TIMEVALUE("17:00"),"Evening",BF554&gt;=TIMEVALUE("12:00"),"Afternoon", BF554&gt;=TIMEVALUE("06:00"),"Morning")</f>
        <v>Night</v>
      </c>
      <c r="BH554" s="2">
        <v>2017</v>
      </c>
      <c r="BI554" s="2" t="s">
        <v>552</v>
      </c>
      <c r="BJ554" s="2">
        <v>20</v>
      </c>
    </row>
    <row r="555" spans="1:62" x14ac:dyDescent="0.3">
      <c r="A555" s="2" t="s">
        <v>62</v>
      </c>
      <c r="B555" s="2">
        <v>5</v>
      </c>
      <c r="C555" s="2">
        <v>2</v>
      </c>
      <c r="D555" s="2">
        <v>11.18</v>
      </c>
      <c r="E555" s="2">
        <v>129.99</v>
      </c>
      <c r="F555" s="2" t="s">
        <v>87</v>
      </c>
      <c r="G555" s="2" t="s">
        <v>88</v>
      </c>
      <c r="H555" s="2">
        <v>18</v>
      </c>
      <c r="I555" s="2" t="s">
        <v>863</v>
      </c>
      <c r="J555" s="2" t="s">
        <v>66</v>
      </c>
      <c r="K555" s="2" t="s">
        <v>67</v>
      </c>
      <c r="L555" s="2" t="s">
        <v>790</v>
      </c>
      <c r="M555" s="2">
        <v>778</v>
      </c>
      <c r="N555" s="2" t="s">
        <v>1055</v>
      </c>
      <c r="O555" s="2" t="s">
        <v>70</v>
      </c>
      <c r="P555" s="2" t="s">
        <v>71</v>
      </c>
      <c r="Q555" s="2" t="s">
        <v>1056</v>
      </c>
      <c r="R555" s="2">
        <v>725</v>
      </c>
      <c r="S555" s="2">
        <v>4</v>
      </c>
      <c r="T555" s="2" t="s">
        <v>417</v>
      </c>
      <c r="U555" s="2">
        <v>18.227573400000001</v>
      </c>
      <c r="V555" s="2">
        <v>-66.043708800000005</v>
      </c>
      <c r="W555" s="2" t="s">
        <v>528</v>
      </c>
      <c r="X555" s="2" t="s">
        <v>1057</v>
      </c>
      <c r="Y555" s="2" t="s">
        <v>536</v>
      </c>
      <c r="Z555" s="2">
        <v>778</v>
      </c>
      <c r="AA555" s="3">
        <v>42776.459027777775</v>
      </c>
      <c r="AB555" s="2">
        <v>68879</v>
      </c>
      <c r="AC555" s="2">
        <v>403</v>
      </c>
      <c r="AD555" s="2">
        <v>0</v>
      </c>
      <c r="AE555" s="2">
        <v>0</v>
      </c>
      <c r="AF555" s="2" t="str" cm="1">
        <f t="array" ref="AF555">_xlfn.IFS(AE555=0, "No Discount ", AE555&lt;=0.08,"Low Discount", AE555&lt;=0.16,"Medium Discount", AE555&gt;0.16, "High Discount")</f>
        <v xml:space="preserve">No Discount </v>
      </c>
      <c r="AG555" s="2">
        <v>172187</v>
      </c>
      <c r="AH555" s="2">
        <v>129.99</v>
      </c>
      <c r="AI555" s="2">
        <v>0.09</v>
      </c>
      <c r="AJ555" s="2" t="str" cm="1">
        <f t="array" ref="AJ555">_xlfn.IFS(AI555&lt;=0, "No Profit", AI555&lt;=0.16,"Low Profit",AI555&lt;=0.32,"Medium Profit",AI555&gt;0.32,"High Profit")</f>
        <v>Low Profit</v>
      </c>
      <c r="AK555" s="2">
        <v>1</v>
      </c>
      <c r="AL555" s="2">
        <v>129.99</v>
      </c>
      <c r="AM555" s="2">
        <v>129.99</v>
      </c>
      <c r="AN555" s="2">
        <v>11.18</v>
      </c>
      <c r="AO555" s="2" t="s">
        <v>531</v>
      </c>
      <c r="AP555" s="2" t="s">
        <v>538</v>
      </c>
      <c r="AQ555" s="2" t="s">
        <v>80</v>
      </c>
      <c r="AR555" s="2" t="s">
        <v>81</v>
      </c>
      <c r="AS555" s="2">
        <v>403</v>
      </c>
      <c r="AT555" s="2">
        <v>18</v>
      </c>
      <c r="AU555" s="2" t="s">
        <v>869</v>
      </c>
      <c r="AV555" s="2">
        <v>129.99</v>
      </c>
      <c r="AW555" s="2">
        <v>0</v>
      </c>
      <c r="AX555" s="3">
        <v>42926.459027777775</v>
      </c>
      <c r="AY555" s="2" t="s">
        <v>162</v>
      </c>
      <c r="AZ555" s="4">
        <v>42776</v>
      </c>
      <c r="BA555" s="5">
        <v>0.45902777777777776</v>
      </c>
      <c r="BB555" s="2">
        <v>2017</v>
      </c>
      <c r="BC555" s="2" t="s">
        <v>423</v>
      </c>
      <c r="BD555" s="2">
        <v>10</v>
      </c>
      <c r="BE555" s="4">
        <v>42926</v>
      </c>
      <c r="BF555" s="5">
        <v>0.45902777777777776</v>
      </c>
      <c r="BG555" s="2" t="str" cm="1">
        <f t="array" ref="BG555">_xlfn.IFS(BF555&lt;TIMEVALUE("06:00"),"Night", BF555&gt;=TIMEVALUE("21:00"),"Night",BF555&gt;=TIMEVALUE("17:00"),"Evening",BF555&gt;=TIMEVALUE("12:00"),"Afternoon", BF555&gt;=TIMEVALUE("06:00"),"Morning")</f>
        <v>Morning</v>
      </c>
      <c r="BH555" s="2">
        <v>2017</v>
      </c>
      <c r="BI555" s="2" t="s">
        <v>533</v>
      </c>
      <c r="BJ555" s="2">
        <v>10</v>
      </c>
    </row>
    <row r="556" spans="1:62" x14ac:dyDescent="0.3">
      <c r="A556" s="2" t="s">
        <v>62</v>
      </c>
      <c r="B556" s="2">
        <v>3</v>
      </c>
      <c r="C556" s="2">
        <v>2</v>
      </c>
      <c r="D556" s="2">
        <v>-9.75</v>
      </c>
      <c r="E556" s="2">
        <v>129.99</v>
      </c>
      <c r="F556" s="2" t="s">
        <v>87</v>
      </c>
      <c r="G556" s="2" t="s">
        <v>88</v>
      </c>
      <c r="H556" s="2">
        <v>18</v>
      </c>
      <c r="I556" s="2" t="s">
        <v>863</v>
      </c>
      <c r="J556" s="2" t="s">
        <v>66</v>
      </c>
      <c r="K556" s="2" t="s">
        <v>67</v>
      </c>
      <c r="L556" s="2" t="s">
        <v>414</v>
      </c>
      <c r="M556" s="2">
        <v>2363</v>
      </c>
      <c r="N556" s="2" t="s">
        <v>2602</v>
      </c>
      <c r="O556" s="2" t="s">
        <v>70</v>
      </c>
      <c r="P556" s="2" t="s">
        <v>71</v>
      </c>
      <c r="Q556" s="2" t="s">
        <v>630</v>
      </c>
      <c r="R556" s="2">
        <v>725</v>
      </c>
      <c r="S556" s="2">
        <v>4</v>
      </c>
      <c r="T556" s="2" t="s">
        <v>417</v>
      </c>
      <c r="U556" s="2">
        <v>18.285018900000001</v>
      </c>
      <c r="V556" s="2">
        <v>-66.370605499999996</v>
      </c>
      <c r="W556" s="2" t="s">
        <v>528</v>
      </c>
      <c r="X556" s="2" t="s">
        <v>2603</v>
      </c>
      <c r="Y556" s="2" t="s">
        <v>536</v>
      </c>
      <c r="Z556" s="2">
        <v>2363</v>
      </c>
      <c r="AA556" s="2" t="s">
        <v>2604</v>
      </c>
      <c r="AB556" s="2">
        <v>65487</v>
      </c>
      <c r="AC556" s="2">
        <v>403</v>
      </c>
      <c r="AD556" s="2">
        <v>0</v>
      </c>
      <c r="AE556" s="2">
        <v>0</v>
      </c>
      <c r="AF556" s="2" t="str" cm="1">
        <f t="array" ref="AF556">_xlfn.IFS(AE556=0, "No Discount ", AE556&lt;=0.08,"Low Discount", AE556&lt;=0.16,"Medium Discount", AE556&gt;0.16, "High Discount")</f>
        <v xml:space="preserve">No Discount </v>
      </c>
      <c r="AG556" s="2">
        <v>163675</v>
      </c>
      <c r="AH556" s="2">
        <v>129.99</v>
      </c>
      <c r="AI556" s="2">
        <v>-0.08</v>
      </c>
      <c r="AJ556" s="2" t="str" cm="1">
        <f t="array" ref="AJ556">_xlfn.IFS(AI556&lt;=0, "No Profit", AI556&lt;=0.16,"Low Profit",AI556&lt;=0.32,"Medium Profit",AI556&gt;0.32,"High Profit")</f>
        <v>No Profit</v>
      </c>
      <c r="AK556" s="2">
        <v>1</v>
      </c>
      <c r="AL556" s="2">
        <v>129.99</v>
      </c>
      <c r="AM556" s="2">
        <v>129.99</v>
      </c>
      <c r="AN556" s="2">
        <v>-9.75</v>
      </c>
      <c r="AO556" s="2" t="s">
        <v>531</v>
      </c>
      <c r="AP556" s="2" t="s">
        <v>1000</v>
      </c>
      <c r="AQ556" s="2" t="s">
        <v>80</v>
      </c>
      <c r="AR556" s="2" t="s">
        <v>81</v>
      </c>
      <c r="AS556" s="2">
        <v>403</v>
      </c>
      <c r="AT556" s="2">
        <v>18</v>
      </c>
      <c r="AU556" s="2" t="s">
        <v>869</v>
      </c>
      <c r="AV556" s="2">
        <v>129.99</v>
      </c>
      <c r="AW556" s="2">
        <v>0</v>
      </c>
      <c r="AX556" s="2" t="s">
        <v>2605</v>
      </c>
      <c r="AY556" s="2" t="s">
        <v>162</v>
      </c>
      <c r="AZ556" s="4">
        <v>42960</v>
      </c>
      <c r="BA556" s="5">
        <v>0.94374999999999998</v>
      </c>
      <c r="BB556" s="2">
        <v>2017</v>
      </c>
      <c r="BC556" s="2" t="s">
        <v>482</v>
      </c>
      <c r="BD556" s="2">
        <v>13</v>
      </c>
      <c r="BE556" s="4">
        <v>42963</v>
      </c>
      <c r="BF556" s="5">
        <v>0.94374999999999998</v>
      </c>
      <c r="BG556" s="2" t="str" cm="1">
        <f t="array" ref="BG556">_xlfn.IFS(BF556&lt;TIMEVALUE("06:00"),"Night", BF556&gt;=TIMEVALUE("21:00"),"Night",BF556&gt;=TIMEVALUE("17:00"),"Evening",BF556&gt;=TIMEVALUE("12:00"),"Afternoon", BF556&gt;=TIMEVALUE("06:00"),"Morning")</f>
        <v>Night</v>
      </c>
      <c r="BH556" s="2">
        <v>2017</v>
      </c>
      <c r="BI556" s="2" t="s">
        <v>482</v>
      </c>
      <c r="BJ556" s="2">
        <v>16</v>
      </c>
    </row>
    <row r="557" spans="1:62" x14ac:dyDescent="0.3">
      <c r="A557" s="2" t="s">
        <v>62</v>
      </c>
      <c r="B557" s="2">
        <v>6</v>
      </c>
      <c r="C557" s="2">
        <v>2</v>
      </c>
      <c r="D557" s="2">
        <v>-23.79</v>
      </c>
      <c r="E557" s="2">
        <v>129.99</v>
      </c>
      <c r="F557" s="2" t="s">
        <v>87</v>
      </c>
      <c r="G557" s="2" t="s">
        <v>88</v>
      </c>
      <c r="H557" s="2">
        <v>18</v>
      </c>
      <c r="I557" s="2" t="s">
        <v>863</v>
      </c>
      <c r="J557" s="2" t="s">
        <v>66</v>
      </c>
      <c r="K557" s="2" t="s">
        <v>67</v>
      </c>
      <c r="L557" s="2" t="s">
        <v>2606</v>
      </c>
      <c r="M557" s="2">
        <v>5898</v>
      </c>
      <c r="N557" s="2" t="s">
        <v>2607</v>
      </c>
      <c r="O557" s="2" t="s">
        <v>70</v>
      </c>
      <c r="P557" s="2" t="s">
        <v>71</v>
      </c>
      <c r="Q557" s="2" t="s">
        <v>2608</v>
      </c>
      <c r="R557" s="2">
        <v>725</v>
      </c>
      <c r="S557" s="2">
        <v>4</v>
      </c>
      <c r="T557" s="2" t="s">
        <v>417</v>
      </c>
      <c r="U557" s="2">
        <v>18.2590389</v>
      </c>
      <c r="V557" s="2">
        <v>-66.3706131</v>
      </c>
      <c r="W557" s="2" t="s">
        <v>528</v>
      </c>
      <c r="X557" s="2" t="s">
        <v>957</v>
      </c>
      <c r="Y557" s="2" t="s">
        <v>530</v>
      </c>
      <c r="Z557" s="2">
        <v>5898</v>
      </c>
      <c r="AA557" s="3">
        <v>42955.367361111108</v>
      </c>
      <c r="AB557" s="2">
        <v>65105</v>
      </c>
      <c r="AC557" s="2">
        <v>403</v>
      </c>
      <c r="AD557" s="2">
        <v>0</v>
      </c>
      <c r="AE557" s="2">
        <v>0</v>
      </c>
      <c r="AF557" s="2" t="str" cm="1">
        <f t="array" ref="AF557">_xlfn.IFS(AE557=0, "No Discount ", AE557&lt;=0.08,"Low Discount", AE557&lt;=0.16,"Medium Discount", AE557&gt;0.16, "High Discount")</f>
        <v xml:space="preserve">No Discount </v>
      </c>
      <c r="AG557" s="2">
        <v>162708</v>
      </c>
      <c r="AH557" s="2">
        <v>129.99</v>
      </c>
      <c r="AI557" s="2">
        <v>-0.18</v>
      </c>
      <c r="AJ557" s="2" t="str" cm="1">
        <f t="array" ref="AJ557">_xlfn.IFS(AI557&lt;=0, "No Profit", AI557&lt;=0.16,"Low Profit",AI557&lt;=0.32,"Medium Profit",AI557&gt;0.32,"High Profit")</f>
        <v>No Profit</v>
      </c>
      <c r="AK557" s="2">
        <v>1</v>
      </c>
      <c r="AL557" s="2">
        <v>129.99</v>
      </c>
      <c r="AM557" s="2">
        <v>129.99</v>
      </c>
      <c r="AN557" s="2">
        <v>-23.79</v>
      </c>
      <c r="AO557" s="2" t="s">
        <v>531</v>
      </c>
      <c r="AP557" s="2" t="s">
        <v>532</v>
      </c>
      <c r="AQ557" s="2" t="s">
        <v>80</v>
      </c>
      <c r="AR557" s="2" t="s">
        <v>81</v>
      </c>
      <c r="AS557" s="2">
        <v>403</v>
      </c>
      <c r="AT557" s="2">
        <v>18</v>
      </c>
      <c r="AU557" s="2" t="s">
        <v>869</v>
      </c>
      <c r="AV557" s="2">
        <v>129.99</v>
      </c>
      <c r="AW557" s="2">
        <v>0</v>
      </c>
      <c r="AX557" s="2" t="s">
        <v>2609</v>
      </c>
      <c r="AY557" s="2" t="s">
        <v>162</v>
      </c>
      <c r="AZ557" s="4">
        <v>42955</v>
      </c>
      <c r="BA557" s="5">
        <v>0.36736111111111114</v>
      </c>
      <c r="BB557" s="2">
        <v>2017</v>
      </c>
      <c r="BC557" s="2" t="s">
        <v>482</v>
      </c>
      <c r="BD557" s="2">
        <v>8</v>
      </c>
      <c r="BE557" s="4">
        <v>42961</v>
      </c>
      <c r="BF557" s="5">
        <v>0.36736111111111114</v>
      </c>
      <c r="BG557" s="2" t="str" cm="1">
        <f t="array" ref="BG557">_xlfn.IFS(BF557&lt;TIMEVALUE("06:00"),"Night", BF557&gt;=TIMEVALUE("21:00"),"Night",BF557&gt;=TIMEVALUE("17:00"),"Evening",BF557&gt;=TIMEVALUE("12:00"),"Afternoon", BF557&gt;=TIMEVALUE("06:00"),"Morning")</f>
        <v>Morning</v>
      </c>
      <c r="BH557" s="2">
        <v>2017</v>
      </c>
      <c r="BI557" s="2" t="s">
        <v>482</v>
      </c>
      <c r="BJ557" s="2">
        <v>14</v>
      </c>
    </row>
    <row r="558" spans="1:62" x14ac:dyDescent="0.3">
      <c r="A558" s="2" t="s">
        <v>62</v>
      </c>
      <c r="B558" s="2">
        <v>3</v>
      </c>
      <c r="C558" s="2">
        <v>2</v>
      </c>
      <c r="D558" s="2">
        <v>24.44</v>
      </c>
      <c r="E558" s="2">
        <v>129.99</v>
      </c>
      <c r="F558" s="2" t="s">
        <v>87</v>
      </c>
      <c r="G558" s="2" t="s">
        <v>88</v>
      </c>
      <c r="H558" s="2">
        <v>18</v>
      </c>
      <c r="I558" s="2" t="s">
        <v>863</v>
      </c>
      <c r="J558" s="2" t="s">
        <v>66</v>
      </c>
      <c r="K558" s="2" t="s">
        <v>67</v>
      </c>
      <c r="L558" s="2" t="s">
        <v>1321</v>
      </c>
      <c r="M558" s="2">
        <v>1948</v>
      </c>
      <c r="N558" s="2" t="s">
        <v>425</v>
      </c>
      <c r="O558" s="2" t="s">
        <v>70</v>
      </c>
      <c r="P558" s="2" t="s">
        <v>71</v>
      </c>
      <c r="Q558" s="2" t="s">
        <v>2610</v>
      </c>
      <c r="R558" s="2">
        <v>725</v>
      </c>
      <c r="S558" s="2">
        <v>4</v>
      </c>
      <c r="T558" s="2" t="s">
        <v>417</v>
      </c>
      <c r="U558" s="2">
        <v>18.258358000000001</v>
      </c>
      <c r="V558" s="2">
        <v>-66.370529199999993</v>
      </c>
      <c r="W558" s="2" t="s">
        <v>528</v>
      </c>
      <c r="X558" s="2" t="s">
        <v>2545</v>
      </c>
      <c r="Y558" s="2" t="s">
        <v>530</v>
      </c>
      <c r="Z558" s="2">
        <v>1948</v>
      </c>
      <c r="AA558" s="3">
        <v>42132.570833333331</v>
      </c>
      <c r="AB558" s="2">
        <v>14837</v>
      </c>
      <c r="AC558" s="2">
        <v>403</v>
      </c>
      <c r="AD558" s="2">
        <v>0</v>
      </c>
      <c r="AE558" s="2">
        <v>0</v>
      </c>
      <c r="AF558" s="2" t="str" cm="1">
        <f t="array" ref="AF558">_xlfn.IFS(AE558=0, "No Discount ", AE558&lt;=0.08,"Low Discount", AE558&lt;=0.16,"Medium Discount", AE558&gt;0.16, "High Discount")</f>
        <v xml:space="preserve">No Discount </v>
      </c>
      <c r="AG558" s="2">
        <v>37151</v>
      </c>
      <c r="AH558" s="2">
        <v>129.99</v>
      </c>
      <c r="AI558" s="2">
        <v>0.19</v>
      </c>
      <c r="AJ558" s="2" t="str" cm="1">
        <f t="array" ref="AJ558">_xlfn.IFS(AI558&lt;=0, "No Profit", AI558&lt;=0.16,"Low Profit",AI558&lt;=0.32,"Medium Profit",AI558&gt;0.32,"High Profit")</f>
        <v>Medium Profit</v>
      </c>
      <c r="AK558" s="2">
        <v>1</v>
      </c>
      <c r="AL558" s="2">
        <v>129.99</v>
      </c>
      <c r="AM558" s="2">
        <v>129.99</v>
      </c>
      <c r="AN558" s="2">
        <v>24.44</v>
      </c>
      <c r="AO558" s="2" t="s">
        <v>531</v>
      </c>
      <c r="AP558" s="2" t="s">
        <v>2545</v>
      </c>
      <c r="AQ558" s="2" t="s">
        <v>80</v>
      </c>
      <c r="AR558" s="2" t="s">
        <v>81</v>
      </c>
      <c r="AS558" s="2">
        <v>403</v>
      </c>
      <c r="AT558" s="2">
        <v>18</v>
      </c>
      <c r="AU558" s="2" t="s">
        <v>869</v>
      </c>
      <c r="AV558" s="2">
        <v>129.99</v>
      </c>
      <c r="AW558" s="2">
        <v>0</v>
      </c>
      <c r="AX558" s="3">
        <v>42224.570833333331</v>
      </c>
      <c r="AY558" s="2" t="s">
        <v>162</v>
      </c>
      <c r="AZ558" s="4">
        <v>42132</v>
      </c>
      <c r="BA558" s="5">
        <v>0.5708333333333333</v>
      </c>
      <c r="BB558" s="2">
        <v>2015</v>
      </c>
      <c r="BC558" s="2" t="s">
        <v>443</v>
      </c>
      <c r="BD558" s="2">
        <v>8</v>
      </c>
      <c r="BE558" s="4">
        <v>42224</v>
      </c>
      <c r="BF558" s="5">
        <v>0.5708333333333333</v>
      </c>
      <c r="BG558" s="2" t="str" cm="1">
        <f t="array" ref="BG558">_xlfn.IFS(BF558&lt;TIMEVALUE("06:00"),"Night", BF558&gt;=TIMEVALUE("21:00"),"Night",BF558&gt;=TIMEVALUE("17:00"),"Evening",BF558&gt;=TIMEVALUE("12:00"),"Afternoon", BF558&gt;=TIMEVALUE("06:00"),"Morning")</f>
        <v>Afternoon</v>
      </c>
      <c r="BH558" s="2">
        <v>2015</v>
      </c>
      <c r="BI558" s="2" t="s">
        <v>482</v>
      </c>
      <c r="BJ558" s="2">
        <v>8</v>
      </c>
    </row>
    <row r="559" spans="1:62" x14ac:dyDescent="0.3">
      <c r="A559" s="2" t="s">
        <v>62</v>
      </c>
      <c r="B559" s="2">
        <v>5</v>
      </c>
      <c r="C559" s="2">
        <v>2</v>
      </c>
      <c r="D559" s="2">
        <v>29.7</v>
      </c>
      <c r="E559" s="2">
        <v>59.39</v>
      </c>
      <c r="F559" s="2" t="s">
        <v>87</v>
      </c>
      <c r="G559" s="2" t="s">
        <v>88</v>
      </c>
      <c r="H559" s="2">
        <v>17</v>
      </c>
      <c r="I559" s="2" t="s">
        <v>412</v>
      </c>
      <c r="J559" s="2" t="s">
        <v>66</v>
      </c>
      <c r="K559" s="2" t="s">
        <v>67</v>
      </c>
      <c r="L559" s="2" t="s">
        <v>414</v>
      </c>
      <c r="M559" s="2">
        <v>1820</v>
      </c>
      <c r="N559" s="2" t="s">
        <v>459</v>
      </c>
      <c r="O559" s="2" t="s">
        <v>70</v>
      </c>
      <c r="P559" s="2" t="s">
        <v>71</v>
      </c>
      <c r="Q559" s="2" t="s">
        <v>2611</v>
      </c>
      <c r="R559" s="2">
        <v>725</v>
      </c>
      <c r="S559" s="2">
        <v>4</v>
      </c>
      <c r="T559" s="2" t="s">
        <v>417</v>
      </c>
      <c r="U559" s="2">
        <v>18.2001247</v>
      </c>
      <c r="V559" s="2">
        <v>-66.370513900000006</v>
      </c>
      <c r="W559" s="2" t="s">
        <v>528</v>
      </c>
      <c r="X559" s="2" t="s">
        <v>2612</v>
      </c>
      <c r="Y559" s="2" t="s">
        <v>2613</v>
      </c>
      <c r="Z559" s="2">
        <v>1820</v>
      </c>
      <c r="AA559" s="3">
        <v>42501.748611111114</v>
      </c>
      <c r="AB559" s="2">
        <v>46224</v>
      </c>
      <c r="AC559" s="2">
        <v>365</v>
      </c>
      <c r="AD559" s="2">
        <v>0.6</v>
      </c>
      <c r="AE559" s="2">
        <v>0.01</v>
      </c>
      <c r="AF559" s="2" t="str" cm="1">
        <f t="array" ref="AF559">_xlfn.IFS(AE559=0, "No Discount ", AE559&lt;=0.08,"Low Discount", AE559&lt;=0.16,"Medium Discount", AE559&gt;0.16, "High Discount")</f>
        <v>Low Discount</v>
      </c>
      <c r="AG559" s="2">
        <v>115551</v>
      </c>
      <c r="AH559" s="2">
        <v>59.99</v>
      </c>
      <c r="AI559" s="2">
        <v>0.5</v>
      </c>
      <c r="AJ559" s="2" t="str" cm="1">
        <f t="array" ref="AJ559">_xlfn.IFS(AI559&lt;=0, "No Profit", AI559&lt;=0.16,"Low Profit",AI559&lt;=0.32,"Medium Profit",AI559&gt;0.32,"High Profit")</f>
        <v>High Profit</v>
      </c>
      <c r="AK559" s="2">
        <v>1</v>
      </c>
      <c r="AL559" s="2">
        <v>59.99</v>
      </c>
      <c r="AM559" s="2">
        <v>59.39</v>
      </c>
      <c r="AN559" s="2">
        <v>29.7</v>
      </c>
      <c r="AO559" s="2" t="s">
        <v>1717</v>
      </c>
      <c r="AP559" s="2" t="s">
        <v>2612</v>
      </c>
      <c r="AQ559" s="2" t="s">
        <v>80</v>
      </c>
      <c r="AR559" s="2" t="s">
        <v>81</v>
      </c>
      <c r="AS559" s="2">
        <v>365</v>
      </c>
      <c r="AT559" s="2">
        <v>17</v>
      </c>
      <c r="AU559" s="2" t="s">
        <v>421</v>
      </c>
      <c r="AV559" s="2">
        <v>59.99</v>
      </c>
      <c r="AW559" s="2">
        <v>0</v>
      </c>
      <c r="AX559" s="3">
        <v>42654.748611111114</v>
      </c>
      <c r="AY559" s="2" t="s">
        <v>162</v>
      </c>
      <c r="AZ559" s="4">
        <v>42501</v>
      </c>
      <c r="BA559" s="5">
        <v>0.74861111111111112</v>
      </c>
      <c r="BB559" s="2">
        <v>2016</v>
      </c>
      <c r="BC559" s="2" t="s">
        <v>443</v>
      </c>
      <c r="BD559" s="2">
        <v>11</v>
      </c>
      <c r="BE559" s="4">
        <v>42654</v>
      </c>
      <c r="BF559" s="5">
        <v>0.74861111111111112</v>
      </c>
      <c r="BG559" s="2" t="str" cm="1">
        <f t="array" ref="BG559">_xlfn.IFS(BF559&lt;TIMEVALUE("06:00"),"Night", BF559&gt;=TIMEVALUE("21:00"),"Night",BF559&gt;=TIMEVALUE("17:00"),"Evening",BF559&gt;=TIMEVALUE("12:00"),"Afternoon", BF559&gt;=TIMEVALUE("06:00"),"Morning")</f>
        <v>Evening</v>
      </c>
      <c r="BH559" s="2">
        <v>2016</v>
      </c>
      <c r="BI559" s="2" t="s">
        <v>434</v>
      </c>
      <c r="BJ559" s="2">
        <v>11</v>
      </c>
    </row>
    <row r="560" spans="1:62" x14ac:dyDescent="0.3">
      <c r="A560" s="2" t="s">
        <v>62</v>
      </c>
      <c r="B560" s="2">
        <v>3</v>
      </c>
      <c r="C560" s="2">
        <v>2</v>
      </c>
      <c r="D560" s="2">
        <v>114.22</v>
      </c>
      <c r="E560" s="2">
        <v>456.87</v>
      </c>
      <c r="F560" s="2" t="s">
        <v>87</v>
      </c>
      <c r="G560" s="2" t="s">
        <v>88</v>
      </c>
      <c r="H560" s="2">
        <v>66</v>
      </c>
      <c r="I560" s="2" t="s">
        <v>1400</v>
      </c>
      <c r="J560" s="2" t="s">
        <v>66</v>
      </c>
      <c r="K560" s="2" t="s">
        <v>67</v>
      </c>
      <c r="L560" s="2" t="s">
        <v>2614</v>
      </c>
      <c r="M560" s="2">
        <v>14770</v>
      </c>
      <c r="N560" s="2" t="s">
        <v>112</v>
      </c>
      <c r="O560" s="2" t="s">
        <v>70</v>
      </c>
      <c r="P560" s="2" t="s">
        <v>71</v>
      </c>
      <c r="Q560" s="2" t="s">
        <v>2615</v>
      </c>
      <c r="R560" s="2">
        <v>725</v>
      </c>
      <c r="S560" s="2">
        <v>4</v>
      </c>
      <c r="T560" s="2" t="s">
        <v>417</v>
      </c>
      <c r="U560" s="2">
        <v>18.253478999999999</v>
      </c>
      <c r="V560" s="2">
        <v>-66.037048299999995</v>
      </c>
      <c r="W560" s="2" t="s">
        <v>528</v>
      </c>
      <c r="X560" s="2" t="s">
        <v>946</v>
      </c>
      <c r="Y560" s="2" t="s">
        <v>557</v>
      </c>
      <c r="Z560" s="2">
        <v>14770</v>
      </c>
      <c r="AA560" s="3">
        <v>42866.588888888888</v>
      </c>
      <c r="AB560" s="2">
        <v>71217</v>
      </c>
      <c r="AC560" s="2">
        <v>1353</v>
      </c>
      <c r="AD560" s="2">
        <v>4.6100000000000003</v>
      </c>
      <c r="AE560" s="2">
        <v>0.01</v>
      </c>
      <c r="AF560" s="2" t="str" cm="1">
        <f t="array" ref="AF560">_xlfn.IFS(AE560=0, "No Discount ", AE560&lt;=0.08,"Low Discount", AE560&lt;=0.16,"Medium Discount", AE560&gt;0.16, "High Discount")</f>
        <v>Low Discount</v>
      </c>
      <c r="AG560" s="2">
        <v>174532</v>
      </c>
      <c r="AH560" s="2">
        <v>461.48</v>
      </c>
      <c r="AI560" s="2">
        <v>0.25</v>
      </c>
      <c r="AJ560" s="2" t="str" cm="1">
        <f t="array" ref="AJ560">_xlfn.IFS(AI560&lt;=0, "No Profit", AI560&lt;=0.16,"Low Profit",AI560&lt;=0.32,"Medium Profit",AI560&gt;0.32,"High Profit")</f>
        <v>Medium Profit</v>
      </c>
      <c r="AK560" s="2">
        <v>1</v>
      </c>
      <c r="AL560" s="2">
        <v>461.48</v>
      </c>
      <c r="AM560" s="2">
        <v>456.87</v>
      </c>
      <c r="AN560" s="2">
        <v>114.22</v>
      </c>
      <c r="AO560" s="2" t="s">
        <v>558</v>
      </c>
      <c r="AP560" s="2" t="s">
        <v>559</v>
      </c>
      <c r="AQ560" s="2" t="s">
        <v>80</v>
      </c>
      <c r="AR560" s="2" t="s">
        <v>81</v>
      </c>
      <c r="AS560" s="2">
        <v>1353</v>
      </c>
      <c r="AT560" s="2">
        <v>66</v>
      </c>
      <c r="AU560" s="2" t="s">
        <v>1407</v>
      </c>
      <c r="AV560" s="2">
        <v>461.48</v>
      </c>
      <c r="AW560" s="2">
        <v>0</v>
      </c>
      <c r="AX560" s="3">
        <v>42958.588888888888</v>
      </c>
      <c r="AY560" s="2" t="s">
        <v>162</v>
      </c>
      <c r="AZ560" s="4">
        <v>42866</v>
      </c>
      <c r="BA560" s="5">
        <v>0.58888888888888891</v>
      </c>
      <c r="BB560" s="2">
        <v>2017</v>
      </c>
      <c r="BC560" s="2" t="s">
        <v>443</v>
      </c>
      <c r="BD560" s="2">
        <v>11</v>
      </c>
      <c r="BE560" s="4">
        <v>42958</v>
      </c>
      <c r="BF560" s="5">
        <v>0.58888888888888891</v>
      </c>
      <c r="BG560" s="2" t="str" cm="1">
        <f t="array" ref="BG560">_xlfn.IFS(BF560&lt;TIMEVALUE("06:00"),"Night", BF560&gt;=TIMEVALUE("21:00"),"Night",BF560&gt;=TIMEVALUE("17:00"),"Evening",BF560&gt;=TIMEVALUE("12:00"),"Afternoon", BF560&gt;=TIMEVALUE("06:00"),"Morning")</f>
        <v>Afternoon</v>
      </c>
      <c r="BH560" s="2">
        <v>2017</v>
      </c>
      <c r="BI560" s="2" t="s">
        <v>482</v>
      </c>
      <c r="BJ560" s="2">
        <v>11</v>
      </c>
    </row>
    <row r="561" spans="1:62" x14ac:dyDescent="0.3">
      <c r="A561" s="2" t="s">
        <v>62</v>
      </c>
      <c r="B561" s="2">
        <v>3</v>
      </c>
      <c r="C561" s="2">
        <v>2</v>
      </c>
      <c r="D561" s="2">
        <v>61.77</v>
      </c>
      <c r="E561" s="2">
        <v>128.69</v>
      </c>
      <c r="F561" s="2" t="s">
        <v>87</v>
      </c>
      <c r="G561" s="2" t="s">
        <v>88</v>
      </c>
      <c r="H561" s="2">
        <v>18</v>
      </c>
      <c r="I561" s="2" t="s">
        <v>863</v>
      </c>
      <c r="J561" s="2" t="s">
        <v>66</v>
      </c>
      <c r="K561" s="2" t="s">
        <v>67</v>
      </c>
      <c r="L561" s="2" t="s">
        <v>2616</v>
      </c>
      <c r="M561" s="2">
        <v>1962</v>
      </c>
      <c r="N561" s="2" t="s">
        <v>425</v>
      </c>
      <c r="O561" s="2" t="s">
        <v>70</v>
      </c>
      <c r="P561" s="2" t="s">
        <v>71</v>
      </c>
      <c r="Q561" s="2" t="s">
        <v>2617</v>
      </c>
      <c r="R561" s="2">
        <v>725</v>
      </c>
      <c r="S561" s="2">
        <v>4</v>
      </c>
      <c r="T561" s="2" t="s">
        <v>417</v>
      </c>
      <c r="U561" s="2">
        <v>18.264230699999999</v>
      </c>
      <c r="V561" s="2">
        <v>-66.370582600000006</v>
      </c>
      <c r="W561" s="2" t="s">
        <v>528</v>
      </c>
      <c r="X561" s="2" t="s">
        <v>2618</v>
      </c>
      <c r="Y561" s="2" t="s">
        <v>557</v>
      </c>
      <c r="Z561" s="2">
        <v>1962</v>
      </c>
      <c r="AA561" s="2" t="s">
        <v>2619</v>
      </c>
      <c r="AB561" s="2">
        <v>63972</v>
      </c>
      <c r="AC561" s="2">
        <v>403</v>
      </c>
      <c r="AD561" s="2">
        <v>1.3</v>
      </c>
      <c r="AE561" s="2">
        <v>0.01</v>
      </c>
      <c r="AF561" s="2" t="str" cm="1">
        <f t="array" ref="AF561">_xlfn.IFS(AE561=0, "No Discount ", AE561&lt;=0.08,"Low Discount", AE561&lt;=0.16,"Medium Discount", AE561&gt;0.16, "High Discount")</f>
        <v>Low Discount</v>
      </c>
      <c r="AG561" s="2">
        <v>159939</v>
      </c>
      <c r="AH561" s="2">
        <v>129.99</v>
      </c>
      <c r="AI561" s="2">
        <v>0.48</v>
      </c>
      <c r="AJ561" s="2" t="str" cm="1">
        <f t="array" ref="AJ561">_xlfn.IFS(AI561&lt;=0, "No Profit", AI561&lt;=0.16,"Low Profit",AI561&lt;=0.32,"Medium Profit",AI561&gt;0.32,"High Profit")</f>
        <v>High Profit</v>
      </c>
      <c r="AK561" s="2">
        <v>1</v>
      </c>
      <c r="AL561" s="2">
        <v>129.99</v>
      </c>
      <c r="AM561" s="2">
        <v>128.69</v>
      </c>
      <c r="AN561" s="2">
        <v>61.77</v>
      </c>
      <c r="AO561" s="2" t="s">
        <v>558</v>
      </c>
      <c r="AP561" s="2" t="s">
        <v>559</v>
      </c>
      <c r="AQ561" s="2" t="s">
        <v>80</v>
      </c>
      <c r="AR561" s="2" t="s">
        <v>81</v>
      </c>
      <c r="AS561" s="2">
        <v>403</v>
      </c>
      <c r="AT561" s="2">
        <v>18</v>
      </c>
      <c r="AU561" s="2" t="s">
        <v>869</v>
      </c>
      <c r="AV561" s="2">
        <v>129.99</v>
      </c>
      <c r="AW561" s="2">
        <v>0</v>
      </c>
      <c r="AX561" s="2" t="s">
        <v>2620</v>
      </c>
      <c r="AY561" s="2" t="s">
        <v>162</v>
      </c>
      <c r="AZ561" s="4">
        <v>42938</v>
      </c>
      <c r="BA561" s="5">
        <v>0.82847222222222228</v>
      </c>
      <c r="BB561" s="2">
        <v>2017</v>
      </c>
      <c r="BC561" s="2" t="s">
        <v>533</v>
      </c>
      <c r="BD561" s="2">
        <v>22</v>
      </c>
      <c r="BE561" s="4">
        <v>42941</v>
      </c>
      <c r="BF561" s="5">
        <v>0.82847222222222228</v>
      </c>
      <c r="BG561" s="2" t="str" cm="1">
        <f t="array" ref="BG561">_xlfn.IFS(BF561&lt;TIMEVALUE("06:00"),"Night", BF561&gt;=TIMEVALUE("21:00"),"Night",BF561&gt;=TIMEVALUE("17:00"),"Evening",BF561&gt;=TIMEVALUE("12:00"),"Afternoon", BF561&gt;=TIMEVALUE("06:00"),"Morning")</f>
        <v>Evening</v>
      </c>
      <c r="BH561" s="2">
        <v>2017</v>
      </c>
      <c r="BI561" s="2" t="s">
        <v>533</v>
      </c>
      <c r="BJ561" s="2">
        <v>25</v>
      </c>
    </row>
    <row r="562" spans="1:62" x14ac:dyDescent="0.3">
      <c r="A562" s="2" t="s">
        <v>62</v>
      </c>
      <c r="B562" s="2">
        <v>6</v>
      </c>
      <c r="C562" s="2">
        <v>2</v>
      </c>
      <c r="D562" s="2">
        <v>16.73</v>
      </c>
      <c r="E562" s="2">
        <v>128.69</v>
      </c>
      <c r="F562" s="2" t="s">
        <v>87</v>
      </c>
      <c r="G562" s="2" t="s">
        <v>88</v>
      </c>
      <c r="H562" s="2">
        <v>18</v>
      </c>
      <c r="I562" s="2" t="s">
        <v>863</v>
      </c>
      <c r="J562" s="2" t="s">
        <v>66</v>
      </c>
      <c r="K562" s="2" t="s">
        <v>67</v>
      </c>
      <c r="L562" s="2" t="s">
        <v>2621</v>
      </c>
      <c r="M562" s="2">
        <v>7175</v>
      </c>
      <c r="N562" s="2" t="s">
        <v>2622</v>
      </c>
      <c r="O562" s="2" t="s">
        <v>70</v>
      </c>
      <c r="P562" s="2" t="s">
        <v>71</v>
      </c>
      <c r="Q562" s="2" t="s">
        <v>2623</v>
      </c>
      <c r="R562" s="2">
        <v>725</v>
      </c>
      <c r="S562" s="2">
        <v>4</v>
      </c>
      <c r="T562" s="2" t="s">
        <v>417</v>
      </c>
      <c r="U562" s="2">
        <v>18.262298600000001</v>
      </c>
      <c r="V562" s="2">
        <v>-66.370575000000002</v>
      </c>
      <c r="W562" s="2" t="s">
        <v>528</v>
      </c>
      <c r="X562" s="2" t="s">
        <v>2624</v>
      </c>
      <c r="Y562" s="2" t="s">
        <v>557</v>
      </c>
      <c r="Z562" s="2">
        <v>7175</v>
      </c>
      <c r="AA562" s="3">
        <v>42226.260416666664</v>
      </c>
      <c r="AB562" s="2">
        <v>19200</v>
      </c>
      <c r="AC562" s="2">
        <v>403</v>
      </c>
      <c r="AD562" s="2">
        <v>1.3</v>
      </c>
      <c r="AE562" s="2">
        <v>0.01</v>
      </c>
      <c r="AF562" s="2" t="str" cm="1">
        <f t="array" ref="AF562">_xlfn.IFS(AE562=0, "No Discount ", AE562&lt;=0.08,"Low Discount", AE562&lt;=0.16,"Medium Discount", AE562&gt;0.16, "High Discount")</f>
        <v>Low Discount</v>
      </c>
      <c r="AG562" s="2">
        <v>47958</v>
      </c>
      <c r="AH562" s="2">
        <v>129.99</v>
      </c>
      <c r="AI562" s="2">
        <v>0.13</v>
      </c>
      <c r="AJ562" s="2" t="str" cm="1">
        <f t="array" ref="AJ562">_xlfn.IFS(AI562&lt;=0, "No Profit", AI562&lt;=0.16,"Low Profit",AI562&lt;=0.32,"Medium Profit",AI562&gt;0.32,"High Profit")</f>
        <v>Low Profit</v>
      </c>
      <c r="AK562" s="2">
        <v>1</v>
      </c>
      <c r="AL562" s="2">
        <v>129.99</v>
      </c>
      <c r="AM562" s="2">
        <v>128.69</v>
      </c>
      <c r="AN562" s="2">
        <v>16.73</v>
      </c>
      <c r="AO562" s="2" t="s">
        <v>558</v>
      </c>
      <c r="AP562" s="2" t="s">
        <v>559</v>
      </c>
      <c r="AQ562" s="2" t="s">
        <v>80</v>
      </c>
      <c r="AR562" s="2" t="s">
        <v>81</v>
      </c>
      <c r="AS562" s="2">
        <v>403</v>
      </c>
      <c r="AT562" s="2">
        <v>18</v>
      </c>
      <c r="AU562" s="2" t="s">
        <v>869</v>
      </c>
      <c r="AV562" s="2">
        <v>129.99</v>
      </c>
      <c r="AW562" s="2">
        <v>0</v>
      </c>
      <c r="AX562" s="2" t="s">
        <v>2625</v>
      </c>
      <c r="AY562" s="2" t="s">
        <v>162</v>
      </c>
      <c r="AZ562" s="4">
        <v>42226</v>
      </c>
      <c r="BA562" s="5">
        <v>0.26041666666666669</v>
      </c>
      <c r="BB562" s="2">
        <v>2015</v>
      </c>
      <c r="BC562" s="2" t="s">
        <v>482</v>
      </c>
      <c r="BD562" s="2">
        <v>10</v>
      </c>
      <c r="BE562" s="4">
        <v>42291</v>
      </c>
      <c r="BF562" s="5">
        <v>0.26041666666666669</v>
      </c>
      <c r="BG562" s="2" t="str" cm="1">
        <f t="array" ref="BG562">_xlfn.IFS(BF562&lt;TIMEVALUE("06:00"),"Night", BF562&gt;=TIMEVALUE("21:00"),"Night",BF562&gt;=TIMEVALUE("17:00"),"Evening",BF562&gt;=TIMEVALUE("12:00"),"Afternoon", BF562&gt;=TIMEVALUE("06:00"),"Morning")</f>
        <v>Morning</v>
      </c>
      <c r="BH562" s="2">
        <v>2015</v>
      </c>
      <c r="BI562" s="2" t="s">
        <v>434</v>
      </c>
      <c r="BJ562" s="2">
        <v>14</v>
      </c>
    </row>
    <row r="563" spans="1:62" x14ac:dyDescent="0.3">
      <c r="A563" s="2" t="s">
        <v>62</v>
      </c>
      <c r="B563" s="2">
        <v>5</v>
      </c>
      <c r="C563" s="2">
        <v>2</v>
      </c>
      <c r="D563" s="2">
        <v>16.73</v>
      </c>
      <c r="E563" s="2">
        <v>128.69</v>
      </c>
      <c r="F563" s="2" t="s">
        <v>87</v>
      </c>
      <c r="G563" s="2" t="s">
        <v>88</v>
      </c>
      <c r="H563" s="2">
        <v>18</v>
      </c>
      <c r="I563" s="2" t="s">
        <v>863</v>
      </c>
      <c r="J563" s="2" t="s">
        <v>66</v>
      </c>
      <c r="K563" s="2" t="s">
        <v>67</v>
      </c>
      <c r="L563" s="2" t="s">
        <v>553</v>
      </c>
      <c r="M563" s="2">
        <v>1222</v>
      </c>
      <c r="N563" s="2" t="s">
        <v>1289</v>
      </c>
      <c r="O563" s="2" t="s">
        <v>70</v>
      </c>
      <c r="P563" s="2" t="s">
        <v>71</v>
      </c>
      <c r="Q563" s="2" t="s">
        <v>2626</v>
      </c>
      <c r="R563" s="2">
        <v>725</v>
      </c>
      <c r="S563" s="2">
        <v>4</v>
      </c>
      <c r="T563" s="2" t="s">
        <v>417</v>
      </c>
      <c r="U563" s="2">
        <v>18.235555699999999</v>
      </c>
      <c r="V563" s="2">
        <v>-66.370513900000006</v>
      </c>
      <c r="W563" s="2" t="s">
        <v>528</v>
      </c>
      <c r="X563" s="2" t="s">
        <v>2627</v>
      </c>
      <c r="Y563" s="2" t="s">
        <v>557</v>
      </c>
      <c r="Z563" s="2">
        <v>1222</v>
      </c>
      <c r="AA563" s="2" t="s">
        <v>2628</v>
      </c>
      <c r="AB563" s="2">
        <v>18009</v>
      </c>
      <c r="AC563" s="2">
        <v>403</v>
      </c>
      <c r="AD563" s="2">
        <v>1.3</v>
      </c>
      <c r="AE563" s="2">
        <v>0.01</v>
      </c>
      <c r="AF563" s="2" t="str" cm="1">
        <f t="array" ref="AF563">_xlfn.IFS(AE563=0, "No Discount ", AE563&lt;=0.08,"Low Discount", AE563&lt;=0.16,"Medium Discount", AE563&gt;0.16, "High Discount")</f>
        <v>Low Discount</v>
      </c>
      <c r="AG563" s="2">
        <v>45004</v>
      </c>
      <c r="AH563" s="2">
        <v>129.99</v>
      </c>
      <c r="AI563" s="2">
        <v>0.13</v>
      </c>
      <c r="AJ563" s="2" t="str" cm="1">
        <f t="array" ref="AJ563">_xlfn.IFS(AI563&lt;=0, "No Profit", AI563&lt;=0.16,"Low Profit",AI563&lt;=0.32,"Medium Profit",AI563&gt;0.32,"High Profit")</f>
        <v>Low Profit</v>
      </c>
      <c r="AK563" s="2">
        <v>1</v>
      </c>
      <c r="AL563" s="2">
        <v>129.99</v>
      </c>
      <c r="AM563" s="2">
        <v>128.69</v>
      </c>
      <c r="AN563" s="2">
        <v>16.73</v>
      </c>
      <c r="AO563" s="2" t="s">
        <v>558</v>
      </c>
      <c r="AP563" s="2" t="s">
        <v>559</v>
      </c>
      <c r="AQ563" s="2" t="s">
        <v>80</v>
      </c>
      <c r="AR563" s="2" t="s">
        <v>81</v>
      </c>
      <c r="AS563" s="2">
        <v>403</v>
      </c>
      <c r="AT563" s="2">
        <v>18</v>
      </c>
      <c r="AU563" s="2" t="s">
        <v>869</v>
      </c>
      <c r="AV563" s="2">
        <v>129.99</v>
      </c>
      <c r="AW563" s="2">
        <v>0</v>
      </c>
      <c r="AX563" s="2" t="s">
        <v>2629</v>
      </c>
      <c r="AY563" s="2" t="s">
        <v>162</v>
      </c>
      <c r="AZ563" s="4">
        <v>42267</v>
      </c>
      <c r="BA563" s="5">
        <v>0.875</v>
      </c>
      <c r="BB563" s="2">
        <v>2015</v>
      </c>
      <c r="BC563" s="2" t="s">
        <v>552</v>
      </c>
      <c r="BD563" s="2">
        <v>20</v>
      </c>
      <c r="BE563" s="4">
        <v>42272</v>
      </c>
      <c r="BF563" s="5">
        <v>0.875</v>
      </c>
      <c r="BG563" s="2" t="str" cm="1">
        <f t="array" ref="BG563">_xlfn.IFS(BF563&lt;TIMEVALUE("06:00"),"Night", BF563&gt;=TIMEVALUE("21:00"),"Night",BF563&gt;=TIMEVALUE("17:00"),"Evening",BF563&gt;=TIMEVALUE("12:00"),"Afternoon", BF563&gt;=TIMEVALUE("06:00"),"Morning")</f>
        <v>Night</v>
      </c>
      <c r="BH563" s="2">
        <v>2015</v>
      </c>
      <c r="BI563" s="2" t="s">
        <v>552</v>
      </c>
      <c r="BJ563" s="2">
        <v>25</v>
      </c>
    </row>
    <row r="564" spans="1:62" x14ac:dyDescent="0.3">
      <c r="A564" s="2" t="s">
        <v>62</v>
      </c>
      <c r="B564" s="2">
        <v>2</v>
      </c>
      <c r="C564" s="2">
        <v>2</v>
      </c>
      <c r="D564" s="2">
        <v>-11.07</v>
      </c>
      <c r="E564" s="2">
        <v>128.69</v>
      </c>
      <c r="F564" s="2" t="s">
        <v>100</v>
      </c>
      <c r="G564" s="2" t="s">
        <v>64</v>
      </c>
      <c r="H564" s="2">
        <v>18</v>
      </c>
      <c r="I564" s="2" t="s">
        <v>863</v>
      </c>
      <c r="J564" s="2" t="s">
        <v>66</v>
      </c>
      <c r="K564" s="2" t="s">
        <v>67</v>
      </c>
      <c r="L564" s="2" t="s">
        <v>2630</v>
      </c>
      <c r="M564" s="2">
        <v>487</v>
      </c>
      <c r="N564" s="2" t="s">
        <v>1884</v>
      </c>
      <c r="O564" s="2" t="s">
        <v>70</v>
      </c>
      <c r="P564" s="2" t="s">
        <v>71</v>
      </c>
      <c r="Q564" s="2" t="s">
        <v>2631</v>
      </c>
      <c r="R564" s="2">
        <v>725</v>
      </c>
      <c r="S564" s="2">
        <v>4</v>
      </c>
      <c r="T564" s="2" t="s">
        <v>417</v>
      </c>
      <c r="U564" s="2">
        <v>18.3541946</v>
      </c>
      <c r="V564" s="2">
        <v>-66.071296700000005</v>
      </c>
      <c r="W564" s="2" t="s">
        <v>528</v>
      </c>
      <c r="X564" s="2" t="s">
        <v>2632</v>
      </c>
      <c r="Y564" s="2" t="s">
        <v>2589</v>
      </c>
      <c r="Z564" s="2">
        <v>487</v>
      </c>
      <c r="AA564" s="3">
        <v>42222.092361111114</v>
      </c>
      <c r="AB564" s="2">
        <v>10831</v>
      </c>
      <c r="AC564" s="2">
        <v>403</v>
      </c>
      <c r="AD564" s="2">
        <v>1.3</v>
      </c>
      <c r="AE564" s="2">
        <v>0.01</v>
      </c>
      <c r="AF564" s="2" t="str" cm="1">
        <f t="array" ref="AF564">_xlfn.IFS(AE564=0, "No Discount ", AE564&lt;=0.08,"Low Discount", AE564&lt;=0.16,"Medium Discount", AE564&gt;0.16, "High Discount")</f>
        <v>Low Discount</v>
      </c>
      <c r="AG564" s="2">
        <v>27107</v>
      </c>
      <c r="AH564" s="2">
        <v>129.99</v>
      </c>
      <c r="AI564" s="2">
        <v>-0.09</v>
      </c>
      <c r="AJ564" s="2" t="str" cm="1">
        <f t="array" ref="AJ564">_xlfn.IFS(AI564&lt;=0, "No Profit", AI564&lt;=0.16,"Low Profit",AI564&lt;=0.32,"Medium Profit",AI564&gt;0.32,"High Profit")</f>
        <v>No Profit</v>
      </c>
      <c r="AK564" s="2">
        <v>1</v>
      </c>
      <c r="AL564" s="2">
        <v>129.99</v>
      </c>
      <c r="AM564" s="2">
        <v>128.69</v>
      </c>
      <c r="AN564" s="2">
        <v>-11.07</v>
      </c>
      <c r="AO564" s="2" t="s">
        <v>558</v>
      </c>
      <c r="AP564" s="2" t="s">
        <v>2633</v>
      </c>
      <c r="AQ564" s="2" t="s">
        <v>80</v>
      </c>
      <c r="AR564" s="2" t="s">
        <v>81</v>
      </c>
      <c r="AS564" s="2">
        <v>403</v>
      </c>
      <c r="AT564" s="2">
        <v>18</v>
      </c>
      <c r="AU564" s="2" t="s">
        <v>869</v>
      </c>
      <c r="AV564" s="2">
        <v>129.99</v>
      </c>
      <c r="AW564" s="2">
        <v>0</v>
      </c>
      <c r="AX564" s="3">
        <v>42283.092361111114</v>
      </c>
      <c r="AY564" s="2" t="s">
        <v>162</v>
      </c>
      <c r="AZ564" s="4">
        <v>42222</v>
      </c>
      <c r="BA564" s="5">
        <v>9.2361111111111116E-2</v>
      </c>
      <c r="BB564" s="2">
        <v>2015</v>
      </c>
      <c r="BC564" s="2" t="s">
        <v>482</v>
      </c>
      <c r="BD564" s="2">
        <v>6</v>
      </c>
      <c r="BE564" s="4">
        <v>42283</v>
      </c>
      <c r="BF564" s="5">
        <v>9.2361111111111116E-2</v>
      </c>
      <c r="BG564" s="2" t="str" cm="1">
        <f t="array" ref="BG564">_xlfn.IFS(BF564&lt;TIMEVALUE("06:00"),"Night", BF564&gt;=TIMEVALUE("21:00"),"Night",BF564&gt;=TIMEVALUE("17:00"),"Evening",BF564&gt;=TIMEVALUE("12:00"),"Afternoon", BF564&gt;=TIMEVALUE("06:00"),"Morning")</f>
        <v>Night</v>
      </c>
      <c r="BH564" s="2">
        <v>2015</v>
      </c>
      <c r="BI564" s="2" t="s">
        <v>434</v>
      </c>
      <c r="BJ564" s="2">
        <v>6</v>
      </c>
    </row>
    <row r="565" spans="1:62" x14ac:dyDescent="0.3">
      <c r="A565" s="2" t="s">
        <v>62</v>
      </c>
      <c r="B565" s="2">
        <v>3</v>
      </c>
      <c r="C565" s="2">
        <v>2</v>
      </c>
      <c r="D565" s="2">
        <v>-90.08</v>
      </c>
      <c r="E565" s="2">
        <v>128.69</v>
      </c>
      <c r="F565" s="2" t="s">
        <v>87</v>
      </c>
      <c r="G565" s="2" t="s">
        <v>88</v>
      </c>
      <c r="H565" s="2">
        <v>18</v>
      </c>
      <c r="I565" s="2" t="s">
        <v>863</v>
      </c>
      <c r="J565" s="2" t="s">
        <v>66</v>
      </c>
      <c r="K565" s="2" t="s">
        <v>67</v>
      </c>
      <c r="L565" s="2" t="s">
        <v>414</v>
      </c>
      <c r="M565" s="2">
        <v>2217</v>
      </c>
      <c r="N565" s="2" t="s">
        <v>2634</v>
      </c>
      <c r="O565" s="2" t="s">
        <v>70</v>
      </c>
      <c r="P565" s="2" t="s">
        <v>71</v>
      </c>
      <c r="Q565" s="2" t="s">
        <v>2635</v>
      </c>
      <c r="R565" s="2">
        <v>725</v>
      </c>
      <c r="S565" s="2">
        <v>4</v>
      </c>
      <c r="T565" s="2" t="s">
        <v>417</v>
      </c>
      <c r="U565" s="2">
        <v>18.264285999999998</v>
      </c>
      <c r="V565" s="2">
        <v>-66.370575000000002</v>
      </c>
      <c r="W565" s="2" t="s">
        <v>528</v>
      </c>
      <c r="X565" s="2" t="s">
        <v>2636</v>
      </c>
      <c r="Y565" s="2" t="s">
        <v>983</v>
      </c>
      <c r="Z565" s="2">
        <v>2217</v>
      </c>
      <c r="AA565" s="2" t="s">
        <v>2637</v>
      </c>
      <c r="AB565" s="2">
        <v>68107</v>
      </c>
      <c r="AC565" s="2">
        <v>403</v>
      </c>
      <c r="AD565" s="2">
        <v>1.3</v>
      </c>
      <c r="AE565" s="2">
        <v>0.01</v>
      </c>
      <c r="AF565" s="2" t="str" cm="1">
        <f t="array" ref="AF565">_xlfn.IFS(AE565=0, "No Discount ", AE565&lt;=0.08,"Low Discount", AE565&lt;=0.16,"Medium Discount", AE565&gt;0.16, "High Discount")</f>
        <v>Low Discount</v>
      </c>
      <c r="AG565" s="2">
        <v>170278</v>
      </c>
      <c r="AH565" s="2">
        <v>129.99</v>
      </c>
      <c r="AI565" s="2">
        <v>-0.7</v>
      </c>
      <c r="AJ565" s="2" t="str" cm="1">
        <f t="array" ref="AJ565">_xlfn.IFS(AI565&lt;=0, "No Profit", AI565&lt;=0.16,"Low Profit",AI565&lt;=0.32,"Medium Profit",AI565&gt;0.32,"High Profit")</f>
        <v>No Profit</v>
      </c>
      <c r="AK565" s="2">
        <v>1</v>
      </c>
      <c r="AL565" s="2">
        <v>129.99</v>
      </c>
      <c r="AM565" s="2">
        <v>128.69</v>
      </c>
      <c r="AN565" s="2">
        <v>-90.08</v>
      </c>
      <c r="AO565" s="2" t="s">
        <v>905</v>
      </c>
      <c r="AP565" s="2" t="s">
        <v>1063</v>
      </c>
      <c r="AQ565" s="2" t="s">
        <v>80</v>
      </c>
      <c r="AR565" s="2" t="s">
        <v>81</v>
      </c>
      <c r="AS565" s="2">
        <v>403</v>
      </c>
      <c r="AT565" s="2">
        <v>18</v>
      </c>
      <c r="AU565" s="2" t="s">
        <v>869</v>
      </c>
      <c r="AV565" s="2">
        <v>129.99</v>
      </c>
      <c r="AW565" s="2">
        <v>0</v>
      </c>
      <c r="AX565" s="2" t="s">
        <v>2638</v>
      </c>
      <c r="AY565" s="2" t="s">
        <v>162</v>
      </c>
      <c r="AZ565" s="4">
        <v>42999</v>
      </c>
      <c r="BA565" s="5">
        <v>0.18958333333333333</v>
      </c>
      <c r="BB565" s="2">
        <v>2017</v>
      </c>
      <c r="BC565" s="2" t="s">
        <v>552</v>
      </c>
      <c r="BD565" s="2">
        <v>21</v>
      </c>
      <c r="BE565" s="4">
        <v>43002</v>
      </c>
      <c r="BF565" s="5">
        <v>0.18958333333333333</v>
      </c>
      <c r="BG565" s="2" t="str" cm="1">
        <f t="array" ref="BG565">_xlfn.IFS(BF565&lt;TIMEVALUE("06:00"),"Night", BF565&gt;=TIMEVALUE("21:00"),"Night",BF565&gt;=TIMEVALUE("17:00"),"Evening",BF565&gt;=TIMEVALUE("12:00"),"Afternoon", BF565&gt;=TIMEVALUE("06:00"),"Morning")</f>
        <v>Night</v>
      </c>
      <c r="BH565" s="2">
        <v>2017</v>
      </c>
      <c r="BI565" s="2" t="s">
        <v>552</v>
      </c>
      <c r="BJ565" s="2">
        <v>24</v>
      </c>
    </row>
    <row r="566" spans="1:62" x14ac:dyDescent="0.3">
      <c r="A566" s="2" t="s">
        <v>62</v>
      </c>
      <c r="B566" s="2">
        <v>2</v>
      </c>
      <c r="C566" s="2">
        <v>2</v>
      </c>
      <c r="D566" s="2">
        <v>46.71</v>
      </c>
      <c r="E566" s="2">
        <v>128.69</v>
      </c>
      <c r="F566" s="2" t="s">
        <v>100</v>
      </c>
      <c r="G566" s="2" t="s">
        <v>64</v>
      </c>
      <c r="H566" s="2">
        <v>18</v>
      </c>
      <c r="I566" s="2" t="s">
        <v>863</v>
      </c>
      <c r="J566" s="2" t="s">
        <v>66</v>
      </c>
      <c r="K566" s="2" t="s">
        <v>67</v>
      </c>
      <c r="L566" s="2" t="s">
        <v>414</v>
      </c>
      <c r="M566" s="2">
        <v>2918</v>
      </c>
      <c r="N566" s="2" t="s">
        <v>2581</v>
      </c>
      <c r="O566" s="2" t="s">
        <v>70</v>
      </c>
      <c r="P566" s="2" t="s">
        <v>71</v>
      </c>
      <c r="Q566" s="2" t="s">
        <v>2582</v>
      </c>
      <c r="R566" s="2">
        <v>725</v>
      </c>
      <c r="S566" s="2">
        <v>4</v>
      </c>
      <c r="T566" s="2" t="s">
        <v>417</v>
      </c>
      <c r="U566" s="2">
        <v>18.207653100000002</v>
      </c>
      <c r="V566" s="2">
        <v>-66.370559700000001</v>
      </c>
      <c r="W566" s="2" t="s">
        <v>528</v>
      </c>
      <c r="X566" s="2" t="s">
        <v>2583</v>
      </c>
      <c r="Y566" s="2" t="s">
        <v>904</v>
      </c>
      <c r="Z566" s="2">
        <v>2918</v>
      </c>
      <c r="AA566" s="2" t="s">
        <v>2584</v>
      </c>
      <c r="AB566" s="2">
        <v>15421</v>
      </c>
      <c r="AC566" s="2">
        <v>403</v>
      </c>
      <c r="AD566" s="2">
        <v>1.3</v>
      </c>
      <c r="AE566" s="2">
        <v>0.01</v>
      </c>
      <c r="AF566" s="2" t="str" cm="1">
        <f t="array" ref="AF566">_xlfn.IFS(AE566=0, "No Discount ", AE566&lt;=0.08,"Low Discount", AE566&lt;=0.16,"Medium Discount", AE566&gt;0.16, "High Discount")</f>
        <v>Low Discount</v>
      </c>
      <c r="AG566" s="2">
        <v>38552</v>
      </c>
      <c r="AH566" s="2">
        <v>129.99</v>
      </c>
      <c r="AI566" s="2">
        <v>0.36</v>
      </c>
      <c r="AJ566" s="2" t="str" cm="1">
        <f t="array" ref="AJ566">_xlfn.IFS(AI566&lt;=0, "No Profit", AI566&lt;=0.16,"Low Profit",AI566&lt;=0.32,"Medium Profit",AI566&gt;0.32,"High Profit")</f>
        <v>High Profit</v>
      </c>
      <c r="AK566" s="2">
        <v>1</v>
      </c>
      <c r="AL566" s="2">
        <v>129.99</v>
      </c>
      <c r="AM566" s="2">
        <v>128.69</v>
      </c>
      <c r="AN566" s="2">
        <v>46.71</v>
      </c>
      <c r="AO566" s="2" t="s">
        <v>905</v>
      </c>
      <c r="AP566" s="2" t="s">
        <v>2585</v>
      </c>
      <c r="AQ566" s="2" t="s">
        <v>80</v>
      </c>
      <c r="AR566" s="2" t="s">
        <v>81</v>
      </c>
      <c r="AS566" s="2">
        <v>403</v>
      </c>
      <c r="AT566" s="2">
        <v>18</v>
      </c>
      <c r="AU566" s="2" t="s">
        <v>869</v>
      </c>
      <c r="AV566" s="2">
        <v>129.99</v>
      </c>
      <c r="AW566" s="2">
        <v>0</v>
      </c>
      <c r="AX566" s="2" t="s">
        <v>2586</v>
      </c>
      <c r="AY566" s="2" t="s">
        <v>162</v>
      </c>
      <c r="AZ566" s="4">
        <v>42230</v>
      </c>
      <c r="BA566" s="5">
        <v>9.583333333333334E-2</v>
      </c>
      <c r="BB566" s="2">
        <v>2015</v>
      </c>
      <c r="BC566" s="2" t="s">
        <v>482</v>
      </c>
      <c r="BD566" s="2">
        <v>14</v>
      </c>
      <c r="BE566" s="4">
        <v>42232</v>
      </c>
      <c r="BF566" s="5">
        <v>9.583333333333334E-2</v>
      </c>
      <c r="BG566" s="2" t="str" cm="1">
        <f t="array" ref="BG566">_xlfn.IFS(BF566&lt;TIMEVALUE("06:00"),"Night", BF566&gt;=TIMEVALUE("21:00"),"Night",BF566&gt;=TIMEVALUE("17:00"),"Evening",BF566&gt;=TIMEVALUE("12:00"),"Afternoon", BF566&gt;=TIMEVALUE("06:00"),"Morning")</f>
        <v>Night</v>
      </c>
      <c r="BH566" s="2">
        <v>2015</v>
      </c>
      <c r="BI566" s="2" t="s">
        <v>482</v>
      </c>
      <c r="BJ566" s="2">
        <v>16</v>
      </c>
    </row>
    <row r="567" spans="1:62" x14ac:dyDescent="0.3">
      <c r="A567" s="2" t="s">
        <v>62</v>
      </c>
      <c r="B567" s="2">
        <v>2</v>
      </c>
      <c r="C567" s="2">
        <v>2</v>
      </c>
      <c r="D567" s="2">
        <v>22.84</v>
      </c>
      <c r="E567" s="2">
        <v>456.87</v>
      </c>
      <c r="F567" s="2" t="s">
        <v>100</v>
      </c>
      <c r="G567" s="2" t="s">
        <v>64</v>
      </c>
      <c r="H567" s="2">
        <v>66</v>
      </c>
      <c r="I567" s="2" t="s">
        <v>1400</v>
      </c>
      <c r="J567" s="2" t="s">
        <v>66</v>
      </c>
      <c r="K567" s="2" t="s">
        <v>67</v>
      </c>
      <c r="L567" s="2" t="s">
        <v>2639</v>
      </c>
      <c r="M567" s="2">
        <v>14824</v>
      </c>
      <c r="N567" s="2" t="s">
        <v>588</v>
      </c>
      <c r="O567" s="2" t="s">
        <v>70</v>
      </c>
      <c r="P567" s="2" t="s">
        <v>71</v>
      </c>
      <c r="Q567" s="2" t="s">
        <v>2640</v>
      </c>
      <c r="R567" s="2">
        <v>725</v>
      </c>
      <c r="S567" s="2">
        <v>4</v>
      </c>
      <c r="T567" s="2" t="s">
        <v>417</v>
      </c>
      <c r="U567" s="2">
        <v>18.276353799999999</v>
      </c>
      <c r="V567" s="2">
        <v>-66.037048299999995</v>
      </c>
      <c r="W567" s="2" t="s">
        <v>528</v>
      </c>
      <c r="X567" s="2" t="s">
        <v>1784</v>
      </c>
      <c r="Y567" s="2" t="s">
        <v>536</v>
      </c>
      <c r="Z567" s="2">
        <v>14824</v>
      </c>
      <c r="AA567" s="3">
        <v>42897.377083333333</v>
      </c>
      <c r="AB567" s="2">
        <v>71271</v>
      </c>
      <c r="AC567" s="2">
        <v>1353</v>
      </c>
      <c r="AD567" s="2">
        <v>4.6100000000000003</v>
      </c>
      <c r="AE567" s="2">
        <v>0.01</v>
      </c>
      <c r="AF567" s="2" t="str" cm="1">
        <f t="array" ref="AF567">_xlfn.IFS(AE567=0, "No Discount ", AE567&lt;=0.08,"Low Discount", AE567&lt;=0.16,"Medium Discount", AE567&gt;0.16, "High Discount")</f>
        <v>Low Discount</v>
      </c>
      <c r="AG567" s="2">
        <v>174586</v>
      </c>
      <c r="AH567" s="2">
        <v>461.48</v>
      </c>
      <c r="AI567" s="2">
        <v>0.05</v>
      </c>
      <c r="AJ567" s="2" t="str" cm="1">
        <f t="array" ref="AJ567">_xlfn.IFS(AI567&lt;=0, "No Profit", AI567&lt;=0.16,"Low Profit",AI567&lt;=0.32,"Medium Profit",AI567&gt;0.32,"High Profit")</f>
        <v>Low Profit</v>
      </c>
      <c r="AK567" s="2">
        <v>1</v>
      </c>
      <c r="AL567" s="2">
        <v>461.48</v>
      </c>
      <c r="AM567" s="2">
        <v>456.87</v>
      </c>
      <c r="AN567" s="2">
        <v>22.84</v>
      </c>
      <c r="AO567" s="2" t="s">
        <v>531</v>
      </c>
      <c r="AP567" s="2" t="s">
        <v>538</v>
      </c>
      <c r="AQ567" s="2" t="s">
        <v>80</v>
      </c>
      <c r="AR567" s="2" t="s">
        <v>81</v>
      </c>
      <c r="AS567" s="2">
        <v>1353</v>
      </c>
      <c r="AT567" s="2">
        <v>66</v>
      </c>
      <c r="AU567" s="2" t="s">
        <v>1407</v>
      </c>
      <c r="AV567" s="2">
        <v>461.48</v>
      </c>
      <c r="AW567" s="2">
        <v>0</v>
      </c>
      <c r="AX567" s="3">
        <v>42958.377083333333</v>
      </c>
      <c r="AY567" s="2" t="s">
        <v>162</v>
      </c>
      <c r="AZ567" s="4">
        <v>42897</v>
      </c>
      <c r="BA567" s="5">
        <v>0.37708333333333333</v>
      </c>
      <c r="BB567" s="2">
        <v>2017</v>
      </c>
      <c r="BC567" s="2" t="s">
        <v>474</v>
      </c>
      <c r="BD567" s="2">
        <v>11</v>
      </c>
      <c r="BE567" s="4">
        <v>42958</v>
      </c>
      <c r="BF567" s="5">
        <v>0.37708333333333333</v>
      </c>
      <c r="BG567" s="2" t="str" cm="1">
        <f t="array" ref="BG567">_xlfn.IFS(BF567&lt;TIMEVALUE("06:00"),"Night", BF567&gt;=TIMEVALUE("21:00"),"Night",BF567&gt;=TIMEVALUE("17:00"),"Evening",BF567&gt;=TIMEVALUE("12:00"),"Afternoon", BF567&gt;=TIMEVALUE("06:00"),"Morning")</f>
        <v>Morning</v>
      </c>
      <c r="BH567" s="2">
        <v>2017</v>
      </c>
      <c r="BI567" s="2" t="s">
        <v>482</v>
      </c>
      <c r="BJ567" s="2">
        <v>11</v>
      </c>
    </row>
    <row r="568" spans="1:62" x14ac:dyDescent="0.3">
      <c r="A568" s="2" t="s">
        <v>62</v>
      </c>
      <c r="B568" s="2">
        <v>5</v>
      </c>
      <c r="C568" s="2">
        <v>2</v>
      </c>
      <c r="D568" s="2">
        <v>34.75</v>
      </c>
      <c r="E568" s="2">
        <v>128.69</v>
      </c>
      <c r="F568" s="2" t="s">
        <v>87</v>
      </c>
      <c r="G568" s="2" t="s">
        <v>88</v>
      </c>
      <c r="H568" s="2">
        <v>18</v>
      </c>
      <c r="I568" s="2" t="s">
        <v>863</v>
      </c>
      <c r="J568" s="2" t="s">
        <v>66</v>
      </c>
      <c r="K568" s="2" t="s">
        <v>67</v>
      </c>
      <c r="L568" s="2" t="s">
        <v>790</v>
      </c>
      <c r="M568" s="2">
        <v>778</v>
      </c>
      <c r="N568" s="2" t="s">
        <v>1055</v>
      </c>
      <c r="O568" s="2" t="s">
        <v>70</v>
      </c>
      <c r="P568" s="2" t="s">
        <v>71</v>
      </c>
      <c r="Q568" s="2" t="s">
        <v>1056</v>
      </c>
      <c r="R568" s="2">
        <v>725</v>
      </c>
      <c r="S568" s="2">
        <v>4</v>
      </c>
      <c r="T568" s="2" t="s">
        <v>417</v>
      </c>
      <c r="U568" s="2">
        <v>18.227573400000001</v>
      </c>
      <c r="V568" s="2">
        <v>-66.043708800000005</v>
      </c>
      <c r="W568" s="2" t="s">
        <v>528</v>
      </c>
      <c r="X568" s="2" t="s">
        <v>1057</v>
      </c>
      <c r="Y568" s="2" t="s">
        <v>536</v>
      </c>
      <c r="Z568" s="2">
        <v>778</v>
      </c>
      <c r="AA568" s="3">
        <v>42776.459027777775</v>
      </c>
      <c r="AB568" s="2">
        <v>68879</v>
      </c>
      <c r="AC568" s="2">
        <v>403</v>
      </c>
      <c r="AD568" s="2">
        <v>1.3</v>
      </c>
      <c r="AE568" s="2">
        <v>0.01</v>
      </c>
      <c r="AF568" s="2" t="str" cm="1">
        <f t="array" ref="AF568">_xlfn.IFS(AE568=0, "No Discount ", AE568&lt;=0.08,"Low Discount", AE568&lt;=0.16,"Medium Discount", AE568&gt;0.16, "High Discount")</f>
        <v>Low Discount</v>
      </c>
      <c r="AG568" s="2">
        <v>172186</v>
      </c>
      <c r="AH568" s="2">
        <v>129.99</v>
      </c>
      <c r="AI568" s="2">
        <v>0.27</v>
      </c>
      <c r="AJ568" s="2" t="str" cm="1">
        <f t="array" ref="AJ568">_xlfn.IFS(AI568&lt;=0, "No Profit", AI568&lt;=0.16,"Low Profit",AI568&lt;=0.32,"Medium Profit",AI568&gt;0.32,"High Profit")</f>
        <v>Medium Profit</v>
      </c>
      <c r="AK568" s="2">
        <v>1</v>
      </c>
      <c r="AL568" s="2">
        <v>129.99</v>
      </c>
      <c r="AM568" s="2">
        <v>128.69</v>
      </c>
      <c r="AN568" s="2">
        <v>34.75</v>
      </c>
      <c r="AO568" s="2" t="s">
        <v>531</v>
      </c>
      <c r="AP568" s="2" t="s">
        <v>538</v>
      </c>
      <c r="AQ568" s="2" t="s">
        <v>80</v>
      </c>
      <c r="AR568" s="2" t="s">
        <v>81</v>
      </c>
      <c r="AS568" s="2">
        <v>403</v>
      </c>
      <c r="AT568" s="2">
        <v>18</v>
      </c>
      <c r="AU568" s="2" t="s">
        <v>869</v>
      </c>
      <c r="AV568" s="2">
        <v>129.99</v>
      </c>
      <c r="AW568" s="2">
        <v>0</v>
      </c>
      <c r="AX568" s="3">
        <v>42926.459027777775</v>
      </c>
      <c r="AY568" s="2" t="s">
        <v>162</v>
      </c>
      <c r="AZ568" s="4">
        <v>42776</v>
      </c>
      <c r="BA568" s="5">
        <v>0.45902777777777776</v>
      </c>
      <c r="BB568" s="2">
        <v>2017</v>
      </c>
      <c r="BC568" s="2" t="s">
        <v>423</v>
      </c>
      <c r="BD568" s="2">
        <v>10</v>
      </c>
      <c r="BE568" s="4">
        <v>42926</v>
      </c>
      <c r="BF568" s="5">
        <v>0.45902777777777776</v>
      </c>
      <c r="BG568" s="2" t="str" cm="1">
        <f t="array" ref="BG568">_xlfn.IFS(BF568&lt;TIMEVALUE("06:00"),"Night", BF568&gt;=TIMEVALUE("21:00"),"Night",BF568&gt;=TIMEVALUE("17:00"),"Evening",BF568&gt;=TIMEVALUE("12:00"),"Afternoon", BF568&gt;=TIMEVALUE("06:00"),"Morning")</f>
        <v>Morning</v>
      </c>
      <c r="BH568" s="2">
        <v>2017</v>
      </c>
      <c r="BI568" s="2" t="s">
        <v>533</v>
      </c>
      <c r="BJ568" s="2">
        <v>10</v>
      </c>
    </row>
    <row r="569" spans="1:62" x14ac:dyDescent="0.3">
      <c r="A569" s="2" t="s">
        <v>62</v>
      </c>
      <c r="B569" s="2">
        <v>3</v>
      </c>
      <c r="C569" s="2">
        <v>2</v>
      </c>
      <c r="D569" s="2">
        <v>41.82</v>
      </c>
      <c r="E569" s="2">
        <v>128.69</v>
      </c>
      <c r="F569" s="2" t="s">
        <v>87</v>
      </c>
      <c r="G569" s="2" t="s">
        <v>88</v>
      </c>
      <c r="H569" s="2">
        <v>18</v>
      </c>
      <c r="I569" s="2" t="s">
        <v>863</v>
      </c>
      <c r="J569" s="2" t="s">
        <v>66</v>
      </c>
      <c r="K569" s="2" t="s">
        <v>67</v>
      </c>
      <c r="L569" s="2" t="s">
        <v>414</v>
      </c>
      <c r="M569" s="2">
        <v>2363</v>
      </c>
      <c r="N569" s="2" t="s">
        <v>2602</v>
      </c>
      <c r="O569" s="2" t="s">
        <v>70</v>
      </c>
      <c r="P569" s="2" t="s">
        <v>71</v>
      </c>
      <c r="Q569" s="2" t="s">
        <v>630</v>
      </c>
      <c r="R569" s="2">
        <v>725</v>
      </c>
      <c r="S569" s="2">
        <v>4</v>
      </c>
      <c r="T569" s="2" t="s">
        <v>417</v>
      </c>
      <c r="U569" s="2">
        <v>18.285018900000001</v>
      </c>
      <c r="V569" s="2">
        <v>-66.370605499999996</v>
      </c>
      <c r="W569" s="2" t="s">
        <v>528</v>
      </c>
      <c r="X569" s="2" t="s">
        <v>2603</v>
      </c>
      <c r="Y569" s="2" t="s">
        <v>536</v>
      </c>
      <c r="Z569" s="2">
        <v>2363</v>
      </c>
      <c r="AA569" s="2" t="s">
        <v>2604</v>
      </c>
      <c r="AB569" s="2">
        <v>65487</v>
      </c>
      <c r="AC569" s="2">
        <v>403</v>
      </c>
      <c r="AD569" s="2">
        <v>1.3</v>
      </c>
      <c r="AE569" s="2">
        <v>0.01</v>
      </c>
      <c r="AF569" s="2" t="str" cm="1">
        <f t="array" ref="AF569">_xlfn.IFS(AE569=0, "No Discount ", AE569&lt;=0.08,"Low Discount", AE569&lt;=0.16,"Medium Discount", AE569&gt;0.16, "High Discount")</f>
        <v>Low Discount</v>
      </c>
      <c r="AG569" s="2">
        <v>163673</v>
      </c>
      <c r="AH569" s="2">
        <v>129.99</v>
      </c>
      <c r="AI569" s="2">
        <v>0.33</v>
      </c>
      <c r="AJ569" s="2" t="str" cm="1">
        <f t="array" ref="AJ569">_xlfn.IFS(AI569&lt;=0, "No Profit", AI569&lt;=0.16,"Low Profit",AI569&lt;=0.32,"Medium Profit",AI569&gt;0.32,"High Profit")</f>
        <v>High Profit</v>
      </c>
      <c r="AK569" s="2">
        <v>1</v>
      </c>
      <c r="AL569" s="2">
        <v>129.99</v>
      </c>
      <c r="AM569" s="2">
        <v>128.69</v>
      </c>
      <c r="AN569" s="2">
        <v>41.82</v>
      </c>
      <c r="AO569" s="2" t="s">
        <v>531</v>
      </c>
      <c r="AP569" s="2" t="s">
        <v>1000</v>
      </c>
      <c r="AQ569" s="2" t="s">
        <v>80</v>
      </c>
      <c r="AR569" s="2" t="s">
        <v>81</v>
      </c>
      <c r="AS569" s="2">
        <v>403</v>
      </c>
      <c r="AT569" s="2">
        <v>18</v>
      </c>
      <c r="AU569" s="2" t="s">
        <v>869</v>
      </c>
      <c r="AV569" s="2">
        <v>129.99</v>
      </c>
      <c r="AW569" s="2">
        <v>0</v>
      </c>
      <c r="AX569" s="2" t="s">
        <v>2605</v>
      </c>
      <c r="AY569" s="2" t="s">
        <v>162</v>
      </c>
      <c r="AZ569" s="4">
        <v>42960</v>
      </c>
      <c r="BA569" s="5">
        <v>0.94374999999999998</v>
      </c>
      <c r="BB569" s="2">
        <v>2017</v>
      </c>
      <c r="BC569" s="2" t="s">
        <v>482</v>
      </c>
      <c r="BD569" s="2">
        <v>13</v>
      </c>
      <c r="BE569" s="4">
        <v>42963</v>
      </c>
      <c r="BF569" s="5">
        <v>0.94374999999999998</v>
      </c>
      <c r="BG569" s="2" t="str" cm="1">
        <f t="array" ref="BG569">_xlfn.IFS(BF569&lt;TIMEVALUE("06:00"),"Night", BF569&gt;=TIMEVALUE("21:00"),"Night",BF569&gt;=TIMEVALUE("17:00"),"Evening",BF569&gt;=TIMEVALUE("12:00"),"Afternoon", BF569&gt;=TIMEVALUE("06:00"),"Morning")</f>
        <v>Night</v>
      </c>
      <c r="BH569" s="2">
        <v>2017</v>
      </c>
      <c r="BI569" s="2" t="s">
        <v>482</v>
      </c>
      <c r="BJ569" s="2">
        <v>16</v>
      </c>
    </row>
    <row r="570" spans="1:62" x14ac:dyDescent="0.3">
      <c r="A570" s="2" t="s">
        <v>62</v>
      </c>
      <c r="B570" s="2">
        <v>4</v>
      </c>
      <c r="C570" s="2">
        <v>2</v>
      </c>
      <c r="D570" s="2">
        <v>34.75</v>
      </c>
      <c r="E570" s="2">
        <v>128.69</v>
      </c>
      <c r="F570" s="2" t="s">
        <v>87</v>
      </c>
      <c r="G570" s="2" t="s">
        <v>88</v>
      </c>
      <c r="H570" s="2">
        <v>18</v>
      </c>
      <c r="I570" s="2" t="s">
        <v>863</v>
      </c>
      <c r="J570" s="2" t="s">
        <v>2641</v>
      </c>
      <c r="K570" s="2" t="s">
        <v>67</v>
      </c>
      <c r="L570" s="2" t="s">
        <v>1760</v>
      </c>
      <c r="M570" s="2">
        <v>2078</v>
      </c>
      <c r="N570" s="2" t="s">
        <v>2109</v>
      </c>
      <c r="O570" s="2" t="s">
        <v>70</v>
      </c>
      <c r="P570" s="2" t="s">
        <v>71</v>
      </c>
      <c r="Q570" s="2" t="s">
        <v>2642</v>
      </c>
      <c r="R570" s="2">
        <v>921</v>
      </c>
      <c r="S570" s="2">
        <v>4</v>
      </c>
      <c r="T570" s="2" t="s">
        <v>417</v>
      </c>
      <c r="U570" s="2">
        <v>18.385969200000002</v>
      </c>
      <c r="V570" s="2">
        <v>-66.094009400000004</v>
      </c>
      <c r="W570" s="2" t="s">
        <v>528</v>
      </c>
      <c r="X570" s="2" t="s">
        <v>2643</v>
      </c>
      <c r="Y570" s="2" t="s">
        <v>530</v>
      </c>
      <c r="Z570" s="2">
        <v>2078</v>
      </c>
      <c r="AA570" s="3">
        <v>42133.459722222222</v>
      </c>
      <c r="AB570" s="2">
        <v>16953</v>
      </c>
      <c r="AC570" s="2">
        <v>403</v>
      </c>
      <c r="AD570" s="2">
        <v>1.3</v>
      </c>
      <c r="AE570" s="2">
        <v>0.01</v>
      </c>
      <c r="AF570" s="2" t="str" cm="1">
        <f t="array" ref="AF570">_xlfn.IFS(AE570=0, "No Discount ", AE570&lt;=0.08,"Low Discount", AE570&lt;=0.16,"Medium Discount", AE570&gt;0.16, "High Discount")</f>
        <v>Low Discount</v>
      </c>
      <c r="AG570" s="2">
        <v>42378</v>
      </c>
      <c r="AH570" s="2">
        <v>129.99</v>
      </c>
      <c r="AI570" s="2">
        <v>0.27</v>
      </c>
      <c r="AJ570" s="2" t="str" cm="1">
        <f t="array" ref="AJ570">_xlfn.IFS(AI570&lt;=0, "No Profit", AI570&lt;=0.16,"Low Profit",AI570&lt;=0.32,"Medium Profit",AI570&gt;0.32,"High Profit")</f>
        <v>Medium Profit</v>
      </c>
      <c r="AK570" s="2">
        <v>1</v>
      </c>
      <c r="AL570" s="2">
        <v>129.99</v>
      </c>
      <c r="AM570" s="2">
        <v>128.69</v>
      </c>
      <c r="AN570" s="2">
        <v>34.75</v>
      </c>
      <c r="AO570" s="2" t="s">
        <v>531</v>
      </c>
      <c r="AP570" s="2" t="s">
        <v>532</v>
      </c>
      <c r="AQ570" s="2" t="s">
        <v>80</v>
      </c>
      <c r="AR570" s="2" t="s">
        <v>81</v>
      </c>
      <c r="AS570" s="2">
        <v>403</v>
      </c>
      <c r="AT570" s="2">
        <v>18</v>
      </c>
      <c r="AU570" s="2" t="s">
        <v>869</v>
      </c>
      <c r="AV570" s="2">
        <v>129.99</v>
      </c>
      <c r="AW570" s="2">
        <v>0</v>
      </c>
      <c r="AX570" s="3">
        <v>42256.459722222222</v>
      </c>
      <c r="AY570" s="2" t="s">
        <v>162</v>
      </c>
      <c r="AZ570" s="4">
        <v>42133</v>
      </c>
      <c r="BA570" s="5">
        <v>0.4597222222222222</v>
      </c>
      <c r="BB570" s="2">
        <v>2015</v>
      </c>
      <c r="BC570" s="2" t="s">
        <v>443</v>
      </c>
      <c r="BD570" s="2">
        <v>9</v>
      </c>
      <c r="BE570" s="4">
        <v>42256</v>
      </c>
      <c r="BF570" s="5">
        <v>0.4597222222222222</v>
      </c>
      <c r="BG570" s="2" t="str" cm="1">
        <f t="array" ref="BG570">_xlfn.IFS(BF570&lt;TIMEVALUE("06:00"),"Night", BF570&gt;=TIMEVALUE("21:00"),"Night",BF570&gt;=TIMEVALUE("17:00"),"Evening",BF570&gt;=TIMEVALUE("12:00"),"Afternoon", BF570&gt;=TIMEVALUE("06:00"),"Morning")</f>
        <v>Morning</v>
      </c>
      <c r="BH570" s="2">
        <v>2015</v>
      </c>
      <c r="BI570" s="2" t="s">
        <v>552</v>
      </c>
      <c r="BJ570" s="2">
        <v>9</v>
      </c>
    </row>
    <row r="571" spans="1:62" x14ac:dyDescent="0.3">
      <c r="A571" s="2" t="s">
        <v>62</v>
      </c>
      <c r="B571" s="2">
        <v>5</v>
      </c>
      <c r="C571" s="2">
        <v>2</v>
      </c>
      <c r="D571" s="2">
        <v>-103.88</v>
      </c>
      <c r="E571" s="2">
        <v>58.79</v>
      </c>
      <c r="F571" s="2" t="s">
        <v>87</v>
      </c>
      <c r="G571" s="2" t="s">
        <v>88</v>
      </c>
      <c r="H571" s="2">
        <v>17</v>
      </c>
      <c r="I571" s="2" t="s">
        <v>412</v>
      </c>
      <c r="J571" s="2" t="s">
        <v>66</v>
      </c>
      <c r="K571" s="2" t="s">
        <v>67</v>
      </c>
      <c r="L571" s="2" t="s">
        <v>2644</v>
      </c>
      <c r="M571" s="2">
        <v>10497</v>
      </c>
      <c r="N571" s="2" t="s">
        <v>2645</v>
      </c>
      <c r="O571" s="2" t="s">
        <v>70</v>
      </c>
      <c r="P571" s="2" t="s">
        <v>71</v>
      </c>
      <c r="Q571" s="2" t="s">
        <v>2646</v>
      </c>
      <c r="R571" s="2">
        <v>725</v>
      </c>
      <c r="S571" s="2">
        <v>4</v>
      </c>
      <c r="T571" s="2" t="s">
        <v>417</v>
      </c>
      <c r="U571" s="2">
        <v>18.252746599999998</v>
      </c>
      <c r="V571" s="2">
        <v>-66.370552099999998</v>
      </c>
      <c r="W571" s="2" t="s">
        <v>528</v>
      </c>
      <c r="X571" s="2" t="s">
        <v>2647</v>
      </c>
      <c r="Y571" s="2" t="s">
        <v>2613</v>
      </c>
      <c r="Z571" s="2">
        <v>10497</v>
      </c>
      <c r="AA571" s="2" t="s">
        <v>2648</v>
      </c>
      <c r="AB571" s="2">
        <v>49664</v>
      </c>
      <c r="AC571" s="2">
        <v>365</v>
      </c>
      <c r="AD571" s="2">
        <v>1.2</v>
      </c>
      <c r="AE571" s="2">
        <v>0.02</v>
      </c>
      <c r="AF571" s="2" t="str" cm="1">
        <f t="array" ref="AF571">_xlfn.IFS(AE571=0, "No Discount ", AE571&lt;=0.08,"Low Discount", AE571&lt;=0.16,"Medium Discount", AE571&gt;0.16, "High Discount")</f>
        <v>Low Discount</v>
      </c>
      <c r="AG571" s="2">
        <v>124146</v>
      </c>
      <c r="AH571" s="2">
        <v>59.99</v>
      </c>
      <c r="AI571" s="2">
        <v>-1.77</v>
      </c>
      <c r="AJ571" s="2" t="str" cm="1">
        <f t="array" ref="AJ571">_xlfn.IFS(AI571&lt;=0, "No Profit", AI571&lt;=0.16,"Low Profit",AI571&lt;=0.32,"Medium Profit",AI571&gt;0.32,"High Profit")</f>
        <v>No Profit</v>
      </c>
      <c r="AK571" s="2">
        <v>1</v>
      </c>
      <c r="AL571" s="2">
        <v>59.99</v>
      </c>
      <c r="AM571" s="2">
        <v>58.79</v>
      </c>
      <c r="AN571" s="2">
        <v>-103.88</v>
      </c>
      <c r="AO571" s="2" t="s">
        <v>1717</v>
      </c>
      <c r="AP571" s="2" t="s">
        <v>2649</v>
      </c>
      <c r="AQ571" s="2" t="s">
        <v>80</v>
      </c>
      <c r="AR571" s="2" t="s">
        <v>81</v>
      </c>
      <c r="AS571" s="2">
        <v>365</v>
      </c>
      <c r="AT571" s="2">
        <v>17</v>
      </c>
      <c r="AU571" s="2" t="s">
        <v>421</v>
      </c>
      <c r="AV571" s="2">
        <v>59.99</v>
      </c>
      <c r="AW571" s="2">
        <v>0</v>
      </c>
      <c r="AX571" s="2" t="s">
        <v>2650</v>
      </c>
      <c r="AY571" s="2" t="s">
        <v>162</v>
      </c>
      <c r="AZ571" s="4">
        <v>42729</v>
      </c>
      <c r="BA571" s="5">
        <v>0.96458333333333335</v>
      </c>
      <c r="BB571" s="2">
        <v>2016</v>
      </c>
      <c r="BC571" s="2" t="s">
        <v>357</v>
      </c>
      <c r="BD571" s="2">
        <v>25</v>
      </c>
      <c r="BE571" s="4">
        <v>42734</v>
      </c>
      <c r="BF571" s="5">
        <v>0.96458333333333335</v>
      </c>
      <c r="BG571" s="2" t="str" cm="1">
        <f t="array" ref="BG571">_xlfn.IFS(BF571&lt;TIMEVALUE("06:00"),"Night", BF571&gt;=TIMEVALUE("21:00"),"Night",BF571&gt;=TIMEVALUE("17:00"),"Evening",BF571&gt;=TIMEVALUE("12:00"),"Afternoon", BF571&gt;=TIMEVALUE("06:00"),"Morning")</f>
        <v>Night</v>
      </c>
      <c r="BH571" s="2">
        <v>2016</v>
      </c>
      <c r="BI571" s="2" t="s">
        <v>357</v>
      </c>
      <c r="BJ571" s="2">
        <v>30</v>
      </c>
    </row>
    <row r="572" spans="1:62" x14ac:dyDescent="0.3">
      <c r="A572" s="2" t="s">
        <v>62</v>
      </c>
      <c r="B572" s="2">
        <v>2</v>
      </c>
      <c r="C572" s="2">
        <v>2</v>
      </c>
      <c r="D572" s="2">
        <v>53.5</v>
      </c>
      <c r="E572" s="2">
        <v>127.39</v>
      </c>
      <c r="F572" s="2" t="s">
        <v>100</v>
      </c>
      <c r="G572" s="2" t="s">
        <v>64</v>
      </c>
      <c r="H572" s="2">
        <v>18</v>
      </c>
      <c r="I572" s="2" t="s">
        <v>863</v>
      </c>
      <c r="J572" s="2" t="s">
        <v>66</v>
      </c>
      <c r="K572" s="2" t="s">
        <v>67</v>
      </c>
      <c r="L572" s="2" t="s">
        <v>284</v>
      </c>
      <c r="M572" s="2">
        <v>4695</v>
      </c>
      <c r="N572" s="2" t="s">
        <v>1085</v>
      </c>
      <c r="O572" s="2" t="s">
        <v>70</v>
      </c>
      <c r="P572" s="2" t="s">
        <v>71</v>
      </c>
      <c r="Q572" s="2" t="s">
        <v>2651</v>
      </c>
      <c r="R572" s="2">
        <v>725</v>
      </c>
      <c r="S572" s="2">
        <v>4</v>
      </c>
      <c r="T572" s="2" t="s">
        <v>417</v>
      </c>
      <c r="U572" s="2">
        <v>18.275304800000001</v>
      </c>
      <c r="V572" s="2">
        <v>-66.370597799999999</v>
      </c>
      <c r="W572" s="2" t="s">
        <v>528</v>
      </c>
      <c r="X572" s="2" t="s">
        <v>2652</v>
      </c>
      <c r="Y572" s="2" t="s">
        <v>557</v>
      </c>
      <c r="Z572" s="2">
        <v>4695</v>
      </c>
      <c r="AA572" s="2" t="s">
        <v>2653</v>
      </c>
      <c r="AB572" s="2">
        <v>16446</v>
      </c>
      <c r="AC572" s="2">
        <v>403</v>
      </c>
      <c r="AD572" s="2">
        <v>2.6</v>
      </c>
      <c r="AE572" s="2">
        <v>0.02</v>
      </c>
      <c r="AF572" s="2" t="str" cm="1">
        <f t="array" ref="AF572">_xlfn.IFS(AE572=0, "No Discount ", AE572&lt;=0.08,"Low Discount", AE572&lt;=0.16,"Medium Discount", AE572&gt;0.16, "High Discount")</f>
        <v>Low Discount</v>
      </c>
      <c r="AG572" s="2">
        <v>41066</v>
      </c>
      <c r="AH572" s="2">
        <v>129.99</v>
      </c>
      <c r="AI572" s="2">
        <v>0.42</v>
      </c>
      <c r="AJ572" s="2" t="str" cm="1">
        <f t="array" ref="AJ572">_xlfn.IFS(AI572&lt;=0, "No Profit", AI572&lt;=0.16,"Low Profit",AI572&lt;=0.32,"Medium Profit",AI572&gt;0.32,"High Profit")</f>
        <v>High Profit</v>
      </c>
      <c r="AK572" s="2">
        <v>1</v>
      </c>
      <c r="AL572" s="2">
        <v>129.99</v>
      </c>
      <c r="AM572" s="2">
        <v>127.39</v>
      </c>
      <c r="AN572" s="2">
        <v>53.5</v>
      </c>
      <c r="AO572" s="2" t="s">
        <v>558</v>
      </c>
      <c r="AP572" s="2" t="s">
        <v>559</v>
      </c>
      <c r="AQ572" s="2" t="s">
        <v>80</v>
      </c>
      <c r="AR572" s="2" t="s">
        <v>81</v>
      </c>
      <c r="AS572" s="2">
        <v>403</v>
      </c>
      <c r="AT572" s="2">
        <v>18</v>
      </c>
      <c r="AU572" s="2" t="s">
        <v>869</v>
      </c>
      <c r="AV572" s="2">
        <v>129.99</v>
      </c>
      <c r="AW572" s="2">
        <v>0</v>
      </c>
      <c r="AX572" s="2" t="s">
        <v>2654</v>
      </c>
      <c r="AY572" s="2" t="s">
        <v>162</v>
      </c>
      <c r="AZ572" s="4">
        <v>42245</v>
      </c>
      <c r="BA572" s="5">
        <v>5.8333333333333334E-2</v>
      </c>
      <c r="BB572" s="2">
        <v>2015</v>
      </c>
      <c r="BC572" s="2" t="s">
        <v>482</v>
      </c>
      <c r="BD572" s="2">
        <v>29</v>
      </c>
      <c r="BE572" s="4">
        <v>42247</v>
      </c>
      <c r="BF572" s="5">
        <v>5.8333333333333334E-2</v>
      </c>
      <c r="BG572" s="2" t="str" cm="1">
        <f t="array" ref="BG572">_xlfn.IFS(BF572&lt;TIMEVALUE("06:00"),"Night", BF572&gt;=TIMEVALUE("21:00"),"Night",BF572&gt;=TIMEVALUE("17:00"),"Evening",BF572&gt;=TIMEVALUE("12:00"),"Afternoon", BF572&gt;=TIMEVALUE("06:00"),"Morning")</f>
        <v>Night</v>
      </c>
      <c r="BH572" s="2">
        <v>2015</v>
      </c>
      <c r="BI572" s="2" t="s">
        <v>482</v>
      </c>
      <c r="BJ572" s="2">
        <v>31</v>
      </c>
    </row>
    <row r="573" spans="1:62" x14ac:dyDescent="0.3">
      <c r="A573" s="2" t="s">
        <v>62</v>
      </c>
      <c r="B573" s="2">
        <v>2</v>
      </c>
      <c r="C573" s="2">
        <v>2</v>
      </c>
      <c r="D573" s="2">
        <v>12.74</v>
      </c>
      <c r="E573" s="2">
        <v>127.39</v>
      </c>
      <c r="F573" s="2" t="s">
        <v>100</v>
      </c>
      <c r="G573" s="2" t="s">
        <v>64</v>
      </c>
      <c r="H573" s="2">
        <v>18</v>
      </c>
      <c r="I573" s="2" t="s">
        <v>863</v>
      </c>
      <c r="J573" s="2" t="s">
        <v>66</v>
      </c>
      <c r="K573" s="2" t="s">
        <v>67</v>
      </c>
      <c r="L573" s="2" t="s">
        <v>2630</v>
      </c>
      <c r="M573" s="2">
        <v>487</v>
      </c>
      <c r="N573" s="2" t="s">
        <v>1884</v>
      </c>
      <c r="O573" s="2" t="s">
        <v>70</v>
      </c>
      <c r="P573" s="2" t="s">
        <v>71</v>
      </c>
      <c r="Q573" s="2" t="s">
        <v>2631</v>
      </c>
      <c r="R573" s="2">
        <v>725</v>
      </c>
      <c r="S573" s="2">
        <v>4</v>
      </c>
      <c r="T573" s="2" t="s">
        <v>417</v>
      </c>
      <c r="U573" s="2">
        <v>18.3541946</v>
      </c>
      <c r="V573" s="2">
        <v>-66.071296700000005</v>
      </c>
      <c r="W573" s="2" t="s">
        <v>528</v>
      </c>
      <c r="X573" s="2" t="s">
        <v>2632</v>
      </c>
      <c r="Y573" s="2" t="s">
        <v>2589</v>
      </c>
      <c r="Z573" s="2">
        <v>487</v>
      </c>
      <c r="AA573" s="3">
        <v>42222.092361111114</v>
      </c>
      <c r="AB573" s="2">
        <v>10831</v>
      </c>
      <c r="AC573" s="2">
        <v>403</v>
      </c>
      <c r="AD573" s="2">
        <v>2.6</v>
      </c>
      <c r="AE573" s="2">
        <v>0.02</v>
      </c>
      <c r="AF573" s="2" t="str" cm="1">
        <f t="array" ref="AF573">_xlfn.IFS(AE573=0, "No Discount ", AE573&lt;=0.08,"Low Discount", AE573&lt;=0.16,"Medium Discount", AE573&gt;0.16, "High Discount")</f>
        <v>Low Discount</v>
      </c>
      <c r="AG573" s="2">
        <v>27105</v>
      </c>
      <c r="AH573" s="2">
        <v>129.99</v>
      </c>
      <c r="AI573" s="2">
        <v>0.1</v>
      </c>
      <c r="AJ573" s="2" t="str" cm="1">
        <f t="array" ref="AJ573">_xlfn.IFS(AI573&lt;=0, "No Profit", AI573&lt;=0.16,"Low Profit",AI573&lt;=0.32,"Medium Profit",AI573&gt;0.32,"High Profit")</f>
        <v>Low Profit</v>
      </c>
      <c r="AK573" s="2">
        <v>1</v>
      </c>
      <c r="AL573" s="2">
        <v>129.99</v>
      </c>
      <c r="AM573" s="2">
        <v>127.39</v>
      </c>
      <c r="AN573" s="2">
        <v>12.74</v>
      </c>
      <c r="AO573" s="2" t="s">
        <v>558</v>
      </c>
      <c r="AP573" s="2" t="s">
        <v>2633</v>
      </c>
      <c r="AQ573" s="2" t="s">
        <v>80</v>
      </c>
      <c r="AR573" s="2" t="s">
        <v>81</v>
      </c>
      <c r="AS573" s="2">
        <v>403</v>
      </c>
      <c r="AT573" s="2">
        <v>18</v>
      </c>
      <c r="AU573" s="2" t="s">
        <v>869</v>
      </c>
      <c r="AV573" s="2">
        <v>129.99</v>
      </c>
      <c r="AW573" s="2">
        <v>0</v>
      </c>
      <c r="AX573" s="3">
        <v>42283.092361111114</v>
      </c>
      <c r="AY573" s="2" t="s">
        <v>162</v>
      </c>
      <c r="AZ573" s="4">
        <v>42222</v>
      </c>
      <c r="BA573" s="5">
        <v>9.2361111111111116E-2</v>
      </c>
      <c r="BB573" s="2">
        <v>2015</v>
      </c>
      <c r="BC573" s="2" t="s">
        <v>482</v>
      </c>
      <c r="BD573" s="2">
        <v>6</v>
      </c>
      <c r="BE573" s="4">
        <v>42283</v>
      </c>
      <c r="BF573" s="5">
        <v>9.2361111111111116E-2</v>
      </c>
      <c r="BG573" s="2" t="str" cm="1">
        <f t="array" ref="BG573">_xlfn.IFS(BF573&lt;TIMEVALUE("06:00"),"Night", BF573&gt;=TIMEVALUE("21:00"),"Night",BF573&gt;=TIMEVALUE("17:00"),"Evening",BF573&gt;=TIMEVALUE("12:00"),"Afternoon", BF573&gt;=TIMEVALUE("06:00"),"Morning")</f>
        <v>Night</v>
      </c>
      <c r="BH573" s="2">
        <v>2015</v>
      </c>
      <c r="BI573" s="2" t="s">
        <v>434</v>
      </c>
      <c r="BJ573" s="2">
        <v>6</v>
      </c>
    </row>
    <row r="574" spans="1:62" x14ac:dyDescent="0.3">
      <c r="A574" s="2" t="s">
        <v>62</v>
      </c>
      <c r="B574" s="2">
        <v>6</v>
      </c>
      <c r="C574" s="2">
        <v>2</v>
      </c>
      <c r="D574" s="2">
        <v>-45.09</v>
      </c>
      <c r="E574" s="2">
        <v>58.79</v>
      </c>
      <c r="F574" s="2" t="s">
        <v>87</v>
      </c>
      <c r="G574" s="2" t="s">
        <v>88</v>
      </c>
      <c r="H574" s="2">
        <v>17</v>
      </c>
      <c r="I574" s="2" t="s">
        <v>412</v>
      </c>
      <c r="J574" s="2" t="s">
        <v>66</v>
      </c>
      <c r="K574" s="2" t="s">
        <v>67</v>
      </c>
      <c r="L574" s="2" t="s">
        <v>1486</v>
      </c>
      <c r="M574" s="2">
        <v>9857</v>
      </c>
      <c r="N574" s="2" t="s">
        <v>2543</v>
      </c>
      <c r="O574" s="2" t="s">
        <v>70</v>
      </c>
      <c r="P574" s="2" t="s">
        <v>71</v>
      </c>
      <c r="Q574" s="2" t="s">
        <v>2655</v>
      </c>
      <c r="R574" s="2">
        <v>725</v>
      </c>
      <c r="S574" s="2">
        <v>4</v>
      </c>
      <c r="T574" s="2" t="s">
        <v>417</v>
      </c>
      <c r="U574" s="2">
        <v>18.262197499999999</v>
      </c>
      <c r="V574" s="2">
        <v>-66.370559700000001</v>
      </c>
      <c r="W574" s="2" t="s">
        <v>528</v>
      </c>
      <c r="X574" s="2" t="s">
        <v>578</v>
      </c>
      <c r="Y574" s="2" t="s">
        <v>536</v>
      </c>
      <c r="Z574" s="2">
        <v>9857</v>
      </c>
      <c r="AA574" s="3">
        <v>42193.366666666669</v>
      </c>
      <c r="AB574" s="2">
        <v>14960</v>
      </c>
      <c r="AC574" s="2">
        <v>365</v>
      </c>
      <c r="AD574" s="2">
        <v>1.2</v>
      </c>
      <c r="AE574" s="2">
        <v>0.02</v>
      </c>
      <c r="AF574" s="2" t="str" cm="1">
        <f t="array" ref="AF574">_xlfn.IFS(AE574=0, "No Discount ", AE574&lt;=0.08,"Low Discount", AE574&lt;=0.16,"Medium Discount", AE574&gt;0.16, "High Discount")</f>
        <v>Low Discount</v>
      </c>
      <c r="AG574" s="2">
        <v>37461</v>
      </c>
      <c r="AH574" s="2">
        <v>59.99</v>
      </c>
      <c r="AI574" s="2">
        <v>-0.77</v>
      </c>
      <c r="AJ574" s="2" t="str" cm="1">
        <f t="array" ref="AJ574">_xlfn.IFS(AI574&lt;=0, "No Profit", AI574&lt;=0.16,"Low Profit",AI574&lt;=0.32,"Medium Profit",AI574&gt;0.32,"High Profit")</f>
        <v>No Profit</v>
      </c>
      <c r="AK574" s="2">
        <v>1</v>
      </c>
      <c r="AL574" s="2">
        <v>59.99</v>
      </c>
      <c r="AM574" s="2">
        <v>58.79</v>
      </c>
      <c r="AN574" s="2">
        <v>-45.09</v>
      </c>
      <c r="AO574" s="2" t="s">
        <v>531</v>
      </c>
      <c r="AP574" s="2" t="s">
        <v>579</v>
      </c>
      <c r="AQ574" s="2" t="s">
        <v>80</v>
      </c>
      <c r="AR574" s="2" t="s">
        <v>81</v>
      </c>
      <c r="AS574" s="2">
        <v>365</v>
      </c>
      <c r="AT574" s="2">
        <v>17</v>
      </c>
      <c r="AU574" s="2" t="s">
        <v>421</v>
      </c>
      <c r="AV574" s="2">
        <v>59.99</v>
      </c>
      <c r="AW574" s="2">
        <v>0</v>
      </c>
      <c r="AX574" s="2" t="s">
        <v>2656</v>
      </c>
      <c r="AY574" s="2" t="s">
        <v>162</v>
      </c>
      <c r="AZ574" s="4">
        <v>42193</v>
      </c>
      <c r="BA574" s="5">
        <v>0.36666666666666664</v>
      </c>
      <c r="BB574" s="2">
        <v>2015</v>
      </c>
      <c r="BC574" s="2" t="s">
        <v>533</v>
      </c>
      <c r="BD574" s="2">
        <v>8</v>
      </c>
      <c r="BE574" s="4">
        <v>42229</v>
      </c>
      <c r="BF574" s="5">
        <v>0.36666666666666664</v>
      </c>
      <c r="BG574" s="2" t="str" cm="1">
        <f t="array" ref="BG574">_xlfn.IFS(BF574&lt;TIMEVALUE("06:00"),"Night", BF574&gt;=TIMEVALUE("21:00"),"Night",BF574&gt;=TIMEVALUE("17:00"),"Evening",BF574&gt;=TIMEVALUE("12:00"),"Afternoon", BF574&gt;=TIMEVALUE("06:00"),"Morning")</f>
        <v>Morning</v>
      </c>
      <c r="BH574" s="2">
        <v>2015</v>
      </c>
      <c r="BI574" s="2" t="s">
        <v>482</v>
      </c>
      <c r="BJ574" s="2">
        <v>13</v>
      </c>
    </row>
    <row r="575" spans="1:62" x14ac:dyDescent="0.3">
      <c r="A575" s="2" t="s">
        <v>62</v>
      </c>
      <c r="B575" s="2">
        <v>6</v>
      </c>
      <c r="C575" s="2">
        <v>2</v>
      </c>
      <c r="D575" s="2">
        <v>63.05</v>
      </c>
      <c r="E575" s="2">
        <v>126.09</v>
      </c>
      <c r="F575" s="2" t="s">
        <v>87</v>
      </c>
      <c r="G575" s="2" t="s">
        <v>88</v>
      </c>
      <c r="H575" s="2">
        <v>18</v>
      </c>
      <c r="I575" s="2" t="s">
        <v>863</v>
      </c>
      <c r="J575" s="2" t="s">
        <v>66</v>
      </c>
      <c r="K575" s="2" t="s">
        <v>67</v>
      </c>
      <c r="L575" s="2" t="s">
        <v>414</v>
      </c>
      <c r="M575" s="2">
        <v>2168</v>
      </c>
      <c r="N575" s="2" t="s">
        <v>1647</v>
      </c>
      <c r="O575" s="2" t="s">
        <v>70</v>
      </c>
      <c r="P575" s="2" t="s">
        <v>71</v>
      </c>
      <c r="Q575" s="2" t="s">
        <v>973</v>
      </c>
      <c r="R575" s="2">
        <v>725</v>
      </c>
      <c r="S575" s="2">
        <v>4</v>
      </c>
      <c r="T575" s="2" t="s">
        <v>417</v>
      </c>
      <c r="U575" s="2">
        <v>18.2834225</v>
      </c>
      <c r="V575" s="2">
        <v>-66.370628400000001</v>
      </c>
      <c r="W575" s="2" t="s">
        <v>528</v>
      </c>
      <c r="X575" s="2" t="s">
        <v>2627</v>
      </c>
      <c r="Y575" s="2" t="s">
        <v>557</v>
      </c>
      <c r="Z575" s="2">
        <v>2168</v>
      </c>
      <c r="AA575" s="2" t="s">
        <v>2657</v>
      </c>
      <c r="AB575" s="2">
        <v>18005</v>
      </c>
      <c r="AC575" s="2">
        <v>403</v>
      </c>
      <c r="AD575" s="2">
        <v>3.9</v>
      </c>
      <c r="AE575" s="2">
        <v>0.03</v>
      </c>
      <c r="AF575" s="2" t="str" cm="1">
        <f t="array" ref="AF575">_xlfn.IFS(AE575=0, "No Discount ", AE575&lt;=0.08,"Low Discount", AE575&lt;=0.16,"Medium Discount", AE575&gt;0.16, "High Discount")</f>
        <v>Low Discount</v>
      </c>
      <c r="AG575" s="2">
        <v>44994</v>
      </c>
      <c r="AH575" s="2">
        <v>129.99</v>
      </c>
      <c r="AI575" s="2">
        <v>0.5</v>
      </c>
      <c r="AJ575" s="2" t="str" cm="1">
        <f t="array" ref="AJ575">_xlfn.IFS(AI575&lt;=0, "No Profit", AI575&lt;=0.16,"Low Profit",AI575&lt;=0.32,"Medium Profit",AI575&gt;0.32,"High Profit")</f>
        <v>High Profit</v>
      </c>
      <c r="AK575" s="2">
        <v>1</v>
      </c>
      <c r="AL575" s="2">
        <v>129.99</v>
      </c>
      <c r="AM575" s="2">
        <v>126.09</v>
      </c>
      <c r="AN575" s="2">
        <v>63.05</v>
      </c>
      <c r="AO575" s="2" t="s">
        <v>558</v>
      </c>
      <c r="AP575" s="2" t="s">
        <v>559</v>
      </c>
      <c r="AQ575" s="2" t="s">
        <v>80</v>
      </c>
      <c r="AR575" s="2" t="s">
        <v>81</v>
      </c>
      <c r="AS575" s="2">
        <v>403</v>
      </c>
      <c r="AT575" s="2">
        <v>18</v>
      </c>
      <c r="AU575" s="2" t="s">
        <v>869</v>
      </c>
      <c r="AV575" s="2">
        <v>129.99</v>
      </c>
      <c r="AW575" s="2">
        <v>0</v>
      </c>
      <c r="AX575" s="2" t="s">
        <v>2658</v>
      </c>
      <c r="AY575" s="2" t="s">
        <v>162</v>
      </c>
      <c r="AZ575" s="4">
        <v>42267</v>
      </c>
      <c r="BA575" s="5">
        <v>0.81666666666666665</v>
      </c>
      <c r="BB575" s="2">
        <v>2015</v>
      </c>
      <c r="BC575" s="2" t="s">
        <v>552</v>
      </c>
      <c r="BD575" s="2">
        <v>20</v>
      </c>
      <c r="BE575" s="4">
        <v>42273</v>
      </c>
      <c r="BF575" s="5">
        <v>0.81666666666666665</v>
      </c>
      <c r="BG575" s="2" t="str" cm="1">
        <f t="array" ref="BG575">_xlfn.IFS(BF575&lt;TIMEVALUE("06:00"),"Night", BF575&gt;=TIMEVALUE("21:00"),"Night",BF575&gt;=TIMEVALUE("17:00"),"Evening",BF575&gt;=TIMEVALUE("12:00"),"Afternoon", BF575&gt;=TIMEVALUE("06:00"),"Morning")</f>
        <v>Evening</v>
      </c>
      <c r="BH575" s="2">
        <v>2015</v>
      </c>
      <c r="BI575" s="2" t="s">
        <v>552</v>
      </c>
      <c r="BJ575" s="2">
        <v>26</v>
      </c>
    </row>
    <row r="576" spans="1:62" x14ac:dyDescent="0.3">
      <c r="A576" s="2" t="s">
        <v>62</v>
      </c>
      <c r="B576" s="2">
        <v>2</v>
      </c>
      <c r="C576" s="2">
        <v>2</v>
      </c>
      <c r="D576" s="2">
        <v>-79.819999999999993</v>
      </c>
      <c r="E576" s="2">
        <v>126.09</v>
      </c>
      <c r="F576" s="2" t="s">
        <v>100</v>
      </c>
      <c r="G576" s="2" t="s">
        <v>64</v>
      </c>
      <c r="H576" s="2">
        <v>18</v>
      </c>
      <c r="I576" s="2" t="s">
        <v>863</v>
      </c>
      <c r="J576" s="2" t="s">
        <v>66</v>
      </c>
      <c r="K576" s="2" t="s">
        <v>67</v>
      </c>
      <c r="L576" s="2" t="s">
        <v>2630</v>
      </c>
      <c r="M576" s="2">
        <v>487</v>
      </c>
      <c r="N576" s="2" t="s">
        <v>1884</v>
      </c>
      <c r="O576" s="2" t="s">
        <v>70</v>
      </c>
      <c r="P576" s="2" t="s">
        <v>71</v>
      </c>
      <c r="Q576" s="2" t="s">
        <v>2631</v>
      </c>
      <c r="R576" s="2">
        <v>725</v>
      </c>
      <c r="S576" s="2">
        <v>4</v>
      </c>
      <c r="T576" s="2" t="s">
        <v>417</v>
      </c>
      <c r="U576" s="2">
        <v>18.3541946</v>
      </c>
      <c r="V576" s="2">
        <v>-66.071296700000005</v>
      </c>
      <c r="W576" s="2" t="s">
        <v>528</v>
      </c>
      <c r="X576" s="2" t="s">
        <v>2632</v>
      </c>
      <c r="Y576" s="2" t="s">
        <v>2589</v>
      </c>
      <c r="Z576" s="2">
        <v>487</v>
      </c>
      <c r="AA576" s="3">
        <v>42222.092361111114</v>
      </c>
      <c r="AB576" s="2">
        <v>10831</v>
      </c>
      <c r="AC576" s="2">
        <v>403</v>
      </c>
      <c r="AD576" s="2">
        <v>3.9</v>
      </c>
      <c r="AE576" s="2">
        <v>0.03</v>
      </c>
      <c r="AF576" s="2" t="str" cm="1">
        <f t="array" ref="AF576">_xlfn.IFS(AE576=0, "No Discount ", AE576&lt;=0.08,"Low Discount", AE576&lt;=0.16,"Medium Discount", AE576&gt;0.16, "High Discount")</f>
        <v>Low Discount</v>
      </c>
      <c r="AG576" s="2">
        <v>27103</v>
      </c>
      <c r="AH576" s="2">
        <v>129.99</v>
      </c>
      <c r="AI576" s="2">
        <v>-0.63</v>
      </c>
      <c r="AJ576" s="2" t="str" cm="1">
        <f t="array" ref="AJ576">_xlfn.IFS(AI576&lt;=0, "No Profit", AI576&lt;=0.16,"Low Profit",AI576&lt;=0.32,"Medium Profit",AI576&gt;0.32,"High Profit")</f>
        <v>No Profit</v>
      </c>
      <c r="AK576" s="2">
        <v>1</v>
      </c>
      <c r="AL576" s="2">
        <v>129.99</v>
      </c>
      <c r="AM576" s="2">
        <v>126.09</v>
      </c>
      <c r="AN576" s="2">
        <v>-79.819999999999993</v>
      </c>
      <c r="AO576" s="2" t="s">
        <v>558</v>
      </c>
      <c r="AP576" s="2" t="s">
        <v>2633</v>
      </c>
      <c r="AQ576" s="2" t="s">
        <v>80</v>
      </c>
      <c r="AR576" s="2" t="s">
        <v>81</v>
      </c>
      <c r="AS576" s="2">
        <v>403</v>
      </c>
      <c r="AT576" s="2">
        <v>18</v>
      </c>
      <c r="AU576" s="2" t="s">
        <v>869</v>
      </c>
      <c r="AV576" s="2">
        <v>129.99</v>
      </c>
      <c r="AW576" s="2">
        <v>0</v>
      </c>
      <c r="AX576" s="3">
        <v>42283.092361111114</v>
      </c>
      <c r="AY576" s="2" t="s">
        <v>162</v>
      </c>
      <c r="AZ576" s="4">
        <v>42222</v>
      </c>
      <c r="BA576" s="5">
        <v>9.2361111111111116E-2</v>
      </c>
      <c r="BB576" s="2">
        <v>2015</v>
      </c>
      <c r="BC576" s="2" t="s">
        <v>482</v>
      </c>
      <c r="BD576" s="2">
        <v>6</v>
      </c>
      <c r="BE576" s="4">
        <v>42283</v>
      </c>
      <c r="BF576" s="5">
        <v>9.2361111111111116E-2</v>
      </c>
      <c r="BG576" s="2" t="str" cm="1">
        <f t="array" ref="BG576">_xlfn.IFS(BF576&lt;TIMEVALUE("06:00"),"Night", BF576&gt;=TIMEVALUE("21:00"),"Night",BF576&gt;=TIMEVALUE("17:00"),"Evening",BF576&gt;=TIMEVALUE("12:00"),"Afternoon", BF576&gt;=TIMEVALUE("06:00"),"Morning")</f>
        <v>Night</v>
      </c>
      <c r="BH576" s="2">
        <v>2015</v>
      </c>
      <c r="BI576" s="2" t="s">
        <v>434</v>
      </c>
      <c r="BJ576" s="2">
        <v>6</v>
      </c>
    </row>
    <row r="577" spans="1:62" x14ac:dyDescent="0.3">
      <c r="A577" s="2" t="s">
        <v>62</v>
      </c>
      <c r="B577" s="2">
        <v>5</v>
      </c>
      <c r="C577" s="2">
        <v>2</v>
      </c>
      <c r="D577" s="2">
        <v>15.13</v>
      </c>
      <c r="E577" s="2">
        <v>58.19</v>
      </c>
      <c r="F577" s="2" t="s">
        <v>87</v>
      </c>
      <c r="G577" s="2" t="s">
        <v>88</v>
      </c>
      <c r="H577" s="2">
        <v>17</v>
      </c>
      <c r="I577" s="2" t="s">
        <v>412</v>
      </c>
      <c r="J577" s="2" t="s">
        <v>66</v>
      </c>
      <c r="K577" s="2" t="s">
        <v>67</v>
      </c>
      <c r="L577" s="2" t="s">
        <v>414</v>
      </c>
      <c r="M577" s="2">
        <v>4078</v>
      </c>
      <c r="N577" s="2" t="s">
        <v>1976</v>
      </c>
      <c r="O577" s="2" t="s">
        <v>70</v>
      </c>
      <c r="P577" s="2" t="s">
        <v>71</v>
      </c>
      <c r="Q577" s="2" t="s">
        <v>2659</v>
      </c>
      <c r="R577" s="2">
        <v>725</v>
      </c>
      <c r="S577" s="2">
        <v>4</v>
      </c>
      <c r="T577" s="2" t="s">
        <v>417</v>
      </c>
      <c r="U577" s="2">
        <v>18.2055264</v>
      </c>
      <c r="V577" s="2">
        <v>-66.370628400000001</v>
      </c>
      <c r="W577" s="2" t="s">
        <v>528</v>
      </c>
      <c r="X577" s="2" t="s">
        <v>2583</v>
      </c>
      <c r="Y577" s="2" t="s">
        <v>904</v>
      </c>
      <c r="Z577" s="2">
        <v>4078</v>
      </c>
      <c r="AA577" s="3">
        <v>42162.893750000003</v>
      </c>
      <c r="AB577" s="2">
        <v>12804</v>
      </c>
      <c r="AC577" s="2">
        <v>365</v>
      </c>
      <c r="AD577" s="2">
        <v>1.8</v>
      </c>
      <c r="AE577" s="2">
        <v>0.03</v>
      </c>
      <c r="AF577" s="2" t="str" cm="1">
        <f t="array" ref="AF577">_xlfn.IFS(AE577=0, "No Discount ", AE577&lt;=0.08,"Low Discount", AE577&lt;=0.16,"Medium Discount", AE577&gt;0.16, "High Discount")</f>
        <v>Low Discount</v>
      </c>
      <c r="AG577" s="2">
        <v>32027</v>
      </c>
      <c r="AH577" s="2">
        <v>59.99</v>
      </c>
      <c r="AI577" s="2">
        <v>0.26</v>
      </c>
      <c r="AJ577" s="2" t="str" cm="1">
        <f t="array" ref="AJ577">_xlfn.IFS(AI577&lt;=0, "No Profit", AI577&lt;=0.16,"Low Profit",AI577&lt;=0.32,"Medium Profit",AI577&gt;0.32,"High Profit")</f>
        <v>Medium Profit</v>
      </c>
      <c r="AK577" s="2">
        <v>1</v>
      </c>
      <c r="AL577" s="2">
        <v>59.99</v>
      </c>
      <c r="AM577" s="2">
        <v>58.19</v>
      </c>
      <c r="AN577" s="2">
        <v>15.13</v>
      </c>
      <c r="AO577" s="2" t="s">
        <v>905</v>
      </c>
      <c r="AP577" s="2" t="s">
        <v>2585</v>
      </c>
      <c r="AQ577" s="2" t="s">
        <v>80</v>
      </c>
      <c r="AR577" s="2" t="s">
        <v>81</v>
      </c>
      <c r="AS577" s="2">
        <v>365</v>
      </c>
      <c r="AT577" s="2">
        <v>17</v>
      </c>
      <c r="AU577" s="2" t="s">
        <v>421</v>
      </c>
      <c r="AV577" s="2">
        <v>59.99</v>
      </c>
      <c r="AW577" s="2">
        <v>0</v>
      </c>
      <c r="AX577" s="3">
        <v>42315.893750000003</v>
      </c>
      <c r="AY577" s="2" t="s">
        <v>162</v>
      </c>
      <c r="AZ577" s="4">
        <v>42162</v>
      </c>
      <c r="BA577" s="5">
        <v>0.89375000000000004</v>
      </c>
      <c r="BB577" s="2">
        <v>2015</v>
      </c>
      <c r="BC577" s="2" t="s">
        <v>474</v>
      </c>
      <c r="BD577" s="2">
        <v>7</v>
      </c>
      <c r="BE577" s="4">
        <v>42315</v>
      </c>
      <c r="BF577" s="5">
        <v>0.89375000000000004</v>
      </c>
      <c r="BG577" s="2" t="str" cm="1">
        <f t="array" ref="BG577">_xlfn.IFS(BF577&lt;TIMEVALUE("06:00"),"Night", BF577&gt;=TIMEVALUE("21:00"),"Night",BF577&gt;=TIMEVALUE("17:00"),"Evening",BF577&gt;=TIMEVALUE("12:00"),"Afternoon", BF577&gt;=TIMEVALUE("06:00"),"Morning")</f>
        <v>Night</v>
      </c>
      <c r="BH577" s="2">
        <v>2015</v>
      </c>
      <c r="BI577" s="2" t="s">
        <v>455</v>
      </c>
      <c r="BJ577" s="2">
        <v>7</v>
      </c>
    </row>
    <row r="578" spans="1:62" x14ac:dyDescent="0.3">
      <c r="A578" s="2" t="s">
        <v>62</v>
      </c>
      <c r="B578" s="2">
        <v>2</v>
      </c>
      <c r="C578" s="2">
        <v>2</v>
      </c>
      <c r="D578" s="2">
        <v>32.78</v>
      </c>
      <c r="E578" s="2">
        <v>126.09</v>
      </c>
      <c r="F578" s="2" t="s">
        <v>100</v>
      </c>
      <c r="G578" s="2" t="s">
        <v>64</v>
      </c>
      <c r="H578" s="2">
        <v>18</v>
      </c>
      <c r="I578" s="2" t="s">
        <v>863</v>
      </c>
      <c r="J578" s="2" t="s">
        <v>66</v>
      </c>
      <c r="K578" s="2" t="s">
        <v>67</v>
      </c>
      <c r="L578" s="2" t="s">
        <v>1387</v>
      </c>
      <c r="M578" s="2">
        <v>11887</v>
      </c>
      <c r="N578" s="2" t="s">
        <v>425</v>
      </c>
      <c r="O578" s="2" t="s">
        <v>70</v>
      </c>
      <c r="P578" s="2" t="s">
        <v>71</v>
      </c>
      <c r="Q578" s="2" t="s">
        <v>2660</v>
      </c>
      <c r="R578" s="2">
        <v>725</v>
      </c>
      <c r="S578" s="2">
        <v>4</v>
      </c>
      <c r="T578" s="2" t="s">
        <v>417</v>
      </c>
      <c r="U578" s="2">
        <v>18.286169099999999</v>
      </c>
      <c r="V578" s="2">
        <v>-66.370506300000002</v>
      </c>
      <c r="W578" s="2" t="s">
        <v>528</v>
      </c>
      <c r="X578" s="2" t="s">
        <v>2661</v>
      </c>
      <c r="Y578" s="2" t="s">
        <v>536</v>
      </c>
      <c r="Z578" s="2">
        <v>11887</v>
      </c>
      <c r="AA578" s="3">
        <v>42043.855555555558</v>
      </c>
      <c r="AB578" s="2">
        <v>14651</v>
      </c>
      <c r="AC578" s="2">
        <v>403</v>
      </c>
      <c r="AD578" s="2">
        <v>3.9</v>
      </c>
      <c r="AE578" s="2">
        <v>0.03</v>
      </c>
      <c r="AF578" s="2" t="str" cm="1">
        <f t="array" ref="AF578">_xlfn.IFS(AE578=0, "No Discount ", AE578&lt;=0.08,"Low Discount", AE578&lt;=0.16,"Medium Discount", AE578&gt;0.16, "High Discount")</f>
        <v>Low Discount</v>
      </c>
      <c r="AG578" s="2">
        <v>36657</v>
      </c>
      <c r="AH578" s="2">
        <v>129.99</v>
      </c>
      <c r="AI578" s="2">
        <v>0.26</v>
      </c>
      <c r="AJ578" s="2" t="str" cm="1">
        <f t="array" ref="AJ578">_xlfn.IFS(AI578&lt;=0, "No Profit", AI578&lt;=0.16,"Low Profit",AI578&lt;=0.32,"Medium Profit",AI578&gt;0.32,"High Profit")</f>
        <v>Medium Profit</v>
      </c>
      <c r="AK578" s="2">
        <v>1</v>
      </c>
      <c r="AL578" s="2">
        <v>129.99</v>
      </c>
      <c r="AM578" s="2">
        <v>126.09</v>
      </c>
      <c r="AN578" s="2">
        <v>32.78</v>
      </c>
      <c r="AO578" s="2" t="s">
        <v>531</v>
      </c>
      <c r="AP578" s="2" t="s">
        <v>1708</v>
      </c>
      <c r="AQ578" s="2" t="s">
        <v>80</v>
      </c>
      <c r="AR578" s="2" t="s">
        <v>81</v>
      </c>
      <c r="AS578" s="2">
        <v>403</v>
      </c>
      <c r="AT578" s="2">
        <v>18</v>
      </c>
      <c r="AU578" s="2" t="s">
        <v>869</v>
      </c>
      <c r="AV578" s="2">
        <v>129.99</v>
      </c>
      <c r="AW578" s="2">
        <v>0</v>
      </c>
      <c r="AX578" s="3">
        <v>42102.855555555558</v>
      </c>
      <c r="AY578" s="2" t="s">
        <v>162</v>
      </c>
      <c r="AZ578" s="4">
        <v>42043</v>
      </c>
      <c r="BA578" s="5">
        <v>0.85555555555555551</v>
      </c>
      <c r="BB578" s="2">
        <v>2015</v>
      </c>
      <c r="BC578" s="2" t="s">
        <v>423</v>
      </c>
      <c r="BD578" s="2">
        <v>8</v>
      </c>
      <c r="BE578" s="4">
        <v>42102</v>
      </c>
      <c r="BF578" s="5">
        <v>0.85555555555555551</v>
      </c>
      <c r="BG578" s="2" t="str" cm="1">
        <f t="array" ref="BG578">_xlfn.IFS(BF578&lt;TIMEVALUE("06:00"),"Night", BF578&gt;=TIMEVALUE("21:00"),"Night",BF578&gt;=TIMEVALUE("17:00"),"Evening",BF578&gt;=TIMEVALUE("12:00"),"Afternoon", BF578&gt;=TIMEVALUE("06:00"),"Morning")</f>
        <v>Evening</v>
      </c>
      <c r="BH578" s="2">
        <v>2015</v>
      </c>
      <c r="BI578" s="2" t="s">
        <v>487</v>
      </c>
      <c r="BJ578" s="2">
        <v>8</v>
      </c>
    </row>
    <row r="579" spans="1:62" x14ac:dyDescent="0.3">
      <c r="A579" s="2" t="s">
        <v>62</v>
      </c>
      <c r="B579" s="2">
        <v>6</v>
      </c>
      <c r="C579" s="2">
        <v>2</v>
      </c>
      <c r="D579" s="2">
        <v>37.83</v>
      </c>
      <c r="E579" s="2">
        <v>126.09</v>
      </c>
      <c r="F579" s="2" t="s">
        <v>87</v>
      </c>
      <c r="G579" s="2" t="s">
        <v>88</v>
      </c>
      <c r="H579" s="2">
        <v>18</v>
      </c>
      <c r="I579" s="2" t="s">
        <v>863</v>
      </c>
      <c r="J579" s="2" t="s">
        <v>66</v>
      </c>
      <c r="K579" s="2" t="s">
        <v>67</v>
      </c>
      <c r="L579" s="2" t="s">
        <v>414</v>
      </c>
      <c r="M579" s="2">
        <v>6588</v>
      </c>
      <c r="N579" s="2" t="s">
        <v>425</v>
      </c>
      <c r="O579" s="2" t="s">
        <v>70</v>
      </c>
      <c r="P579" s="2" t="s">
        <v>71</v>
      </c>
      <c r="Q579" s="2" t="s">
        <v>2662</v>
      </c>
      <c r="R579" s="2">
        <v>725</v>
      </c>
      <c r="S579" s="2">
        <v>4</v>
      </c>
      <c r="T579" s="2" t="s">
        <v>417</v>
      </c>
      <c r="U579" s="2">
        <v>18.215558999999999</v>
      </c>
      <c r="V579" s="2">
        <v>-66.370506300000002</v>
      </c>
      <c r="W579" s="2" t="s">
        <v>528</v>
      </c>
      <c r="X579" s="2" t="s">
        <v>2545</v>
      </c>
      <c r="Y579" s="2" t="s">
        <v>530</v>
      </c>
      <c r="Z579" s="2">
        <v>6588</v>
      </c>
      <c r="AA579" s="3">
        <v>42283.413888888892</v>
      </c>
      <c r="AB579" s="2">
        <v>10990</v>
      </c>
      <c r="AC579" s="2">
        <v>403</v>
      </c>
      <c r="AD579" s="2">
        <v>3.9</v>
      </c>
      <c r="AE579" s="2">
        <v>0.03</v>
      </c>
      <c r="AF579" s="2" t="str" cm="1">
        <f t="array" ref="AF579">_xlfn.IFS(AE579=0, "No Discount ", AE579&lt;=0.08,"Low Discount", AE579&lt;=0.16,"Medium Discount", AE579&gt;0.16, "High Discount")</f>
        <v>Low Discount</v>
      </c>
      <c r="AG579" s="2">
        <v>27538</v>
      </c>
      <c r="AH579" s="2">
        <v>129.99</v>
      </c>
      <c r="AI579" s="2">
        <v>0.3</v>
      </c>
      <c r="AJ579" s="2" t="str" cm="1">
        <f t="array" ref="AJ579">_xlfn.IFS(AI579&lt;=0, "No Profit", AI579&lt;=0.16,"Low Profit",AI579&lt;=0.32,"Medium Profit",AI579&gt;0.32,"High Profit")</f>
        <v>Medium Profit</v>
      </c>
      <c r="AK579" s="2">
        <v>1</v>
      </c>
      <c r="AL579" s="2">
        <v>129.99</v>
      </c>
      <c r="AM579" s="2">
        <v>126.09</v>
      </c>
      <c r="AN579" s="2">
        <v>37.83</v>
      </c>
      <c r="AO579" s="2" t="s">
        <v>531</v>
      </c>
      <c r="AP579" s="2" t="s">
        <v>2545</v>
      </c>
      <c r="AQ579" s="2" t="s">
        <v>80</v>
      </c>
      <c r="AR579" s="2" t="s">
        <v>81</v>
      </c>
      <c r="AS579" s="2">
        <v>403</v>
      </c>
      <c r="AT579" s="2">
        <v>18</v>
      </c>
      <c r="AU579" s="2" t="s">
        <v>869</v>
      </c>
      <c r="AV579" s="2">
        <v>129.99</v>
      </c>
      <c r="AW579" s="2">
        <v>0</v>
      </c>
      <c r="AX579" s="2" t="s">
        <v>2663</v>
      </c>
      <c r="AY579" s="2" t="s">
        <v>162</v>
      </c>
      <c r="AZ579" s="4">
        <v>42283</v>
      </c>
      <c r="BA579" s="5">
        <v>0.41388888888888886</v>
      </c>
      <c r="BB579" s="2">
        <v>2015</v>
      </c>
      <c r="BC579" s="2" t="s">
        <v>434</v>
      </c>
      <c r="BD579" s="2">
        <v>6</v>
      </c>
      <c r="BE579" s="4">
        <v>42171</v>
      </c>
      <c r="BF579" s="5">
        <v>0.41388888888888886</v>
      </c>
      <c r="BG579" s="2" t="str" cm="1">
        <f t="array" ref="BG579">_xlfn.IFS(BF579&lt;TIMEVALUE("06:00"),"Night", BF579&gt;=TIMEVALUE("21:00"),"Night",BF579&gt;=TIMEVALUE("17:00"),"Evening",BF579&gt;=TIMEVALUE("12:00"),"Afternoon", BF579&gt;=TIMEVALUE("06:00"),"Morning")</f>
        <v>Morning</v>
      </c>
      <c r="BH579" s="2">
        <v>2015</v>
      </c>
      <c r="BI579" s="2" t="s">
        <v>474</v>
      </c>
      <c r="BJ579" s="2">
        <v>16</v>
      </c>
    </row>
    <row r="580" spans="1:62" x14ac:dyDescent="0.3">
      <c r="A580" s="2" t="s">
        <v>62</v>
      </c>
      <c r="B580" s="2">
        <v>5</v>
      </c>
      <c r="C580" s="2">
        <v>2</v>
      </c>
      <c r="D580" s="2">
        <v>52.41</v>
      </c>
      <c r="E580" s="2">
        <v>124.79</v>
      </c>
      <c r="F580" s="2" t="s">
        <v>87</v>
      </c>
      <c r="G580" s="2" t="s">
        <v>88</v>
      </c>
      <c r="H580" s="2">
        <v>18</v>
      </c>
      <c r="I580" s="2" t="s">
        <v>863</v>
      </c>
      <c r="J580" s="2" t="s">
        <v>66</v>
      </c>
      <c r="K580" s="2" t="s">
        <v>67</v>
      </c>
      <c r="L580" s="2" t="s">
        <v>2664</v>
      </c>
      <c r="M580" s="2">
        <v>7167</v>
      </c>
      <c r="N580" s="2" t="s">
        <v>2564</v>
      </c>
      <c r="O580" s="2" t="s">
        <v>70</v>
      </c>
      <c r="P580" s="2" t="s">
        <v>71</v>
      </c>
      <c r="Q580" s="2" t="s">
        <v>1940</v>
      </c>
      <c r="R580" s="2">
        <v>725</v>
      </c>
      <c r="S580" s="2">
        <v>4</v>
      </c>
      <c r="T580" s="2" t="s">
        <v>417</v>
      </c>
      <c r="U580" s="2">
        <v>18.216175100000001</v>
      </c>
      <c r="V580" s="2">
        <v>-66.3706131</v>
      </c>
      <c r="W580" s="2" t="s">
        <v>528</v>
      </c>
      <c r="X580" s="2" t="s">
        <v>2665</v>
      </c>
      <c r="Y580" s="2" t="s">
        <v>549</v>
      </c>
      <c r="Z580" s="2">
        <v>7167</v>
      </c>
      <c r="AA580" s="2" t="s">
        <v>2666</v>
      </c>
      <c r="AB580" s="2">
        <v>65609</v>
      </c>
      <c r="AC580" s="2">
        <v>403</v>
      </c>
      <c r="AD580" s="2">
        <v>5.2</v>
      </c>
      <c r="AE580" s="2">
        <v>0.04</v>
      </c>
      <c r="AF580" s="2" t="str" cm="1">
        <f t="array" ref="AF580">_xlfn.IFS(AE580=0, "No Discount ", AE580&lt;=0.08,"Low Discount", AE580&lt;=0.16,"Medium Discount", AE580&gt;0.16, "High Discount")</f>
        <v>Low Discount</v>
      </c>
      <c r="AG580" s="2">
        <v>163966</v>
      </c>
      <c r="AH580" s="2">
        <v>129.99</v>
      </c>
      <c r="AI580" s="2">
        <v>0.42</v>
      </c>
      <c r="AJ580" s="2" t="str" cm="1">
        <f t="array" ref="AJ580">_xlfn.IFS(AI580&lt;=0, "No Profit", AI580&lt;=0.16,"Low Profit",AI580&lt;=0.32,"Medium Profit",AI580&gt;0.32,"High Profit")</f>
        <v>High Profit</v>
      </c>
      <c r="AK580" s="2">
        <v>1</v>
      </c>
      <c r="AL580" s="2">
        <v>129.99</v>
      </c>
      <c r="AM580" s="2">
        <v>124.79</v>
      </c>
      <c r="AN580" s="2">
        <v>52.41</v>
      </c>
      <c r="AO580" s="2" t="s">
        <v>531</v>
      </c>
      <c r="AP580" s="2" t="s">
        <v>2551</v>
      </c>
      <c r="AQ580" s="2" t="s">
        <v>80</v>
      </c>
      <c r="AR580" s="2" t="s">
        <v>81</v>
      </c>
      <c r="AS580" s="2">
        <v>403</v>
      </c>
      <c r="AT580" s="2">
        <v>18</v>
      </c>
      <c r="AU580" s="2" t="s">
        <v>869</v>
      </c>
      <c r="AV580" s="2">
        <v>129.99</v>
      </c>
      <c r="AW580" s="2">
        <v>0</v>
      </c>
      <c r="AX580" s="2" t="s">
        <v>2667</v>
      </c>
      <c r="AY580" s="2" t="s">
        <v>162</v>
      </c>
      <c r="AZ580" s="4">
        <v>42962</v>
      </c>
      <c r="BA580" s="5">
        <v>0.72499999999999998</v>
      </c>
      <c r="BB580" s="2">
        <v>2017</v>
      </c>
      <c r="BC580" s="2" t="s">
        <v>482</v>
      </c>
      <c r="BD580" s="2">
        <v>15</v>
      </c>
      <c r="BE580" s="4">
        <v>42967</v>
      </c>
      <c r="BF580" s="5">
        <v>0.72499999999999998</v>
      </c>
      <c r="BG580" s="2" t="str" cm="1">
        <f t="array" ref="BG580">_xlfn.IFS(BF580&lt;TIMEVALUE("06:00"),"Night", BF580&gt;=TIMEVALUE("21:00"),"Night",BF580&gt;=TIMEVALUE("17:00"),"Evening",BF580&gt;=TIMEVALUE("12:00"),"Afternoon", BF580&gt;=TIMEVALUE("06:00"),"Morning")</f>
        <v>Evening</v>
      </c>
      <c r="BH580" s="2">
        <v>2017</v>
      </c>
      <c r="BI580" s="2" t="s">
        <v>482</v>
      </c>
      <c r="BJ580" s="2">
        <v>20</v>
      </c>
    </row>
    <row r="581" spans="1:62" x14ac:dyDescent="0.3">
      <c r="A581" s="2" t="s">
        <v>62</v>
      </c>
      <c r="B581" s="2">
        <v>4</v>
      </c>
      <c r="C581" s="2">
        <v>2</v>
      </c>
      <c r="D581" s="2">
        <v>12.48</v>
      </c>
      <c r="E581" s="2">
        <v>124.79</v>
      </c>
      <c r="F581" s="2" t="s">
        <v>87</v>
      </c>
      <c r="G581" s="2" t="s">
        <v>88</v>
      </c>
      <c r="H581" s="2">
        <v>18</v>
      </c>
      <c r="I581" s="2" t="s">
        <v>863</v>
      </c>
      <c r="J581" s="2" t="s">
        <v>66</v>
      </c>
      <c r="K581" s="2" t="s">
        <v>67</v>
      </c>
      <c r="L581" s="2" t="s">
        <v>414</v>
      </c>
      <c r="M581" s="2">
        <v>1459</v>
      </c>
      <c r="N581" s="2" t="s">
        <v>425</v>
      </c>
      <c r="O581" s="2" t="s">
        <v>70</v>
      </c>
      <c r="P581" s="2" t="s">
        <v>71</v>
      </c>
      <c r="Q581" s="2" t="s">
        <v>2668</v>
      </c>
      <c r="R581" s="2">
        <v>725</v>
      </c>
      <c r="S581" s="2">
        <v>4</v>
      </c>
      <c r="T581" s="2" t="s">
        <v>417</v>
      </c>
      <c r="U581" s="2">
        <v>18.289695699999999</v>
      </c>
      <c r="V581" s="2">
        <v>-66.370513900000006</v>
      </c>
      <c r="W581" s="2" t="s">
        <v>528</v>
      </c>
      <c r="X581" s="2" t="s">
        <v>1788</v>
      </c>
      <c r="Y581" s="2" t="s">
        <v>536</v>
      </c>
      <c r="Z581" s="2">
        <v>1459</v>
      </c>
      <c r="AA581" s="2" t="s">
        <v>2669</v>
      </c>
      <c r="AB581" s="2">
        <v>17878</v>
      </c>
      <c r="AC581" s="2">
        <v>403</v>
      </c>
      <c r="AD581" s="2">
        <v>5.2</v>
      </c>
      <c r="AE581" s="2">
        <v>0.04</v>
      </c>
      <c r="AF581" s="2" t="str" cm="1">
        <f t="array" ref="AF581">_xlfn.IFS(AE581=0, "No Discount ", AE581&lt;=0.08,"Low Discount", AE581&lt;=0.16,"Medium Discount", AE581&gt;0.16, "High Discount")</f>
        <v>Low Discount</v>
      </c>
      <c r="AG581" s="2">
        <v>44667</v>
      </c>
      <c r="AH581" s="2">
        <v>129.99</v>
      </c>
      <c r="AI581" s="2">
        <v>0.1</v>
      </c>
      <c r="AJ581" s="2" t="str" cm="1">
        <f t="array" ref="AJ581">_xlfn.IFS(AI581&lt;=0, "No Profit", AI581&lt;=0.16,"Low Profit",AI581&lt;=0.32,"Medium Profit",AI581&gt;0.32,"High Profit")</f>
        <v>Low Profit</v>
      </c>
      <c r="AK581" s="2">
        <v>1</v>
      </c>
      <c r="AL581" s="2">
        <v>129.99</v>
      </c>
      <c r="AM581" s="2">
        <v>124.79</v>
      </c>
      <c r="AN581" s="2">
        <v>12.48</v>
      </c>
      <c r="AO581" s="2" t="s">
        <v>531</v>
      </c>
      <c r="AP581" s="2" t="s">
        <v>579</v>
      </c>
      <c r="AQ581" s="2" t="s">
        <v>80</v>
      </c>
      <c r="AR581" s="2" t="s">
        <v>81</v>
      </c>
      <c r="AS581" s="2">
        <v>403</v>
      </c>
      <c r="AT581" s="2">
        <v>18</v>
      </c>
      <c r="AU581" s="2" t="s">
        <v>869</v>
      </c>
      <c r="AV581" s="2">
        <v>129.99</v>
      </c>
      <c r="AW581" s="2">
        <v>0</v>
      </c>
      <c r="AX581" s="2" t="s">
        <v>2670</v>
      </c>
      <c r="AY581" s="2" t="s">
        <v>162</v>
      </c>
      <c r="AZ581" s="4">
        <v>42265</v>
      </c>
      <c r="BA581" s="5">
        <v>0.96250000000000002</v>
      </c>
      <c r="BB581" s="2">
        <v>2015</v>
      </c>
      <c r="BC581" s="2" t="s">
        <v>552</v>
      </c>
      <c r="BD581" s="2">
        <v>18</v>
      </c>
      <c r="BE581" s="4">
        <v>42269</v>
      </c>
      <c r="BF581" s="5">
        <v>0.96250000000000002</v>
      </c>
      <c r="BG581" s="2" t="str" cm="1">
        <f t="array" ref="BG581">_xlfn.IFS(BF581&lt;TIMEVALUE("06:00"),"Night", BF581&gt;=TIMEVALUE("21:00"),"Night",BF581&gt;=TIMEVALUE("17:00"),"Evening",BF581&gt;=TIMEVALUE("12:00"),"Afternoon", BF581&gt;=TIMEVALUE("06:00"),"Morning")</f>
        <v>Night</v>
      </c>
      <c r="BH581" s="2">
        <v>2015</v>
      </c>
      <c r="BI581" s="2" t="s">
        <v>552</v>
      </c>
      <c r="BJ581" s="2">
        <v>22</v>
      </c>
    </row>
    <row r="582" spans="1:62" x14ac:dyDescent="0.3">
      <c r="A582" s="2" t="s">
        <v>62</v>
      </c>
      <c r="B582" s="2">
        <v>4</v>
      </c>
      <c r="C582" s="2">
        <v>2</v>
      </c>
      <c r="D582" s="2">
        <v>-90.47</v>
      </c>
      <c r="E582" s="2">
        <v>124.79</v>
      </c>
      <c r="F582" s="2" t="s">
        <v>87</v>
      </c>
      <c r="G582" s="2" t="s">
        <v>88</v>
      </c>
      <c r="H582" s="2">
        <v>18</v>
      </c>
      <c r="I582" s="2" t="s">
        <v>863</v>
      </c>
      <c r="J582" s="2" t="s">
        <v>66</v>
      </c>
      <c r="K582" s="2" t="s">
        <v>67</v>
      </c>
      <c r="L582" s="2" t="s">
        <v>2671</v>
      </c>
      <c r="M582" s="2">
        <v>548</v>
      </c>
      <c r="N582" s="2" t="s">
        <v>2672</v>
      </c>
      <c r="O582" s="2" t="s">
        <v>70</v>
      </c>
      <c r="P582" s="2" t="s">
        <v>71</v>
      </c>
      <c r="Q582" s="2" t="s">
        <v>2673</v>
      </c>
      <c r="R582" s="2">
        <v>725</v>
      </c>
      <c r="S582" s="2">
        <v>4</v>
      </c>
      <c r="T582" s="2" t="s">
        <v>417</v>
      </c>
      <c r="U582" s="2">
        <v>18.359100300000001</v>
      </c>
      <c r="V582" s="2">
        <v>-66.077903800000001</v>
      </c>
      <c r="W582" s="2" t="s">
        <v>528</v>
      </c>
      <c r="X582" s="2" t="s">
        <v>1081</v>
      </c>
      <c r="Y582" s="2" t="s">
        <v>549</v>
      </c>
      <c r="Z582" s="2">
        <v>548</v>
      </c>
      <c r="AA582" s="3">
        <v>42164.116666666669</v>
      </c>
      <c r="AB582" s="2">
        <v>16998</v>
      </c>
      <c r="AC582" s="2">
        <v>403</v>
      </c>
      <c r="AD582" s="2">
        <v>5.2</v>
      </c>
      <c r="AE582" s="2">
        <v>0.04</v>
      </c>
      <c r="AF582" s="2" t="str" cm="1">
        <f t="array" ref="AF582">_xlfn.IFS(AE582=0, "No Discount ", AE582&lt;=0.08,"Low Discount", AE582&lt;=0.16,"Medium Discount", AE582&gt;0.16, "High Discount")</f>
        <v>Low Discount</v>
      </c>
      <c r="AG582" s="2">
        <v>42501</v>
      </c>
      <c r="AH582" s="2">
        <v>129.99</v>
      </c>
      <c r="AI582" s="2">
        <v>-0.73</v>
      </c>
      <c r="AJ582" s="2" t="str" cm="1">
        <f t="array" ref="AJ582">_xlfn.IFS(AI582&lt;=0, "No Profit", AI582&lt;=0.16,"Low Profit",AI582&lt;=0.32,"Medium Profit",AI582&gt;0.32,"High Profit")</f>
        <v>No Profit</v>
      </c>
      <c r="AK582" s="2">
        <v>1</v>
      </c>
      <c r="AL582" s="2">
        <v>129.99</v>
      </c>
      <c r="AM582" s="2">
        <v>124.79</v>
      </c>
      <c r="AN582" s="2">
        <v>-90.47</v>
      </c>
      <c r="AO582" s="2" t="s">
        <v>531</v>
      </c>
      <c r="AP582" s="2" t="s">
        <v>1083</v>
      </c>
      <c r="AQ582" s="2" t="s">
        <v>80</v>
      </c>
      <c r="AR582" s="2" t="s">
        <v>81</v>
      </c>
      <c r="AS582" s="2">
        <v>403</v>
      </c>
      <c r="AT582" s="2">
        <v>18</v>
      </c>
      <c r="AU582" s="2" t="s">
        <v>869</v>
      </c>
      <c r="AV582" s="2">
        <v>129.99</v>
      </c>
      <c r="AW582" s="2">
        <v>0</v>
      </c>
      <c r="AX582" s="3">
        <v>42286.116666666669</v>
      </c>
      <c r="AY582" s="2" t="s">
        <v>162</v>
      </c>
      <c r="AZ582" s="4">
        <v>42164</v>
      </c>
      <c r="BA582" s="5">
        <v>0.11666666666666667</v>
      </c>
      <c r="BB582" s="2">
        <v>2015</v>
      </c>
      <c r="BC582" s="2" t="s">
        <v>474</v>
      </c>
      <c r="BD582" s="2">
        <v>9</v>
      </c>
      <c r="BE582" s="4">
        <v>42286</v>
      </c>
      <c r="BF582" s="5">
        <v>0.11666666666666667</v>
      </c>
      <c r="BG582" s="2" t="str" cm="1">
        <f t="array" ref="BG582">_xlfn.IFS(BF582&lt;TIMEVALUE("06:00"),"Night", BF582&gt;=TIMEVALUE("21:00"),"Night",BF582&gt;=TIMEVALUE("17:00"),"Evening",BF582&gt;=TIMEVALUE("12:00"),"Afternoon", BF582&gt;=TIMEVALUE("06:00"),"Morning")</f>
        <v>Night</v>
      </c>
      <c r="BH582" s="2">
        <v>2015</v>
      </c>
      <c r="BI582" s="2" t="s">
        <v>434</v>
      </c>
      <c r="BJ582" s="2">
        <v>9</v>
      </c>
    </row>
    <row r="583" spans="1:62" x14ac:dyDescent="0.3">
      <c r="A583" s="2" t="s">
        <v>62</v>
      </c>
      <c r="B583" s="2">
        <v>6</v>
      </c>
      <c r="C583" s="2">
        <v>2</v>
      </c>
      <c r="D583" s="2">
        <v>54.91</v>
      </c>
      <c r="E583" s="2">
        <v>124.79</v>
      </c>
      <c r="F583" s="2" t="s">
        <v>87</v>
      </c>
      <c r="G583" s="2" t="s">
        <v>88</v>
      </c>
      <c r="H583" s="2">
        <v>18</v>
      </c>
      <c r="I583" s="2" t="s">
        <v>863</v>
      </c>
      <c r="J583" s="2" t="s">
        <v>66</v>
      </c>
      <c r="K583" s="2" t="s">
        <v>67</v>
      </c>
      <c r="L583" s="2" t="s">
        <v>2533</v>
      </c>
      <c r="M583" s="2">
        <v>5224</v>
      </c>
      <c r="N583" s="2" t="s">
        <v>2052</v>
      </c>
      <c r="O583" s="2" t="s">
        <v>70</v>
      </c>
      <c r="P583" s="2" t="s">
        <v>71</v>
      </c>
      <c r="Q583" s="2" t="s">
        <v>2674</v>
      </c>
      <c r="R583" s="2">
        <v>725</v>
      </c>
      <c r="S583" s="2">
        <v>4</v>
      </c>
      <c r="T583" s="2" t="s">
        <v>417</v>
      </c>
      <c r="U583" s="2">
        <v>18.246934899999999</v>
      </c>
      <c r="V583" s="2">
        <v>-66.370582600000006</v>
      </c>
      <c r="W583" s="2" t="s">
        <v>528</v>
      </c>
      <c r="X583" s="2" t="s">
        <v>2675</v>
      </c>
      <c r="Y583" s="2" t="s">
        <v>536</v>
      </c>
      <c r="Z583" s="2">
        <v>5224</v>
      </c>
      <c r="AA583" s="2" t="s">
        <v>2676</v>
      </c>
      <c r="AB583" s="2">
        <v>13970</v>
      </c>
      <c r="AC583" s="2">
        <v>403</v>
      </c>
      <c r="AD583" s="2">
        <v>5.2</v>
      </c>
      <c r="AE583" s="2">
        <v>0.04</v>
      </c>
      <c r="AF583" s="2" t="str" cm="1">
        <f t="array" ref="AF583">_xlfn.IFS(AE583=0, "No Discount ", AE583&lt;=0.08,"Low Discount", AE583&lt;=0.16,"Medium Discount", AE583&gt;0.16, "High Discount")</f>
        <v>Low Discount</v>
      </c>
      <c r="AG583" s="2">
        <v>34955</v>
      </c>
      <c r="AH583" s="2">
        <v>129.99</v>
      </c>
      <c r="AI583" s="2">
        <v>0.44</v>
      </c>
      <c r="AJ583" s="2" t="str" cm="1">
        <f t="array" ref="AJ583">_xlfn.IFS(AI583&lt;=0, "No Profit", AI583&lt;=0.16,"Low Profit",AI583&lt;=0.32,"Medium Profit",AI583&gt;0.32,"High Profit")</f>
        <v>High Profit</v>
      </c>
      <c r="AK583" s="2">
        <v>1</v>
      </c>
      <c r="AL583" s="2">
        <v>129.99</v>
      </c>
      <c r="AM583" s="2">
        <v>124.79</v>
      </c>
      <c r="AN583" s="2">
        <v>54.91</v>
      </c>
      <c r="AO583" s="2" t="s">
        <v>531</v>
      </c>
      <c r="AP583" s="2" t="s">
        <v>568</v>
      </c>
      <c r="AQ583" s="2" t="s">
        <v>80</v>
      </c>
      <c r="AR583" s="2" t="s">
        <v>81</v>
      </c>
      <c r="AS583" s="2">
        <v>403</v>
      </c>
      <c r="AT583" s="2">
        <v>18</v>
      </c>
      <c r="AU583" s="2" t="s">
        <v>869</v>
      </c>
      <c r="AV583" s="2">
        <v>129.99</v>
      </c>
      <c r="AW583" s="2">
        <v>0</v>
      </c>
      <c r="AX583" s="2" t="s">
        <v>2677</v>
      </c>
      <c r="AY583" s="2" t="s">
        <v>162</v>
      </c>
      <c r="AZ583" s="4">
        <v>42208</v>
      </c>
      <c r="BA583" s="5">
        <v>0.9145833333333333</v>
      </c>
      <c r="BB583" s="2">
        <v>2015</v>
      </c>
      <c r="BC583" s="2" t="s">
        <v>533</v>
      </c>
      <c r="BD583" s="2">
        <v>23</v>
      </c>
      <c r="BE583" s="4">
        <v>42214</v>
      </c>
      <c r="BF583" s="5">
        <v>0.9145833333333333</v>
      </c>
      <c r="BG583" s="2" t="str" cm="1">
        <f t="array" ref="BG583">_xlfn.IFS(BF583&lt;TIMEVALUE("06:00"),"Night", BF583&gt;=TIMEVALUE("21:00"),"Night",BF583&gt;=TIMEVALUE("17:00"),"Evening",BF583&gt;=TIMEVALUE("12:00"),"Afternoon", BF583&gt;=TIMEVALUE("06:00"),"Morning")</f>
        <v>Night</v>
      </c>
      <c r="BH583" s="2">
        <v>2015</v>
      </c>
      <c r="BI583" s="2" t="s">
        <v>533</v>
      </c>
      <c r="BJ583" s="2">
        <v>29</v>
      </c>
    </row>
    <row r="584" spans="1:62" x14ac:dyDescent="0.3">
      <c r="A584" s="2" t="s">
        <v>62</v>
      </c>
      <c r="B584" s="2">
        <v>6</v>
      </c>
      <c r="C584" s="2">
        <v>2</v>
      </c>
      <c r="D584" s="2">
        <v>-28.08</v>
      </c>
      <c r="E584" s="2">
        <v>124.79</v>
      </c>
      <c r="F584" s="2" t="s">
        <v>87</v>
      </c>
      <c r="G584" s="2" t="s">
        <v>88</v>
      </c>
      <c r="H584" s="2">
        <v>18</v>
      </c>
      <c r="I584" s="2" t="s">
        <v>863</v>
      </c>
      <c r="J584" s="2" t="s">
        <v>66</v>
      </c>
      <c r="K584" s="2" t="s">
        <v>67</v>
      </c>
      <c r="L584" s="2" t="s">
        <v>414</v>
      </c>
      <c r="M584" s="2">
        <v>6588</v>
      </c>
      <c r="N584" s="2" t="s">
        <v>425</v>
      </c>
      <c r="O584" s="2" t="s">
        <v>70</v>
      </c>
      <c r="P584" s="2" t="s">
        <v>71</v>
      </c>
      <c r="Q584" s="2" t="s">
        <v>2662</v>
      </c>
      <c r="R584" s="2">
        <v>725</v>
      </c>
      <c r="S584" s="2">
        <v>4</v>
      </c>
      <c r="T584" s="2" t="s">
        <v>417</v>
      </c>
      <c r="U584" s="2">
        <v>18.215558999999999</v>
      </c>
      <c r="V584" s="2">
        <v>-66.370506300000002</v>
      </c>
      <c r="W584" s="2" t="s">
        <v>528</v>
      </c>
      <c r="X584" s="2" t="s">
        <v>2545</v>
      </c>
      <c r="Y584" s="2" t="s">
        <v>530</v>
      </c>
      <c r="Z584" s="2">
        <v>6588</v>
      </c>
      <c r="AA584" s="3">
        <v>42283.413888888892</v>
      </c>
      <c r="AB584" s="2">
        <v>10990</v>
      </c>
      <c r="AC584" s="2">
        <v>403</v>
      </c>
      <c r="AD584" s="2">
        <v>5.2</v>
      </c>
      <c r="AE584" s="2">
        <v>0.04</v>
      </c>
      <c r="AF584" s="2" t="str" cm="1">
        <f t="array" ref="AF584">_xlfn.IFS(AE584=0, "No Discount ", AE584&lt;=0.08,"Low Discount", AE584&lt;=0.16,"Medium Discount", AE584&gt;0.16, "High Discount")</f>
        <v>Low Discount</v>
      </c>
      <c r="AG584" s="2">
        <v>27537</v>
      </c>
      <c r="AH584" s="2">
        <v>129.99</v>
      </c>
      <c r="AI584" s="2">
        <v>-0.23</v>
      </c>
      <c r="AJ584" s="2" t="str" cm="1">
        <f t="array" ref="AJ584">_xlfn.IFS(AI584&lt;=0, "No Profit", AI584&lt;=0.16,"Low Profit",AI584&lt;=0.32,"Medium Profit",AI584&gt;0.32,"High Profit")</f>
        <v>No Profit</v>
      </c>
      <c r="AK584" s="2">
        <v>1</v>
      </c>
      <c r="AL584" s="2">
        <v>129.99</v>
      </c>
      <c r="AM584" s="2">
        <v>124.79</v>
      </c>
      <c r="AN584" s="2">
        <v>-28.08</v>
      </c>
      <c r="AO584" s="2" t="s">
        <v>531</v>
      </c>
      <c r="AP584" s="2" t="s">
        <v>2545</v>
      </c>
      <c r="AQ584" s="2" t="s">
        <v>80</v>
      </c>
      <c r="AR584" s="2" t="s">
        <v>81</v>
      </c>
      <c r="AS584" s="2">
        <v>403</v>
      </c>
      <c r="AT584" s="2">
        <v>18</v>
      </c>
      <c r="AU584" s="2" t="s">
        <v>869</v>
      </c>
      <c r="AV584" s="2">
        <v>129.99</v>
      </c>
      <c r="AW584" s="2">
        <v>0</v>
      </c>
      <c r="AX584" s="2" t="s">
        <v>2663</v>
      </c>
      <c r="AY584" s="2" t="s">
        <v>162</v>
      </c>
      <c r="AZ584" s="4">
        <v>42283</v>
      </c>
      <c r="BA584" s="5">
        <v>0.41388888888888886</v>
      </c>
      <c r="BB584" s="2">
        <v>2015</v>
      </c>
      <c r="BC584" s="2" t="s">
        <v>434</v>
      </c>
      <c r="BD584" s="2">
        <v>6</v>
      </c>
      <c r="BE584" s="4">
        <v>42171</v>
      </c>
      <c r="BF584" s="5">
        <v>0.41388888888888886</v>
      </c>
      <c r="BG584" s="2" t="str" cm="1">
        <f t="array" ref="BG584">_xlfn.IFS(BF584&lt;TIMEVALUE("06:00"),"Night", BF584&gt;=TIMEVALUE("21:00"),"Night",BF584&gt;=TIMEVALUE("17:00"),"Evening",BF584&gt;=TIMEVALUE("12:00"),"Afternoon", BF584&gt;=TIMEVALUE("06:00"),"Morning")</f>
        <v>Morning</v>
      </c>
      <c r="BH584" s="2">
        <v>2015</v>
      </c>
      <c r="BI584" s="2" t="s">
        <v>474</v>
      </c>
      <c r="BJ584" s="2">
        <v>16</v>
      </c>
    </row>
    <row r="585" spans="1:62" x14ac:dyDescent="0.3">
      <c r="A585" s="2" t="s">
        <v>62</v>
      </c>
      <c r="B585" s="2">
        <v>5</v>
      </c>
      <c r="C585" s="2">
        <v>2</v>
      </c>
      <c r="D585" s="2">
        <v>21.37</v>
      </c>
      <c r="E585" s="2">
        <v>56.99</v>
      </c>
      <c r="F585" s="2" t="s">
        <v>87</v>
      </c>
      <c r="G585" s="2" t="s">
        <v>88</v>
      </c>
      <c r="H585" s="2">
        <v>17</v>
      </c>
      <c r="I585" s="2" t="s">
        <v>412</v>
      </c>
      <c r="J585" s="2" t="s">
        <v>66</v>
      </c>
      <c r="K585" s="2" t="s">
        <v>67</v>
      </c>
      <c r="L585" s="2" t="s">
        <v>414</v>
      </c>
      <c r="M585" s="2">
        <v>2686</v>
      </c>
      <c r="N585" s="2" t="s">
        <v>2678</v>
      </c>
      <c r="O585" s="2" t="s">
        <v>70</v>
      </c>
      <c r="P585" s="2" t="s">
        <v>71</v>
      </c>
      <c r="Q585" s="2" t="s">
        <v>2679</v>
      </c>
      <c r="R585" s="2">
        <v>725</v>
      </c>
      <c r="S585" s="2">
        <v>4</v>
      </c>
      <c r="T585" s="2" t="s">
        <v>417</v>
      </c>
      <c r="U585" s="2">
        <v>18.2772045</v>
      </c>
      <c r="V585" s="2">
        <v>-66.3706131</v>
      </c>
      <c r="W585" s="2" t="s">
        <v>528</v>
      </c>
      <c r="X585" s="2" t="s">
        <v>2680</v>
      </c>
      <c r="Y585" s="2" t="s">
        <v>549</v>
      </c>
      <c r="Z585" s="2">
        <v>2686</v>
      </c>
      <c r="AA585" s="2" t="s">
        <v>2681</v>
      </c>
      <c r="AB585" s="2">
        <v>13614</v>
      </c>
      <c r="AC585" s="2">
        <v>365</v>
      </c>
      <c r="AD585" s="2">
        <v>3</v>
      </c>
      <c r="AE585" s="2">
        <v>0.05</v>
      </c>
      <c r="AF585" s="2" t="str" cm="1">
        <f t="array" ref="AF585">_xlfn.IFS(AE585=0, "No Discount ", AE585&lt;=0.08,"Low Discount", AE585&lt;=0.16,"Medium Discount", AE585&gt;0.16, "High Discount")</f>
        <v>Low Discount</v>
      </c>
      <c r="AG585" s="2">
        <v>34101</v>
      </c>
      <c r="AH585" s="2">
        <v>59.99</v>
      </c>
      <c r="AI585" s="2">
        <v>0.38</v>
      </c>
      <c r="AJ585" s="2" t="str" cm="1">
        <f t="array" ref="AJ585">_xlfn.IFS(AI585&lt;=0, "No Profit", AI585&lt;=0.16,"Low Profit",AI585&lt;=0.32,"Medium Profit",AI585&gt;0.32,"High Profit")</f>
        <v>High Profit</v>
      </c>
      <c r="AK585" s="2">
        <v>1</v>
      </c>
      <c r="AL585" s="2">
        <v>59.99</v>
      </c>
      <c r="AM585" s="2">
        <v>56.99</v>
      </c>
      <c r="AN585" s="2">
        <v>21.37</v>
      </c>
      <c r="AO585" s="2" t="s">
        <v>531</v>
      </c>
      <c r="AP585" s="2" t="s">
        <v>2551</v>
      </c>
      <c r="AQ585" s="2" t="s">
        <v>80</v>
      </c>
      <c r="AR585" s="2" t="s">
        <v>81</v>
      </c>
      <c r="AS585" s="2">
        <v>365</v>
      </c>
      <c r="AT585" s="2">
        <v>17</v>
      </c>
      <c r="AU585" s="2" t="s">
        <v>421</v>
      </c>
      <c r="AV585" s="2">
        <v>59.99</v>
      </c>
      <c r="AW585" s="2">
        <v>0</v>
      </c>
      <c r="AX585" s="2" t="s">
        <v>2682</v>
      </c>
      <c r="AY585" s="2" t="s">
        <v>162</v>
      </c>
      <c r="AZ585" s="4">
        <v>42203</v>
      </c>
      <c r="BA585" s="5">
        <v>0.71805555555555556</v>
      </c>
      <c r="BB585" s="2">
        <v>2015</v>
      </c>
      <c r="BC585" s="2" t="s">
        <v>533</v>
      </c>
      <c r="BD585" s="2">
        <v>18</v>
      </c>
      <c r="BE585" s="4">
        <v>42208</v>
      </c>
      <c r="BF585" s="5">
        <v>0.71805555555555556</v>
      </c>
      <c r="BG585" s="2" t="str" cm="1">
        <f t="array" ref="BG585">_xlfn.IFS(BF585&lt;TIMEVALUE("06:00"),"Night", BF585&gt;=TIMEVALUE("21:00"),"Night",BF585&gt;=TIMEVALUE("17:00"),"Evening",BF585&gt;=TIMEVALUE("12:00"),"Afternoon", BF585&gt;=TIMEVALUE("06:00"),"Morning")</f>
        <v>Evening</v>
      </c>
      <c r="BH585" s="2">
        <v>2015</v>
      </c>
      <c r="BI585" s="2" t="s">
        <v>533</v>
      </c>
      <c r="BJ585" s="2">
        <v>23</v>
      </c>
    </row>
    <row r="586" spans="1:62" x14ac:dyDescent="0.3">
      <c r="A586" s="2" t="s">
        <v>62</v>
      </c>
      <c r="B586" s="2">
        <v>4</v>
      </c>
      <c r="C586" s="2">
        <v>2</v>
      </c>
      <c r="D586" s="2">
        <v>56.51</v>
      </c>
      <c r="E586" s="2">
        <v>122.84</v>
      </c>
      <c r="F586" s="2" t="s">
        <v>87</v>
      </c>
      <c r="G586" s="2" t="s">
        <v>88</v>
      </c>
      <c r="H586" s="2">
        <v>18</v>
      </c>
      <c r="I586" s="2" t="s">
        <v>863</v>
      </c>
      <c r="J586" s="2" t="s">
        <v>66</v>
      </c>
      <c r="K586" s="2" t="s">
        <v>67</v>
      </c>
      <c r="L586" s="2" t="s">
        <v>414</v>
      </c>
      <c r="M586" s="2">
        <v>468</v>
      </c>
      <c r="N586" s="2" t="s">
        <v>2683</v>
      </c>
      <c r="O586" s="2" t="s">
        <v>70</v>
      </c>
      <c r="P586" s="2" t="s">
        <v>71</v>
      </c>
      <c r="Q586" s="2" t="s">
        <v>2337</v>
      </c>
      <c r="R586" s="2">
        <v>725</v>
      </c>
      <c r="S586" s="2">
        <v>4</v>
      </c>
      <c r="T586" s="2" t="s">
        <v>417</v>
      </c>
      <c r="U586" s="2">
        <v>18.227577199999999</v>
      </c>
      <c r="V586" s="2">
        <v>-66.045623800000001</v>
      </c>
      <c r="W586" s="2" t="s">
        <v>528</v>
      </c>
      <c r="X586" s="2" t="s">
        <v>2684</v>
      </c>
      <c r="Y586" s="2" t="s">
        <v>1772</v>
      </c>
      <c r="Z586" s="2">
        <v>468</v>
      </c>
      <c r="AA586" s="3">
        <v>42623.947222222225</v>
      </c>
      <c r="AB586" s="2">
        <v>44388</v>
      </c>
      <c r="AC586" s="2">
        <v>403</v>
      </c>
      <c r="AD586" s="2">
        <v>7.15</v>
      </c>
      <c r="AE586" s="2">
        <v>0.06</v>
      </c>
      <c r="AF586" s="2" t="str" cm="1">
        <f t="array" ref="AF586">_xlfn.IFS(AE586=0, "No Discount ", AE586&lt;=0.08,"Low Discount", AE586&lt;=0.16,"Medium Discount", AE586&gt;0.16, "High Discount")</f>
        <v>Low Discount</v>
      </c>
      <c r="AG586" s="2">
        <v>110806</v>
      </c>
      <c r="AH586" s="2">
        <v>129.99</v>
      </c>
      <c r="AI586" s="2">
        <v>0.46</v>
      </c>
      <c r="AJ586" s="2" t="str" cm="1">
        <f t="array" ref="AJ586">_xlfn.IFS(AI586&lt;=0, "No Profit", AI586&lt;=0.16,"Low Profit",AI586&lt;=0.32,"Medium Profit",AI586&gt;0.32,"High Profit")</f>
        <v>High Profit</v>
      </c>
      <c r="AK586" s="2">
        <v>1</v>
      </c>
      <c r="AL586" s="2">
        <v>129.99</v>
      </c>
      <c r="AM586" s="2">
        <v>122.84</v>
      </c>
      <c r="AN586" s="2">
        <v>56.51</v>
      </c>
      <c r="AO586" s="2" t="s">
        <v>1717</v>
      </c>
      <c r="AP586" s="2" t="s">
        <v>2684</v>
      </c>
      <c r="AQ586" s="2" t="s">
        <v>80</v>
      </c>
      <c r="AR586" s="2" t="s">
        <v>81</v>
      </c>
      <c r="AS586" s="2">
        <v>403</v>
      </c>
      <c r="AT586" s="2">
        <v>18</v>
      </c>
      <c r="AU586" s="2" t="s">
        <v>869</v>
      </c>
      <c r="AV586" s="2">
        <v>129.99</v>
      </c>
      <c r="AW586" s="2">
        <v>0</v>
      </c>
      <c r="AX586" s="2" t="s">
        <v>2685</v>
      </c>
      <c r="AY586" s="2" t="s">
        <v>162</v>
      </c>
      <c r="AZ586" s="4">
        <v>42623</v>
      </c>
      <c r="BA586" s="5">
        <v>0.94722222222222219</v>
      </c>
      <c r="BB586" s="2">
        <v>2016</v>
      </c>
      <c r="BC586" s="2" t="s">
        <v>552</v>
      </c>
      <c r="BD586" s="2">
        <v>10</v>
      </c>
      <c r="BE586" s="4">
        <v>42656</v>
      </c>
      <c r="BF586" s="5">
        <v>0.94722222222222219</v>
      </c>
      <c r="BG586" s="2" t="str" cm="1">
        <f t="array" ref="BG586">_xlfn.IFS(BF586&lt;TIMEVALUE("06:00"),"Night", BF586&gt;=TIMEVALUE("21:00"),"Night",BF586&gt;=TIMEVALUE("17:00"),"Evening",BF586&gt;=TIMEVALUE("12:00"),"Afternoon", BF586&gt;=TIMEVALUE("06:00"),"Morning")</f>
        <v>Night</v>
      </c>
      <c r="BH586" s="2">
        <v>2016</v>
      </c>
      <c r="BI586" s="2" t="s">
        <v>434</v>
      </c>
      <c r="BJ586" s="2">
        <v>13</v>
      </c>
    </row>
    <row r="587" spans="1:62" x14ac:dyDescent="0.3">
      <c r="A587" s="2" t="s">
        <v>62</v>
      </c>
      <c r="B587" s="2">
        <v>6</v>
      </c>
      <c r="C587" s="2">
        <v>2</v>
      </c>
      <c r="D587" s="2">
        <v>28.35</v>
      </c>
      <c r="E587" s="2">
        <v>56.69</v>
      </c>
      <c r="F587" s="2" t="s">
        <v>87</v>
      </c>
      <c r="G587" s="2" t="s">
        <v>88</v>
      </c>
      <c r="H587" s="2">
        <v>17</v>
      </c>
      <c r="I587" s="2" t="s">
        <v>412</v>
      </c>
      <c r="J587" s="2" t="s">
        <v>66</v>
      </c>
      <c r="K587" s="2" t="s">
        <v>67</v>
      </c>
      <c r="L587" s="2" t="s">
        <v>414</v>
      </c>
      <c r="M587" s="2">
        <v>8456</v>
      </c>
      <c r="N587" s="2" t="s">
        <v>425</v>
      </c>
      <c r="O587" s="2" t="s">
        <v>70</v>
      </c>
      <c r="P587" s="2" t="s">
        <v>71</v>
      </c>
      <c r="Q587" s="2" t="s">
        <v>842</v>
      </c>
      <c r="R587" s="2">
        <v>725</v>
      </c>
      <c r="S587" s="2">
        <v>4</v>
      </c>
      <c r="T587" s="2" t="s">
        <v>417</v>
      </c>
      <c r="U587" s="2">
        <v>18.245351800000002</v>
      </c>
      <c r="V587" s="2">
        <v>-66.370597799999999</v>
      </c>
      <c r="W587" s="2" t="s">
        <v>528</v>
      </c>
      <c r="X587" s="2" t="s">
        <v>1067</v>
      </c>
      <c r="Y587" s="2" t="s">
        <v>1068</v>
      </c>
      <c r="Z587" s="2">
        <v>8456</v>
      </c>
      <c r="AA587" s="3">
        <v>42284.484722222223</v>
      </c>
      <c r="AB587" s="2">
        <v>13050</v>
      </c>
      <c r="AC587" s="2">
        <v>365</v>
      </c>
      <c r="AD587" s="2">
        <v>3.3</v>
      </c>
      <c r="AE587" s="2">
        <v>0.06</v>
      </c>
      <c r="AF587" s="2" t="str" cm="1">
        <f t="array" ref="AF587">_xlfn.IFS(AE587=0, "No Discount ", AE587&lt;=0.08,"Low Discount", AE587&lt;=0.16,"Medium Discount", AE587&gt;0.16, "High Discount")</f>
        <v>Low Discount</v>
      </c>
      <c r="AG587" s="2">
        <v>32638</v>
      </c>
      <c r="AH587" s="2">
        <v>59.99</v>
      </c>
      <c r="AI587" s="2">
        <v>0.5</v>
      </c>
      <c r="AJ587" s="2" t="str" cm="1">
        <f t="array" ref="AJ587">_xlfn.IFS(AI587&lt;=0, "No Profit", AI587&lt;=0.16,"Low Profit",AI587&lt;=0.32,"Medium Profit",AI587&gt;0.32,"High Profit")</f>
        <v>High Profit</v>
      </c>
      <c r="AK587" s="2">
        <v>1</v>
      </c>
      <c r="AL587" s="2">
        <v>59.99</v>
      </c>
      <c r="AM587" s="2">
        <v>56.69</v>
      </c>
      <c r="AN587" s="2">
        <v>28.35</v>
      </c>
      <c r="AO587" s="2" t="s">
        <v>558</v>
      </c>
      <c r="AP587" s="2" t="s">
        <v>1067</v>
      </c>
      <c r="AQ587" s="2" t="s">
        <v>80</v>
      </c>
      <c r="AR587" s="2" t="s">
        <v>81</v>
      </c>
      <c r="AS587" s="2">
        <v>365</v>
      </c>
      <c r="AT587" s="2">
        <v>17</v>
      </c>
      <c r="AU587" s="2" t="s">
        <v>421</v>
      </c>
      <c r="AV587" s="2">
        <v>59.99</v>
      </c>
      <c r="AW587" s="2">
        <v>0</v>
      </c>
      <c r="AX587" s="2" t="s">
        <v>2686</v>
      </c>
      <c r="AY587" s="2" t="s">
        <v>162</v>
      </c>
      <c r="AZ587" s="4">
        <v>42284</v>
      </c>
      <c r="BA587" s="5">
        <v>0.48472222222222222</v>
      </c>
      <c r="BB587" s="2">
        <v>2015</v>
      </c>
      <c r="BC587" s="2" t="s">
        <v>434</v>
      </c>
      <c r="BD587" s="2">
        <v>7</v>
      </c>
      <c r="BE587" s="4">
        <v>42201</v>
      </c>
      <c r="BF587" s="5">
        <v>0.48472222222222222</v>
      </c>
      <c r="BG587" s="2" t="str" cm="1">
        <f t="array" ref="BG587">_xlfn.IFS(BF587&lt;TIMEVALUE("06:00"),"Night", BF587&gt;=TIMEVALUE("21:00"),"Night",BF587&gt;=TIMEVALUE("17:00"),"Evening",BF587&gt;=TIMEVALUE("12:00"),"Afternoon", BF587&gt;=TIMEVALUE("06:00"),"Morning")</f>
        <v>Morning</v>
      </c>
      <c r="BH587" s="2">
        <v>2015</v>
      </c>
      <c r="BI587" s="2" t="s">
        <v>533</v>
      </c>
      <c r="BJ587" s="2">
        <v>16</v>
      </c>
    </row>
    <row r="588" spans="1:62" x14ac:dyDescent="0.3">
      <c r="A588" s="2" t="s">
        <v>62</v>
      </c>
      <c r="B588" s="2">
        <v>4</v>
      </c>
      <c r="C588" s="2">
        <v>2</v>
      </c>
      <c r="D588" s="2">
        <v>-24.57</v>
      </c>
      <c r="E588" s="2">
        <v>122.84</v>
      </c>
      <c r="F588" s="2" t="s">
        <v>87</v>
      </c>
      <c r="G588" s="2" t="s">
        <v>88</v>
      </c>
      <c r="H588" s="2">
        <v>18</v>
      </c>
      <c r="I588" s="2" t="s">
        <v>863</v>
      </c>
      <c r="J588" s="2" t="s">
        <v>66</v>
      </c>
      <c r="K588" s="2" t="s">
        <v>67</v>
      </c>
      <c r="L588" s="2" t="s">
        <v>293</v>
      </c>
      <c r="M588" s="2">
        <v>1260</v>
      </c>
      <c r="N588" s="2" t="s">
        <v>2687</v>
      </c>
      <c r="O588" s="2" t="s">
        <v>70</v>
      </c>
      <c r="P588" s="2" t="s">
        <v>71</v>
      </c>
      <c r="Q588" s="2" t="s">
        <v>2688</v>
      </c>
      <c r="R588" s="2">
        <v>725</v>
      </c>
      <c r="S588" s="2">
        <v>4</v>
      </c>
      <c r="T588" s="2" t="s">
        <v>417</v>
      </c>
      <c r="U588" s="2">
        <v>18.2215405</v>
      </c>
      <c r="V588" s="2">
        <v>-66.370636000000005</v>
      </c>
      <c r="W588" s="2" t="s">
        <v>528</v>
      </c>
      <c r="X588" s="2" t="s">
        <v>2689</v>
      </c>
      <c r="Y588" s="2" t="s">
        <v>2690</v>
      </c>
      <c r="Z588" s="2">
        <v>1260</v>
      </c>
      <c r="AA588" s="3">
        <v>42101.105555555558</v>
      </c>
      <c r="AB588" s="2">
        <v>12613</v>
      </c>
      <c r="AC588" s="2">
        <v>403</v>
      </c>
      <c r="AD588" s="2">
        <v>7.15</v>
      </c>
      <c r="AE588" s="2">
        <v>0.06</v>
      </c>
      <c r="AF588" s="2" t="str" cm="1">
        <f t="array" ref="AF588">_xlfn.IFS(AE588=0, "No Discount ", AE588&lt;=0.08,"Low Discount", AE588&lt;=0.16,"Medium Discount", AE588&gt;0.16, "High Discount")</f>
        <v>Low Discount</v>
      </c>
      <c r="AG588" s="2">
        <v>31580</v>
      </c>
      <c r="AH588" s="2">
        <v>129.99</v>
      </c>
      <c r="AI588" s="2">
        <v>-0.2</v>
      </c>
      <c r="AJ588" s="2" t="str" cm="1">
        <f t="array" ref="AJ588">_xlfn.IFS(AI588&lt;=0, "No Profit", AI588&lt;=0.16,"Low Profit",AI588&lt;=0.32,"Medium Profit",AI588&gt;0.32,"High Profit")</f>
        <v>No Profit</v>
      </c>
      <c r="AK588" s="2">
        <v>1</v>
      </c>
      <c r="AL588" s="2">
        <v>129.99</v>
      </c>
      <c r="AM588" s="2">
        <v>122.84</v>
      </c>
      <c r="AN588" s="2">
        <v>-24.57</v>
      </c>
      <c r="AO588" s="2" t="s">
        <v>558</v>
      </c>
      <c r="AP588" s="2" t="s">
        <v>2689</v>
      </c>
      <c r="AQ588" s="2" t="s">
        <v>80</v>
      </c>
      <c r="AR588" s="2" t="s">
        <v>81</v>
      </c>
      <c r="AS588" s="2">
        <v>403</v>
      </c>
      <c r="AT588" s="2">
        <v>18</v>
      </c>
      <c r="AU588" s="2" t="s">
        <v>869</v>
      </c>
      <c r="AV588" s="2">
        <v>129.99</v>
      </c>
      <c r="AW588" s="2">
        <v>0</v>
      </c>
      <c r="AX588" s="3">
        <v>42223.105555555558</v>
      </c>
      <c r="AY588" s="2" t="s">
        <v>162</v>
      </c>
      <c r="AZ588" s="4">
        <v>42101</v>
      </c>
      <c r="BA588" s="5">
        <v>0.10555555555555556</v>
      </c>
      <c r="BB588" s="2">
        <v>2015</v>
      </c>
      <c r="BC588" s="2" t="s">
        <v>487</v>
      </c>
      <c r="BD588" s="2">
        <v>7</v>
      </c>
      <c r="BE588" s="4">
        <v>42223</v>
      </c>
      <c r="BF588" s="5">
        <v>0.10555555555555556</v>
      </c>
      <c r="BG588" s="2" t="str" cm="1">
        <f t="array" ref="BG588">_xlfn.IFS(BF588&lt;TIMEVALUE("06:00"),"Night", BF588&gt;=TIMEVALUE("21:00"),"Night",BF588&gt;=TIMEVALUE("17:00"),"Evening",BF588&gt;=TIMEVALUE("12:00"),"Afternoon", BF588&gt;=TIMEVALUE("06:00"),"Morning")</f>
        <v>Night</v>
      </c>
      <c r="BH588" s="2">
        <v>2015</v>
      </c>
      <c r="BI588" s="2" t="s">
        <v>482</v>
      </c>
      <c r="BJ588" s="2">
        <v>7</v>
      </c>
    </row>
    <row r="589" spans="1:62" x14ac:dyDescent="0.3">
      <c r="A589" s="2" t="s">
        <v>62</v>
      </c>
      <c r="B589" s="2">
        <v>3</v>
      </c>
      <c r="C589" s="2">
        <v>2</v>
      </c>
      <c r="D589" s="2">
        <v>58.96</v>
      </c>
      <c r="E589" s="2">
        <v>122.84</v>
      </c>
      <c r="F589" s="2" t="s">
        <v>87</v>
      </c>
      <c r="G589" s="2" t="s">
        <v>88</v>
      </c>
      <c r="H589" s="2">
        <v>18</v>
      </c>
      <c r="I589" s="2" t="s">
        <v>863</v>
      </c>
      <c r="J589" s="2" t="s">
        <v>66</v>
      </c>
      <c r="K589" s="2" t="s">
        <v>67</v>
      </c>
      <c r="L589" s="2" t="s">
        <v>414</v>
      </c>
      <c r="M589" s="2">
        <v>3050</v>
      </c>
      <c r="N589" s="2" t="s">
        <v>425</v>
      </c>
      <c r="O589" s="2" t="s">
        <v>70</v>
      </c>
      <c r="P589" s="2" t="s">
        <v>71</v>
      </c>
      <c r="Q589" s="2" t="s">
        <v>2691</v>
      </c>
      <c r="R589" s="2">
        <v>725</v>
      </c>
      <c r="S589" s="2">
        <v>4</v>
      </c>
      <c r="T589" s="2" t="s">
        <v>417</v>
      </c>
      <c r="U589" s="2">
        <v>18.281627700000001</v>
      </c>
      <c r="V589" s="2">
        <v>-66.370567300000005</v>
      </c>
      <c r="W589" s="2" t="s">
        <v>528</v>
      </c>
      <c r="X589" s="2" t="s">
        <v>982</v>
      </c>
      <c r="Y589" s="2" t="s">
        <v>983</v>
      </c>
      <c r="Z589" s="2">
        <v>3050</v>
      </c>
      <c r="AA589" s="2" t="s">
        <v>2692</v>
      </c>
      <c r="AB589" s="2">
        <v>66587</v>
      </c>
      <c r="AC589" s="2">
        <v>403</v>
      </c>
      <c r="AD589" s="2">
        <v>7.15</v>
      </c>
      <c r="AE589" s="2">
        <v>0.06</v>
      </c>
      <c r="AF589" s="2" t="str" cm="1">
        <f t="array" ref="AF589">_xlfn.IFS(AE589=0, "No Discount ", AE589&lt;=0.08,"Low Discount", AE589&lt;=0.16,"Medium Discount", AE589&gt;0.16, "High Discount")</f>
        <v>Low Discount</v>
      </c>
      <c r="AG589" s="2">
        <v>166432</v>
      </c>
      <c r="AH589" s="2">
        <v>129.99</v>
      </c>
      <c r="AI589" s="2">
        <v>0.48</v>
      </c>
      <c r="AJ589" s="2" t="str" cm="1">
        <f t="array" ref="AJ589">_xlfn.IFS(AI589&lt;=0, "No Profit", AI589&lt;=0.16,"Low Profit",AI589&lt;=0.32,"Medium Profit",AI589&gt;0.32,"High Profit")</f>
        <v>High Profit</v>
      </c>
      <c r="AK589" s="2">
        <v>1</v>
      </c>
      <c r="AL589" s="2">
        <v>129.99</v>
      </c>
      <c r="AM589" s="2">
        <v>122.84</v>
      </c>
      <c r="AN589" s="2">
        <v>58.96</v>
      </c>
      <c r="AO589" s="2" t="s">
        <v>905</v>
      </c>
      <c r="AP589" s="2" t="s">
        <v>982</v>
      </c>
      <c r="AQ589" s="2" t="s">
        <v>80</v>
      </c>
      <c r="AR589" s="2" t="s">
        <v>81</v>
      </c>
      <c r="AS589" s="2">
        <v>403</v>
      </c>
      <c r="AT589" s="2">
        <v>18</v>
      </c>
      <c r="AU589" s="2" t="s">
        <v>869</v>
      </c>
      <c r="AV589" s="2">
        <v>129.99</v>
      </c>
      <c r="AW589" s="2">
        <v>0</v>
      </c>
      <c r="AX589" s="3">
        <v>42775.001388888886</v>
      </c>
      <c r="AY589" s="2" t="s">
        <v>162</v>
      </c>
      <c r="AZ589" s="4">
        <v>42977</v>
      </c>
      <c r="BA589" s="5">
        <v>1.3888888888888889E-3</v>
      </c>
      <c r="BB589" s="2">
        <v>2017</v>
      </c>
      <c r="BC589" s="2" t="s">
        <v>482</v>
      </c>
      <c r="BD589" s="2">
        <v>30</v>
      </c>
      <c r="BE589" s="4">
        <v>42775</v>
      </c>
      <c r="BF589" s="5">
        <v>1.3888888888888889E-3</v>
      </c>
      <c r="BG589" s="2" t="str" cm="1">
        <f t="array" ref="BG589">_xlfn.IFS(BF589&lt;TIMEVALUE("06:00"),"Night", BF589&gt;=TIMEVALUE("21:00"),"Night",BF589&gt;=TIMEVALUE("17:00"),"Evening",BF589&gt;=TIMEVALUE("12:00"),"Afternoon", BF589&gt;=TIMEVALUE("06:00"),"Morning")</f>
        <v>Night</v>
      </c>
      <c r="BH589" s="2">
        <v>2017</v>
      </c>
      <c r="BI589" s="2" t="s">
        <v>423</v>
      </c>
      <c r="BJ589" s="2">
        <v>9</v>
      </c>
    </row>
    <row r="590" spans="1:62" x14ac:dyDescent="0.3">
      <c r="A590" s="2" t="s">
        <v>62</v>
      </c>
      <c r="B590" s="2">
        <v>6</v>
      </c>
      <c r="C590" s="2">
        <v>2</v>
      </c>
      <c r="D590" s="2">
        <v>7.74</v>
      </c>
      <c r="E590" s="2">
        <v>122.84</v>
      </c>
      <c r="F590" s="2" t="s">
        <v>87</v>
      </c>
      <c r="G590" s="2" t="s">
        <v>88</v>
      </c>
      <c r="H590" s="2">
        <v>18</v>
      </c>
      <c r="I590" s="2" t="s">
        <v>863</v>
      </c>
      <c r="J590" s="2" t="s">
        <v>66</v>
      </c>
      <c r="K590" s="2" t="s">
        <v>67</v>
      </c>
      <c r="L590" s="2" t="s">
        <v>414</v>
      </c>
      <c r="M590" s="2">
        <v>10308</v>
      </c>
      <c r="N590" s="2" t="s">
        <v>425</v>
      </c>
      <c r="O590" s="2" t="s">
        <v>70</v>
      </c>
      <c r="P590" s="2" t="s">
        <v>71</v>
      </c>
      <c r="Q590" s="2" t="s">
        <v>2693</v>
      </c>
      <c r="R590" s="2">
        <v>725</v>
      </c>
      <c r="S590" s="2">
        <v>4</v>
      </c>
      <c r="T590" s="2" t="s">
        <v>417</v>
      </c>
      <c r="U590" s="2">
        <v>18.279493299999999</v>
      </c>
      <c r="V590" s="2">
        <v>-66.370529199999993</v>
      </c>
      <c r="W590" s="2" t="s">
        <v>528</v>
      </c>
      <c r="X590" s="2" t="s">
        <v>2694</v>
      </c>
      <c r="Y590" s="2" t="s">
        <v>536</v>
      </c>
      <c r="Z590" s="2">
        <v>10308</v>
      </c>
      <c r="AA590" s="3">
        <v>42862.647222222222</v>
      </c>
      <c r="AB590" s="2">
        <v>62795</v>
      </c>
      <c r="AC590" s="2">
        <v>403</v>
      </c>
      <c r="AD590" s="2">
        <v>7.15</v>
      </c>
      <c r="AE590" s="2">
        <v>0.06</v>
      </c>
      <c r="AF590" s="2" t="str" cm="1">
        <f t="array" ref="AF590">_xlfn.IFS(AE590=0, "No Discount ", AE590&lt;=0.08,"Low Discount", AE590&lt;=0.16,"Medium Discount", AE590&gt;0.16, "High Discount")</f>
        <v>Low Discount</v>
      </c>
      <c r="AG590" s="2">
        <v>156995</v>
      </c>
      <c r="AH590" s="2">
        <v>129.99</v>
      </c>
      <c r="AI590" s="2">
        <v>0.06</v>
      </c>
      <c r="AJ590" s="2" t="str" cm="1">
        <f t="array" ref="AJ590">_xlfn.IFS(AI590&lt;=0, "No Profit", AI590&lt;=0.16,"Low Profit",AI590&lt;=0.32,"Medium Profit",AI590&gt;0.32,"High Profit")</f>
        <v>Low Profit</v>
      </c>
      <c r="AK590" s="2">
        <v>1</v>
      </c>
      <c r="AL590" s="2">
        <v>129.99</v>
      </c>
      <c r="AM590" s="2">
        <v>122.84</v>
      </c>
      <c r="AN590" s="2">
        <v>7.74</v>
      </c>
      <c r="AO590" s="2" t="s">
        <v>531</v>
      </c>
      <c r="AP590" s="2" t="s">
        <v>579</v>
      </c>
      <c r="AQ590" s="2" t="s">
        <v>80</v>
      </c>
      <c r="AR590" s="2" t="s">
        <v>81</v>
      </c>
      <c r="AS590" s="2">
        <v>403</v>
      </c>
      <c r="AT590" s="2">
        <v>18</v>
      </c>
      <c r="AU590" s="2" t="s">
        <v>869</v>
      </c>
      <c r="AV590" s="2">
        <v>129.99</v>
      </c>
      <c r="AW590" s="2">
        <v>0</v>
      </c>
      <c r="AX590" s="3">
        <v>43046.647222222222</v>
      </c>
      <c r="AY590" s="2" t="s">
        <v>162</v>
      </c>
      <c r="AZ590" s="4">
        <v>42862</v>
      </c>
      <c r="BA590" s="5">
        <v>0.64722222222222225</v>
      </c>
      <c r="BB590" s="2">
        <v>2017</v>
      </c>
      <c r="BC590" s="2" t="s">
        <v>443</v>
      </c>
      <c r="BD590" s="2">
        <v>7</v>
      </c>
      <c r="BE590" s="4">
        <v>43046</v>
      </c>
      <c r="BF590" s="5">
        <v>0.64722222222222225</v>
      </c>
      <c r="BG590" s="2" t="str" cm="1">
        <f t="array" ref="BG590">_xlfn.IFS(BF590&lt;TIMEVALUE("06:00"),"Night", BF590&gt;=TIMEVALUE("21:00"),"Night",BF590&gt;=TIMEVALUE("17:00"),"Evening",BF590&gt;=TIMEVALUE("12:00"),"Afternoon", BF590&gt;=TIMEVALUE("06:00"),"Morning")</f>
        <v>Afternoon</v>
      </c>
      <c r="BH590" s="2">
        <v>2017</v>
      </c>
      <c r="BI590" s="2" t="s">
        <v>455</v>
      </c>
      <c r="BJ590" s="2">
        <v>7</v>
      </c>
    </row>
    <row r="591" spans="1:62" x14ac:dyDescent="0.3">
      <c r="A591" s="2" t="s">
        <v>62</v>
      </c>
      <c r="B591" s="2">
        <v>6</v>
      </c>
      <c r="C591" s="2">
        <v>2</v>
      </c>
      <c r="D591" s="2">
        <v>55.28</v>
      </c>
      <c r="E591" s="2">
        <v>122.84</v>
      </c>
      <c r="F591" s="2" t="s">
        <v>87</v>
      </c>
      <c r="G591" s="2" t="s">
        <v>88</v>
      </c>
      <c r="H591" s="2">
        <v>18</v>
      </c>
      <c r="I591" s="2" t="s">
        <v>863</v>
      </c>
      <c r="J591" s="2" t="s">
        <v>66</v>
      </c>
      <c r="K591" s="2" t="s">
        <v>67</v>
      </c>
      <c r="L591" s="2" t="s">
        <v>414</v>
      </c>
      <c r="M591" s="2">
        <v>6428</v>
      </c>
      <c r="N591" s="2" t="s">
        <v>425</v>
      </c>
      <c r="O591" s="2" t="s">
        <v>70</v>
      </c>
      <c r="P591" s="2" t="s">
        <v>71</v>
      </c>
      <c r="Q591" s="2" t="s">
        <v>690</v>
      </c>
      <c r="R591" s="2">
        <v>725</v>
      </c>
      <c r="S591" s="2">
        <v>4</v>
      </c>
      <c r="T591" s="2" t="s">
        <v>417</v>
      </c>
      <c r="U591" s="2">
        <v>18.2473888</v>
      </c>
      <c r="V591" s="2">
        <v>-66.370575000000002</v>
      </c>
      <c r="W591" s="2" t="s">
        <v>528</v>
      </c>
      <c r="X591" s="2" t="s">
        <v>2695</v>
      </c>
      <c r="Y591" s="2" t="s">
        <v>536</v>
      </c>
      <c r="Z591" s="2">
        <v>6428</v>
      </c>
      <c r="AA591" s="3">
        <v>42104.611111111109</v>
      </c>
      <c r="AB591" s="2">
        <v>18950</v>
      </c>
      <c r="AC591" s="2">
        <v>403</v>
      </c>
      <c r="AD591" s="2">
        <v>7.15</v>
      </c>
      <c r="AE591" s="2">
        <v>0.06</v>
      </c>
      <c r="AF591" s="2" t="str" cm="1">
        <f t="array" ref="AF591">_xlfn.IFS(AE591=0, "No Discount ", AE591&lt;=0.08,"Low Discount", AE591&lt;=0.16,"Medium Discount", AE591&gt;0.16, "High Discount")</f>
        <v>Low Discount</v>
      </c>
      <c r="AG591" s="2">
        <v>47394</v>
      </c>
      <c r="AH591" s="2">
        <v>129.99</v>
      </c>
      <c r="AI591" s="2">
        <v>0.45</v>
      </c>
      <c r="AJ591" s="2" t="str" cm="1">
        <f t="array" ref="AJ591">_xlfn.IFS(AI591&lt;=0, "No Profit", AI591&lt;=0.16,"Low Profit",AI591&lt;=0.32,"Medium Profit",AI591&gt;0.32,"High Profit")</f>
        <v>High Profit</v>
      </c>
      <c r="AK591" s="2">
        <v>1</v>
      </c>
      <c r="AL591" s="2">
        <v>129.99</v>
      </c>
      <c r="AM591" s="2">
        <v>122.84</v>
      </c>
      <c r="AN591" s="2">
        <v>55.28</v>
      </c>
      <c r="AO591" s="2" t="s">
        <v>531</v>
      </c>
      <c r="AP591" s="2" t="s">
        <v>1722</v>
      </c>
      <c r="AQ591" s="2" t="s">
        <v>80</v>
      </c>
      <c r="AR591" s="2" t="s">
        <v>81</v>
      </c>
      <c r="AS591" s="2">
        <v>403</v>
      </c>
      <c r="AT591" s="2">
        <v>18</v>
      </c>
      <c r="AU591" s="2" t="s">
        <v>869</v>
      </c>
      <c r="AV591" s="2">
        <v>129.99</v>
      </c>
      <c r="AW591" s="2">
        <v>0</v>
      </c>
      <c r="AX591" s="3">
        <v>42287.611111111109</v>
      </c>
      <c r="AY591" s="2" t="s">
        <v>162</v>
      </c>
      <c r="AZ591" s="4">
        <v>42104</v>
      </c>
      <c r="BA591" s="5">
        <v>0.61111111111111116</v>
      </c>
      <c r="BB591" s="2">
        <v>2015</v>
      </c>
      <c r="BC591" s="2" t="s">
        <v>487</v>
      </c>
      <c r="BD591" s="2">
        <v>10</v>
      </c>
      <c r="BE591" s="4">
        <v>42287</v>
      </c>
      <c r="BF591" s="5">
        <v>0.61111111111111116</v>
      </c>
      <c r="BG591" s="2" t="str" cm="1">
        <f t="array" ref="BG591">_xlfn.IFS(BF591&lt;TIMEVALUE("06:00"),"Night", BF591&gt;=TIMEVALUE("21:00"),"Night",BF591&gt;=TIMEVALUE("17:00"),"Evening",BF591&gt;=TIMEVALUE("12:00"),"Afternoon", BF591&gt;=TIMEVALUE("06:00"),"Morning")</f>
        <v>Afternoon</v>
      </c>
      <c r="BH591" s="2">
        <v>2015</v>
      </c>
      <c r="BI591" s="2" t="s">
        <v>434</v>
      </c>
      <c r="BJ591" s="2">
        <v>10</v>
      </c>
    </row>
    <row r="592" spans="1:62" x14ac:dyDescent="0.3">
      <c r="A592" s="2" t="s">
        <v>62</v>
      </c>
      <c r="B592" s="2">
        <v>6</v>
      </c>
      <c r="C592" s="2">
        <v>2</v>
      </c>
      <c r="D592" s="2">
        <v>42.31</v>
      </c>
      <c r="E592" s="2">
        <v>120.89</v>
      </c>
      <c r="F592" s="2" t="s">
        <v>87</v>
      </c>
      <c r="G592" s="2" t="s">
        <v>88</v>
      </c>
      <c r="H592" s="2">
        <v>18</v>
      </c>
      <c r="I592" s="2" t="s">
        <v>863</v>
      </c>
      <c r="J592" s="2" t="s">
        <v>66</v>
      </c>
      <c r="K592" s="2" t="s">
        <v>67</v>
      </c>
      <c r="L592" s="2" t="s">
        <v>414</v>
      </c>
      <c r="M592" s="2">
        <v>387</v>
      </c>
      <c r="N592" s="2" t="s">
        <v>2696</v>
      </c>
      <c r="O592" s="2" t="s">
        <v>70</v>
      </c>
      <c r="P592" s="2" t="s">
        <v>71</v>
      </c>
      <c r="Q592" s="2" t="s">
        <v>2697</v>
      </c>
      <c r="R592" s="2">
        <v>725</v>
      </c>
      <c r="S592" s="2">
        <v>4</v>
      </c>
      <c r="T592" s="2" t="s">
        <v>417</v>
      </c>
      <c r="U592" s="2">
        <v>18.247510900000002</v>
      </c>
      <c r="V592" s="2">
        <v>-66.025238000000002</v>
      </c>
      <c r="W592" s="2" t="s">
        <v>528</v>
      </c>
      <c r="X592" s="2" t="s">
        <v>2698</v>
      </c>
      <c r="Y592" s="2" t="s">
        <v>904</v>
      </c>
      <c r="Z592" s="2">
        <v>387</v>
      </c>
      <c r="AA592" s="2" t="s">
        <v>2699</v>
      </c>
      <c r="AB592" s="2">
        <v>19610</v>
      </c>
      <c r="AC592" s="2">
        <v>403</v>
      </c>
      <c r="AD592" s="2">
        <v>9.1</v>
      </c>
      <c r="AE592" s="2">
        <v>7.0000000000000007E-2</v>
      </c>
      <c r="AF592" s="2" t="str" cm="1">
        <f t="array" ref="AF592">_xlfn.IFS(AE592=0, "No Discount ", AE592&lt;=0.08,"Low Discount", AE592&lt;=0.16,"Medium Discount", AE592&gt;0.16, "High Discount")</f>
        <v>Low Discount</v>
      </c>
      <c r="AG592" s="2">
        <v>49031</v>
      </c>
      <c r="AH592" s="2">
        <v>129.99</v>
      </c>
      <c r="AI592" s="2">
        <v>0.35</v>
      </c>
      <c r="AJ592" s="2" t="str" cm="1">
        <f t="array" ref="AJ592">_xlfn.IFS(AI592&lt;=0, "No Profit", AI592&lt;=0.16,"Low Profit",AI592&lt;=0.32,"Medium Profit",AI592&gt;0.32,"High Profit")</f>
        <v>High Profit</v>
      </c>
      <c r="AK592" s="2">
        <v>1</v>
      </c>
      <c r="AL592" s="2">
        <v>129.99</v>
      </c>
      <c r="AM592" s="2">
        <v>120.89</v>
      </c>
      <c r="AN592" s="2">
        <v>42.31</v>
      </c>
      <c r="AO592" s="2" t="s">
        <v>905</v>
      </c>
      <c r="AP592" s="2" t="s">
        <v>2700</v>
      </c>
      <c r="AQ592" s="2" t="s">
        <v>80</v>
      </c>
      <c r="AR592" s="2" t="s">
        <v>81</v>
      </c>
      <c r="AS592" s="2">
        <v>403</v>
      </c>
      <c r="AT592" s="2">
        <v>18</v>
      </c>
      <c r="AU592" s="2" t="s">
        <v>869</v>
      </c>
      <c r="AV592" s="2">
        <v>129.99</v>
      </c>
      <c r="AW592" s="2">
        <v>0</v>
      </c>
      <c r="AX592" s="2" t="s">
        <v>2701</v>
      </c>
      <c r="AY592" s="2" t="s">
        <v>162</v>
      </c>
      <c r="AZ592" s="4">
        <v>42291</v>
      </c>
      <c r="BA592" s="5">
        <v>0.24583333333333332</v>
      </c>
      <c r="BB592" s="2">
        <v>2015</v>
      </c>
      <c r="BC592" s="2" t="s">
        <v>434</v>
      </c>
      <c r="BD592" s="2">
        <v>14</v>
      </c>
      <c r="BE592" s="4">
        <v>42297</v>
      </c>
      <c r="BF592" s="5">
        <v>0.24583333333333332</v>
      </c>
      <c r="BG592" s="2" t="str" cm="1">
        <f t="array" ref="BG592">_xlfn.IFS(BF592&lt;TIMEVALUE("06:00"),"Night", BF592&gt;=TIMEVALUE("21:00"),"Night",BF592&gt;=TIMEVALUE("17:00"),"Evening",BF592&gt;=TIMEVALUE("12:00"),"Afternoon", BF592&gt;=TIMEVALUE("06:00"),"Morning")</f>
        <v>Night</v>
      </c>
      <c r="BH592" s="2">
        <v>2015</v>
      </c>
      <c r="BI592" s="2" t="s">
        <v>434</v>
      </c>
      <c r="BJ592" s="2">
        <v>20</v>
      </c>
    </row>
    <row r="593" spans="1:62" x14ac:dyDescent="0.3">
      <c r="A593" s="2" t="s">
        <v>62</v>
      </c>
      <c r="B593" s="2">
        <v>2</v>
      </c>
      <c r="C593" s="2">
        <v>2</v>
      </c>
      <c r="D593" s="2">
        <v>42.31</v>
      </c>
      <c r="E593" s="2">
        <v>120.89</v>
      </c>
      <c r="F593" s="2" t="s">
        <v>100</v>
      </c>
      <c r="G593" s="2" t="s">
        <v>64</v>
      </c>
      <c r="H593" s="2">
        <v>18</v>
      </c>
      <c r="I593" s="2" t="s">
        <v>863</v>
      </c>
      <c r="J593" s="2" t="s">
        <v>66</v>
      </c>
      <c r="K593" s="2" t="s">
        <v>67</v>
      </c>
      <c r="L593" s="2" t="s">
        <v>414</v>
      </c>
      <c r="M593" s="2">
        <v>2270</v>
      </c>
      <c r="N593" s="2" t="s">
        <v>425</v>
      </c>
      <c r="O593" s="2" t="s">
        <v>70</v>
      </c>
      <c r="P593" s="2" t="s">
        <v>71</v>
      </c>
      <c r="Q593" s="2" t="s">
        <v>2702</v>
      </c>
      <c r="R593" s="2">
        <v>725</v>
      </c>
      <c r="S593" s="2">
        <v>4</v>
      </c>
      <c r="T593" s="2" t="s">
        <v>417</v>
      </c>
      <c r="U593" s="2">
        <v>18.227054599999999</v>
      </c>
      <c r="V593" s="2">
        <v>-66.370536799999996</v>
      </c>
      <c r="W593" s="2" t="s">
        <v>528</v>
      </c>
      <c r="X593" s="2" t="s">
        <v>2703</v>
      </c>
      <c r="Y593" s="2" t="s">
        <v>530</v>
      </c>
      <c r="Z593" s="2">
        <v>2270</v>
      </c>
      <c r="AA593" s="3">
        <v>42894.995138888888</v>
      </c>
      <c r="AB593" s="2">
        <v>65011</v>
      </c>
      <c r="AC593" s="2">
        <v>403</v>
      </c>
      <c r="AD593" s="2">
        <v>9.1</v>
      </c>
      <c r="AE593" s="2">
        <v>7.0000000000000007E-2</v>
      </c>
      <c r="AF593" s="2" t="str" cm="1">
        <f t="array" ref="AF593">_xlfn.IFS(AE593=0, "No Discount ", AE593&lt;=0.08,"Low Discount", AE593&lt;=0.16,"Medium Discount", AE593&gt;0.16, "High Discount")</f>
        <v>Low Discount</v>
      </c>
      <c r="AG593" s="2">
        <v>162500</v>
      </c>
      <c r="AH593" s="2">
        <v>129.99</v>
      </c>
      <c r="AI593" s="2">
        <v>0.35</v>
      </c>
      <c r="AJ593" s="2" t="str" cm="1">
        <f t="array" ref="AJ593">_xlfn.IFS(AI593&lt;=0, "No Profit", AI593&lt;=0.16,"Low Profit",AI593&lt;=0.32,"Medium Profit",AI593&gt;0.32,"High Profit")</f>
        <v>High Profit</v>
      </c>
      <c r="AK593" s="2">
        <v>1</v>
      </c>
      <c r="AL593" s="2">
        <v>129.99</v>
      </c>
      <c r="AM593" s="2">
        <v>120.89</v>
      </c>
      <c r="AN593" s="2">
        <v>42.31</v>
      </c>
      <c r="AO593" s="2" t="s">
        <v>531</v>
      </c>
      <c r="AP593" s="2" t="s">
        <v>2704</v>
      </c>
      <c r="AQ593" s="2" t="s">
        <v>80</v>
      </c>
      <c r="AR593" s="2" t="s">
        <v>81</v>
      </c>
      <c r="AS593" s="2">
        <v>403</v>
      </c>
      <c r="AT593" s="2">
        <v>18</v>
      </c>
      <c r="AU593" s="2" t="s">
        <v>869</v>
      </c>
      <c r="AV593" s="2">
        <v>129.99</v>
      </c>
      <c r="AW593" s="2">
        <v>0</v>
      </c>
      <c r="AX593" s="3">
        <v>42955.995138888888</v>
      </c>
      <c r="AY593" s="2" t="s">
        <v>162</v>
      </c>
      <c r="AZ593" s="4">
        <v>42894</v>
      </c>
      <c r="BA593" s="5">
        <v>0.99513888888888891</v>
      </c>
      <c r="BB593" s="2">
        <v>2017</v>
      </c>
      <c r="BC593" s="2" t="s">
        <v>474</v>
      </c>
      <c r="BD593" s="2">
        <v>8</v>
      </c>
      <c r="BE593" s="4">
        <v>42955</v>
      </c>
      <c r="BF593" s="5">
        <v>0.99513888888888891</v>
      </c>
      <c r="BG593" s="2" t="str" cm="1">
        <f t="array" ref="BG593">_xlfn.IFS(BF593&lt;TIMEVALUE("06:00"),"Night", BF593&gt;=TIMEVALUE("21:00"),"Night",BF593&gt;=TIMEVALUE("17:00"),"Evening",BF593&gt;=TIMEVALUE("12:00"),"Afternoon", BF593&gt;=TIMEVALUE("06:00"),"Morning")</f>
        <v>Night</v>
      </c>
      <c r="BH593" s="2">
        <v>2017</v>
      </c>
      <c r="BI593" s="2" t="s">
        <v>482</v>
      </c>
      <c r="BJ593" s="2">
        <v>8</v>
      </c>
    </row>
    <row r="594" spans="1:62" x14ac:dyDescent="0.3">
      <c r="A594" s="2" t="s">
        <v>62</v>
      </c>
      <c r="B594" s="2">
        <v>6</v>
      </c>
      <c r="C594" s="2">
        <v>2</v>
      </c>
      <c r="D594" s="2">
        <v>36.270000000000003</v>
      </c>
      <c r="E594" s="2">
        <v>120.89</v>
      </c>
      <c r="F594" s="2" t="s">
        <v>87</v>
      </c>
      <c r="G594" s="2" t="s">
        <v>88</v>
      </c>
      <c r="H594" s="2">
        <v>18</v>
      </c>
      <c r="I594" s="2" t="s">
        <v>863</v>
      </c>
      <c r="J594" s="2" t="s">
        <v>66</v>
      </c>
      <c r="K594" s="2" t="s">
        <v>67</v>
      </c>
      <c r="L594" s="2" t="s">
        <v>587</v>
      </c>
      <c r="M594" s="2">
        <v>482</v>
      </c>
      <c r="N594" s="2" t="s">
        <v>1403</v>
      </c>
      <c r="O594" s="2" t="s">
        <v>70</v>
      </c>
      <c r="P594" s="2" t="s">
        <v>71</v>
      </c>
      <c r="Q594" s="2" t="s">
        <v>2705</v>
      </c>
      <c r="R594" s="2">
        <v>725</v>
      </c>
      <c r="S594" s="2">
        <v>4</v>
      </c>
      <c r="T594" s="2" t="s">
        <v>417</v>
      </c>
      <c r="U594" s="2">
        <v>18.227577199999999</v>
      </c>
      <c r="V594" s="2">
        <v>-66.045623800000001</v>
      </c>
      <c r="W594" s="2" t="s">
        <v>528</v>
      </c>
      <c r="X594" s="2" t="s">
        <v>2706</v>
      </c>
      <c r="Y594" s="2" t="s">
        <v>536</v>
      </c>
      <c r="Z594" s="2">
        <v>482</v>
      </c>
      <c r="AA594" s="3">
        <v>42287.888194444444</v>
      </c>
      <c r="AB594" s="2">
        <v>19380</v>
      </c>
      <c r="AC594" s="2">
        <v>403</v>
      </c>
      <c r="AD594" s="2">
        <v>9.1</v>
      </c>
      <c r="AE594" s="2">
        <v>7.0000000000000007E-2</v>
      </c>
      <c r="AF594" s="2" t="str" cm="1">
        <f t="array" ref="AF594">_xlfn.IFS(AE594=0, "No Discount ", AE594&lt;=0.08,"Low Discount", AE594&lt;=0.16,"Medium Discount", AE594&gt;0.16, "High Discount")</f>
        <v>Low Discount</v>
      </c>
      <c r="AG594" s="2">
        <v>48438</v>
      </c>
      <c r="AH594" s="2">
        <v>129.99</v>
      </c>
      <c r="AI594" s="2">
        <v>0.3</v>
      </c>
      <c r="AJ594" s="2" t="str" cm="1">
        <f t="array" ref="AJ594">_xlfn.IFS(AI594&lt;=0, "No Profit", AI594&lt;=0.16,"Low Profit",AI594&lt;=0.32,"Medium Profit",AI594&gt;0.32,"High Profit")</f>
        <v>Medium Profit</v>
      </c>
      <c r="AK594" s="2">
        <v>1</v>
      </c>
      <c r="AL594" s="2">
        <v>129.99</v>
      </c>
      <c r="AM594" s="2">
        <v>120.89</v>
      </c>
      <c r="AN594" s="2">
        <v>36.270000000000003</v>
      </c>
      <c r="AO594" s="2" t="s">
        <v>531</v>
      </c>
      <c r="AP594" s="2" t="s">
        <v>538</v>
      </c>
      <c r="AQ594" s="2" t="s">
        <v>80</v>
      </c>
      <c r="AR594" s="2" t="s">
        <v>81</v>
      </c>
      <c r="AS594" s="2">
        <v>403</v>
      </c>
      <c r="AT594" s="2">
        <v>18</v>
      </c>
      <c r="AU594" s="2" t="s">
        <v>869</v>
      </c>
      <c r="AV594" s="2">
        <v>129.99</v>
      </c>
      <c r="AW594" s="2">
        <v>0</v>
      </c>
      <c r="AX594" s="2" t="s">
        <v>2707</v>
      </c>
      <c r="AY594" s="2" t="s">
        <v>162</v>
      </c>
      <c r="AZ594" s="4">
        <v>42287</v>
      </c>
      <c r="BA594" s="5">
        <v>0.8881944444444444</v>
      </c>
      <c r="BB594" s="2">
        <v>2015</v>
      </c>
      <c r="BC594" s="2" t="s">
        <v>434</v>
      </c>
      <c r="BD594" s="2">
        <v>10</v>
      </c>
      <c r="BE594" s="4">
        <v>42293</v>
      </c>
      <c r="BF594" s="5">
        <v>0.8881944444444444</v>
      </c>
      <c r="BG594" s="2" t="str" cm="1">
        <f t="array" ref="BG594">_xlfn.IFS(BF594&lt;TIMEVALUE("06:00"),"Night", BF594&gt;=TIMEVALUE("21:00"),"Night",BF594&gt;=TIMEVALUE("17:00"),"Evening",BF594&gt;=TIMEVALUE("12:00"),"Afternoon", BF594&gt;=TIMEVALUE("06:00"),"Morning")</f>
        <v>Night</v>
      </c>
      <c r="BH594" s="2">
        <v>2015</v>
      </c>
      <c r="BI594" s="2" t="s">
        <v>434</v>
      </c>
      <c r="BJ594" s="2">
        <v>16</v>
      </c>
    </row>
    <row r="595" spans="1:62" x14ac:dyDescent="0.3">
      <c r="A595" s="2" t="s">
        <v>62</v>
      </c>
      <c r="B595" s="2">
        <v>6</v>
      </c>
      <c r="C595" s="2">
        <v>2</v>
      </c>
      <c r="D595" s="2">
        <v>28.39</v>
      </c>
      <c r="E595" s="2">
        <v>118.29</v>
      </c>
      <c r="F595" s="2" t="s">
        <v>87</v>
      </c>
      <c r="G595" s="2" t="s">
        <v>88</v>
      </c>
      <c r="H595" s="2">
        <v>18</v>
      </c>
      <c r="I595" s="2" t="s">
        <v>863</v>
      </c>
      <c r="J595" s="2" t="s">
        <v>66</v>
      </c>
      <c r="K595" s="2" t="s">
        <v>67</v>
      </c>
      <c r="L595" s="2" t="s">
        <v>414</v>
      </c>
      <c r="M595" s="2">
        <v>1956</v>
      </c>
      <c r="N595" s="2" t="s">
        <v>2708</v>
      </c>
      <c r="O595" s="2" t="s">
        <v>70</v>
      </c>
      <c r="P595" s="2" t="s">
        <v>71</v>
      </c>
      <c r="Q595" s="2" t="s">
        <v>2709</v>
      </c>
      <c r="R595" s="2">
        <v>725</v>
      </c>
      <c r="S595" s="2">
        <v>4</v>
      </c>
      <c r="T595" s="2" t="s">
        <v>417</v>
      </c>
      <c r="U595" s="2">
        <v>18.222164200000002</v>
      </c>
      <c r="V595" s="2">
        <v>-66.370506300000002</v>
      </c>
      <c r="W595" s="2" t="s">
        <v>528</v>
      </c>
      <c r="X595" s="2" t="s">
        <v>2710</v>
      </c>
      <c r="Y595" s="2" t="s">
        <v>557</v>
      </c>
      <c r="Z595" s="2">
        <v>1956</v>
      </c>
      <c r="AA595" s="3">
        <v>42894.907638888886</v>
      </c>
      <c r="AB595" s="2">
        <v>65005</v>
      </c>
      <c r="AC595" s="2">
        <v>403</v>
      </c>
      <c r="AD595" s="2">
        <v>11.7</v>
      </c>
      <c r="AE595" s="2">
        <v>0.09</v>
      </c>
      <c r="AF595" s="2" t="str" cm="1">
        <f t="array" ref="AF595">_xlfn.IFS(AE595=0, "No Discount ", AE595&lt;=0.08,"Low Discount", AE595&lt;=0.16,"Medium Discount", AE595&gt;0.16, "High Discount")</f>
        <v>Medium Discount</v>
      </c>
      <c r="AG595" s="2">
        <v>162490</v>
      </c>
      <c r="AH595" s="2">
        <v>129.99</v>
      </c>
      <c r="AI595" s="2">
        <v>0.24</v>
      </c>
      <c r="AJ595" s="2" t="str" cm="1">
        <f t="array" ref="AJ595">_xlfn.IFS(AI595&lt;=0, "No Profit", AI595&lt;=0.16,"Low Profit",AI595&lt;=0.32,"Medium Profit",AI595&gt;0.32,"High Profit")</f>
        <v>Medium Profit</v>
      </c>
      <c r="AK595" s="2">
        <v>1</v>
      </c>
      <c r="AL595" s="2">
        <v>129.99</v>
      </c>
      <c r="AM595" s="2">
        <v>118.29</v>
      </c>
      <c r="AN595" s="2">
        <v>28.39</v>
      </c>
      <c r="AO595" s="2" t="s">
        <v>558</v>
      </c>
      <c r="AP595" s="2" t="s">
        <v>559</v>
      </c>
      <c r="AQ595" s="2" t="s">
        <v>80</v>
      </c>
      <c r="AR595" s="2" t="s">
        <v>81</v>
      </c>
      <c r="AS595" s="2">
        <v>403</v>
      </c>
      <c r="AT595" s="2">
        <v>18</v>
      </c>
      <c r="AU595" s="2" t="s">
        <v>869</v>
      </c>
      <c r="AV595" s="2">
        <v>129.99</v>
      </c>
      <c r="AW595" s="2">
        <v>0</v>
      </c>
      <c r="AX595" s="3">
        <v>43077.907638888886</v>
      </c>
      <c r="AY595" s="2" t="s">
        <v>162</v>
      </c>
      <c r="AZ595" s="4">
        <v>42894</v>
      </c>
      <c r="BA595" s="5">
        <v>0.90763888888888888</v>
      </c>
      <c r="BB595" s="2">
        <v>2017</v>
      </c>
      <c r="BC595" s="2" t="s">
        <v>474</v>
      </c>
      <c r="BD595" s="2">
        <v>8</v>
      </c>
      <c r="BE595" s="4">
        <v>43077</v>
      </c>
      <c r="BF595" s="5">
        <v>0.90763888888888888</v>
      </c>
      <c r="BG595" s="2" t="str" cm="1">
        <f t="array" ref="BG595">_xlfn.IFS(BF595&lt;TIMEVALUE("06:00"),"Night", BF595&gt;=TIMEVALUE("21:00"),"Night",BF595&gt;=TIMEVALUE("17:00"),"Evening",BF595&gt;=TIMEVALUE("12:00"),"Afternoon", BF595&gt;=TIMEVALUE("06:00"),"Morning")</f>
        <v>Night</v>
      </c>
      <c r="BH595" s="2">
        <v>2017</v>
      </c>
      <c r="BI595" s="2" t="s">
        <v>357</v>
      </c>
      <c r="BJ595" s="2">
        <v>8</v>
      </c>
    </row>
    <row r="596" spans="1:62" x14ac:dyDescent="0.3">
      <c r="A596" s="2" t="s">
        <v>62</v>
      </c>
      <c r="B596" s="2">
        <v>6</v>
      </c>
      <c r="C596" s="2">
        <v>2</v>
      </c>
      <c r="D596" s="2">
        <v>-90.73</v>
      </c>
      <c r="E596" s="2">
        <v>118.29</v>
      </c>
      <c r="F596" s="2" t="s">
        <v>87</v>
      </c>
      <c r="G596" s="2" t="s">
        <v>88</v>
      </c>
      <c r="H596" s="2">
        <v>18</v>
      </c>
      <c r="I596" s="2" t="s">
        <v>863</v>
      </c>
      <c r="J596" s="2" t="s">
        <v>66</v>
      </c>
      <c r="K596" s="2" t="s">
        <v>67</v>
      </c>
      <c r="L596" s="2" t="s">
        <v>414</v>
      </c>
      <c r="M596" s="2">
        <v>7466</v>
      </c>
      <c r="N596" s="2" t="s">
        <v>2711</v>
      </c>
      <c r="O596" s="2" t="s">
        <v>70</v>
      </c>
      <c r="P596" s="2" t="s">
        <v>71</v>
      </c>
      <c r="Q596" s="2" t="s">
        <v>2712</v>
      </c>
      <c r="R596" s="2">
        <v>725</v>
      </c>
      <c r="S596" s="2">
        <v>4</v>
      </c>
      <c r="T596" s="2" t="s">
        <v>417</v>
      </c>
      <c r="U596" s="2">
        <v>18.222057299999999</v>
      </c>
      <c r="V596" s="2">
        <v>-66.3705444</v>
      </c>
      <c r="W596" s="2" t="s">
        <v>528</v>
      </c>
      <c r="X596" s="2" t="s">
        <v>2713</v>
      </c>
      <c r="Y596" s="2" t="s">
        <v>557</v>
      </c>
      <c r="Z596" s="2">
        <v>7466</v>
      </c>
      <c r="AA596" s="2" t="s">
        <v>2714</v>
      </c>
      <c r="AB596" s="2">
        <v>20085</v>
      </c>
      <c r="AC596" s="2">
        <v>403</v>
      </c>
      <c r="AD596" s="2">
        <v>11.7</v>
      </c>
      <c r="AE596" s="2">
        <v>0.09</v>
      </c>
      <c r="AF596" s="2" t="str" cm="1">
        <f t="array" ref="AF596">_xlfn.IFS(AE596=0, "No Discount ", AE596&lt;=0.08,"Low Discount", AE596&lt;=0.16,"Medium Discount", AE596&gt;0.16, "High Discount")</f>
        <v>Medium Discount</v>
      </c>
      <c r="AG596" s="2">
        <v>50201</v>
      </c>
      <c r="AH596" s="2">
        <v>129.99</v>
      </c>
      <c r="AI596" s="2">
        <v>-0.77</v>
      </c>
      <c r="AJ596" s="2" t="str" cm="1">
        <f t="array" ref="AJ596">_xlfn.IFS(AI596&lt;=0, "No Profit", AI596&lt;=0.16,"Low Profit",AI596&lt;=0.32,"Medium Profit",AI596&gt;0.32,"High Profit")</f>
        <v>No Profit</v>
      </c>
      <c r="AK596" s="2">
        <v>1</v>
      </c>
      <c r="AL596" s="2">
        <v>129.99</v>
      </c>
      <c r="AM596" s="2">
        <v>118.29</v>
      </c>
      <c r="AN596" s="2">
        <v>-90.73</v>
      </c>
      <c r="AO596" s="2" t="s">
        <v>558</v>
      </c>
      <c r="AP596" s="2" t="s">
        <v>559</v>
      </c>
      <c r="AQ596" s="2" t="s">
        <v>80</v>
      </c>
      <c r="AR596" s="2" t="s">
        <v>81</v>
      </c>
      <c r="AS596" s="2">
        <v>403</v>
      </c>
      <c r="AT596" s="2">
        <v>18</v>
      </c>
      <c r="AU596" s="2" t="s">
        <v>869</v>
      </c>
      <c r="AV596" s="2">
        <v>129.99</v>
      </c>
      <c r="AW596" s="2">
        <v>0</v>
      </c>
      <c r="AX596" s="2" t="s">
        <v>2715</v>
      </c>
      <c r="AY596" s="2" t="s">
        <v>162</v>
      </c>
      <c r="AZ596" s="4">
        <v>42298</v>
      </c>
      <c r="BA596" s="5">
        <v>0.17986111111111111</v>
      </c>
      <c r="BB596" s="2">
        <v>2015</v>
      </c>
      <c r="BC596" s="2" t="s">
        <v>434</v>
      </c>
      <c r="BD596" s="2">
        <v>21</v>
      </c>
      <c r="BE596" s="4">
        <v>42304</v>
      </c>
      <c r="BF596" s="5">
        <v>0.17986111111111111</v>
      </c>
      <c r="BG596" s="2" t="str" cm="1">
        <f t="array" ref="BG596">_xlfn.IFS(BF596&lt;TIMEVALUE("06:00"),"Night", BF596&gt;=TIMEVALUE("21:00"),"Night",BF596&gt;=TIMEVALUE("17:00"),"Evening",BF596&gt;=TIMEVALUE("12:00"),"Afternoon", BF596&gt;=TIMEVALUE("06:00"),"Morning")</f>
        <v>Night</v>
      </c>
      <c r="BH596" s="2">
        <v>2015</v>
      </c>
      <c r="BI596" s="2" t="s">
        <v>434</v>
      </c>
      <c r="BJ596" s="2">
        <v>27</v>
      </c>
    </row>
    <row r="597" spans="1:62" x14ac:dyDescent="0.3">
      <c r="A597" s="2" t="s">
        <v>62</v>
      </c>
      <c r="B597" s="2">
        <v>6</v>
      </c>
      <c r="C597" s="2">
        <v>2</v>
      </c>
      <c r="D597" s="2">
        <v>36.67</v>
      </c>
      <c r="E597" s="2">
        <v>118.29</v>
      </c>
      <c r="F597" s="2" t="s">
        <v>87</v>
      </c>
      <c r="G597" s="2" t="s">
        <v>88</v>
      </c>
      <c r="H597" s="2">
        <v>18</v>
      </c>
      <c r="I597" s="2" t="s">
        <v>863</v>
      </c>
      <c r="J597" s="2" t="s">
        <v>66</v>
      </c>
      <c r="K597" s="2" t="s">
        <v>67</v>
      </c>
      <c r="L597" s="2" t="s">
        <v>1652</v>
      </c>
      <c r="M597" s="2">
        <v>8224</v>
      </c>
      <c r="N597" s="2" t="s">
        <v>2716</v>
      </c>
      <c r="O597" s="2" t="s">
        <v>70</v>
      </c>
      <c r="P597" s="2" t="s">
        <v>71</v>
      </c>
      <c r="Q597" s="2" t="s">
        <v>717</v>
      </c>
      <c r="R597" s="2">
        <v>725</v>
      </c>
      <c r="S597" s="2">
        <v>4</v>
      </c>
      <c r="T597" s="2" t="s">
        <v>417</v>
      </c>
      <c r="U597" s="2">
        <v>18.253742200000001</v>
      </c>
      <c r="V597" s="2">
        <v>-66.370521600000004</v>
      </c>
      <c r="W597" s="2" t="s">
        <v>528</v>
      </c>
      <c r="X597" s="2" t="s">
        <v>1467</v>
      </c>
      <c r="Y597" s="2" t="s">
        <v>557</v>
      </c>
      <c r="Z597" s="2">
        <v>8224</v>
      </c>
      <c r="AA597" s="2" t="s">
        <v>2717</v>
      </c>
      <c r="AB597" s="2">
        <v>18245</v>
      </c>
      <c r="AC597" s="2">
        <v>403</v>
      </c>
      <c r="AD597" s="2">
        <v>11.7</v>
      </c>
      <c r="AE597" s="2">
        <v>0.09</v>
      </c>
      <c r="AF597" s="2" t="str" cm="1">
        <f t="array" ref="AF597">_xlfn.IFS(AE597=0, "No Discount ", AE597&lt;=0.08,"Low Discount", AE597&lt;=0.16,"Medium Discount", AE597&gt;0.16, "High Discount")</f>
        <v>Medium Discount</v>
      </c>
      <c r="AG597" s="2">
        <v>45604</v>
      </c>
      <c r="AH597" s="2">
        <v>129.99</v>
      </c>
      <c r="AI597" s="2">
        <v>0.31</v>
      </c>
      <c r="AJ597" s="2" t="str" cm="1">
        <f t="array" ref="AJ597">_xlfn.IFS(AI597&lt;=0, "No Profit", AI597&lt;=0.16,"Low Profit",AI597&lt;=0.32,"Medium Profit",AI597&gt;0.32,"High Profit")</f>
        <v>Medium Profit</v>
      </c>
      <c r="AK597" s="2">
        <v>1</v>
      </c>
      <c r="AL597" s="2">
        <v>129.99</v>
      </c>
      <c r="AM597" s="2">
        <v>118.29</v>
      </c>
      <c r="AN597" s="2">
        <v>36.67</v>
      </c>
      <c r="AO597" s="2" t="s">
        <v>558</v>
      </c>
      <c r="AP597" s="2" t="s">
        <v>559</v>
      </c>
      <c r="AQ597" s="2" t="s">
        <v>80</v>
      </c>
      <c r="AR597" s="2" t="s">
        <v>81</v>
      </c>
      <c r="AS597" s="2">
        <v>403</v>
      </c>
      <c r="AT597" s="2">
        <v>18</v>
      </c>
      <c r="AU597" s="2" t="s">
        <v>869</v>
      </c>
      <c r="AV597" s="2">
        <v>129.99</v>
      </c>
      <c r="AW597" s="2">
        <v>0</v>
      </c>
      <c r="AX597" s="2" t="s">
        <v>2718</v>
      </c>
      <c r="AY597" s="2" t="s">
        <v>162</v>
      </c>
      <c r="AZ597" s="4">
        <v>42271</v>
      </c>
      <c r="BA597" s="5">
        <v>0.32013888888888886</v>
      </c>
      <c r="BB597" s="2">
        <v>2015</v>
      </c>
      <c r="BC597" s="2" t="s">
        <v>552</v>
      </c>
      <c r="BD597" s="2">
        <v>24</v>
      </c>
      <c r="BE597" s="4">
        <v>42277</v>
      </c>
      <c r="BF597" s="5">
        <v>0.32013888888888886</v>
      </c>
      <c r="BG597" s="2" t="str" cm="1">
        <f t="array" ref="BG597">_xlfn.IFS(BF597&lt;TIMEVALUE("06:00"),"Night", BF597&gt;=TIMEVALUE("21:00"),"Night",BF597&gt;=TIMEVALUE("17:00"),"Evening",BF597&gt;=TIMEVALUE("12:00"),"Afternoon", BF597&gt;=TIMEVALUE("06:00"),"Morning")</f>
        <v>Morning</v>
      </c>
      <c r="BH597" s="2">
        <v>2015</v>
      </c>
      <c r="BI597" s="2" t="s">
        <v>552</v>
      </c>
      <c r="BJ597" s="2">
        <v>30</v>
      </c>
    </row>
    <row r="598" spans="1:62" x14ac:dyDescent="0.3">
      <c r="A598" s="2" t="s">
        <v>62</v>
      </c>
      <c r="B598" s="2">
        <v>6</v>
      </c>
      <c r="C598" s="2">
        <v>2</v>
      </c>
      <c r="D598" s="2">
        <v>8.8699999999999992</v>
      </c>
      <c r="E598" s="2">
        <v>118.29</v>
      </c>
      <c r="F598" s="2" t="s">
        <v>87</v>
      </c>
      <c r="G598" s="2" t="s">
        <v>88</v>
      </c>
      <c r="H598" s="2">
        <v>18</v>
      </c>
      <c r="I598" s="2" t="s">
        <v>863</v>
      </c>
      <c r="J598" s="2" t="s">
        <v>66</v>
      </c>
      <c r="K598" s="2" t="s">
        <v>67</v>
      </c>
      <c r="L598" s="2" t="s">
        <v>414</v>
      </c>
      <c r="M598" s="2">
        <v>6365</v>
      </c>
      <c r="N598" s="2" t="s">
        <v>425</v>
      </c>
      <c r="O598" s="2" t="s">
        <v>70</v>
      </c>
      <c r="P598" s="2" t="s">
        <v>71</v>
      </c>
      <c r="Q598" s="2" t="s">
        <v>1066</v>
      </c>
      <c r="R598" s="2">
        <v>725</v>
      </c>
      <c r="S598" s="2">
        <v>4</v>
      </c>
      <c r="T598" s="2" t="s">
        <v>417</v>
      </c>
      <c r="U598" s="2">
        <v>18.246923500000001</v>
      </c>
      <c r="V598" s="2">
        <v>-66.370575000000002</v>
      </c>
      <c r="W598" s="2" t="s">
        <v>528</v>
      </c>
      <c r="X598" s="2" t="s">
        <v>1067</v>
      </c>
      <c r="Y598" s="2" t="s">
        <v>1068</v>
      </c>
      <c r="Z598" s="2">
        <v>6365</v>
      </c>
      <c r="AA598" s="2" t="s">
        <v>1069</v>
      </c>
      <c r="AB598" s="2">
        <v>17810</v>
      </c>
      <c r="AC598" s="2">
        <v>403</v>
      </c>
      <c r="AD598" s="2">
        <v>11.7</v>
      </c>
      <c r="AE598" s="2">
        <v>0.09</v>
      </c>
      <c r="AF598" s="2" t="str" cm="1">
        <f t="array" ref="AF598">_xlfn.IFS(AE598=0, "No Discount ", AE598&lt;=0.08,"Low Discount", AE598&lt;=0.16,"Medium Discount", AE598&gt;0.16, "High Discount")</f>
        <v>Medium Discount</v>
      </c>
      <c r="AG598" s="2">
        <v>44495</v>
      </c>
      <c r="AH598" s="2">
        <v>129.99</v>
      </c>
      <c r="AI598" s="2">
        <v>0.08</v>
      </c>
      <c r="AJ598" s="2" t="str" cm="1">
        <f t="array" ref="AJ598">_xlfn.IFS(AI598&lt;=0, "No Profit", AI598&lt;=0.16,"Low Profit",AI598&lt;=0.32,"Medium Profit",AI598&gt;0.32,"High Profit")</f>
        <v>Low Profit</v>
      </c>
      <c r="AK598" s="2">
        <v>1</v>
      </c>
      <c r="AL598" s="2">
        <v>129.99</v>
      </c>
      <c r="AM598" s="2">
        <v>118.29</v>
      </c>
      <c r="AN598" s="2">
        <v>8.8699999999999992</v>
      </c>
      <c r="AO598" s="2" t="s">
        <v>558</v>
      </c>
      <c r="AP598" s="2" t="s">
        <v>1067</v>
      </c>
      <c r="AQ598" s="2" t="s">
        <v>80</v>
      </c>
      <c r="AR598" s="2" t="s">
        <v>81</v>
      </c>
      <c r="AS598" s="2">
        <v>403</v>
      </c>
      <c r="AT598" s="2">
        <v>18</v>
      </c>
      <c r="AU598" s="2" t="s">
        <v>869</v>
      </c>
      <c r="AV598" s="2">
        <v>129.99</v>
      </c>
      <c r="AW598" s="2">
        <v>0</v>
      </c>
      <c r="AX598" s="2" t="s">
        <v>1070</v>
      </c>
      <c r="AY598" s="2" t="s">
        <v>162</v>
      </c>
      <c r="AZ598" s="4">
        <v>42264</v>
      </c>
      <c r="BA598" s="5">
        <v>0.97013888888888888</v>
      </c>
      <c r="BB598" s="2">
        <v>2015</v>
      </c>
      <c r="BC598" s="2" t="s">
        <v>552</v>
      </c>
      <c r="BD598" s="2">
        <v>17</v>
      </c>
      <c r="BE598" s="4">
        <v>42270</v>
      </c>
      <c r="BF598" s="5">
        <v>0.97013888888888888</v>
      </c>
      <c r="BG598" s="2" t="str" cm="1">
        <f t="array" ref="BG598">_xlfn.IFS(BF598&lt;TIMEVALUE("06:00"),"Night", BF598&gt;=TIMEVALUE("21:00"),"Night",BF598&gt;=TIMEVALUE("17:00"),"Evening",BF598&gt;=TIMEVALUE("12:00"),"Afternoon", BF598&gt;=TIMEVALUE("06:00"),"Morning")</f>
        <v>Night</v>
      </c>
      <c r="BH598" s="2">
        <v>2015</v>
      </c>
      <c r="BI598" s="2" t="s">
        <v>552</v>
      </c>
      <c r="BJ598" s="2">
        <v>23</v>
      </c>
    </row>
    <row r="599" spans="1:62" x14ac:dyDescent="0.3">
      <c r="A599" s="2" t="s">
        <v>62</v>
      </c>
      <c r="B599" s="2">
        <v>3</v>
      </c>
      <c r="C599" s="2">
        <v>2</v>
      </c>
      <c r="D599" s="2">
        <v>54.41</v>
      </c>
      <c r="E599" s="2">
        <v>118.29</v>
      </c>
      <c r="F599" s="2" t="s">
        <v>87</v>
      </c>
      <c r="G599" s="2" t="s">
        <v>88</v>
      </c>
      <c r="H599" s="2">
        <v>18</v>
      </c>
      <c r="I599" s="2" t="s">
        <v>863</v>
      </c>
      <c r="J599" s="2" t="s">
        <v>66</v>
      </c>
      <c r="K599" s="2" t="s">
        <v>67</v>
      </c>
      <c r="L599" s="2" t="s">
        <v>414</v>
      </c>
      <c r="M599" s="2">
        <v>3490</v>
      </c>
      <c r="N599" s="2" t="s">
        <v>425</v>
      </c>
      <c r="O599" s="2" t="s">
        <v>70</v>
      </c>
      <c r="P599" s="2" t="s">
        <v>71</v>
      </c>
      <c r="Q599" s="2" t="s">
        <v>2719</v>
      </c>
      <c r="R599" s="2">
        <v>725</v>
      </c>
      <c r="S599" s="2">
        <v>4</v>
      </c>
      <c r="T599" s="2" t="s">
        <v>417</v>
      </c>
      <c r="U599" s="2">
        <v>18.237827299999999</v>
      </c>
      <c r="V599" s="2">
        <v>-66.370506300000002</v>
      </c>
      <c r="W599" s="2" t="s">
        <v>528</v>
      </c>
      <c r="X599" s="2" t="s">
        <v>2720</v>
      </c>
      <c r="Y599" s="2" t="s">
        <v>983</v>
      </c>
      <c r="Z599" s="2">
        <v>3490</v>
      </c>
      <c r="AA599" s="2" t="s">
        <v>2721</v>
      </c>
      <c r="AB599" s="2">
        <v>19817</v>
      </c>
      <c r="AC599" s="2">
        <v>403</v>
      </c>
      <c r="AD599" s="2">
        <v>11.7</v>
      </c>
      <c r="AE599" s="2">
        <v>0.09</v>
      </c>
      <c r="AF599" s="2" t="str" cm="1">
        <f t="array" ref="AF599">_xlfn.IFS(AE599=0, "No Discount ", AE599&lt;=0.08,"Low Discount", AE599&lt;=0.16,"Medium Discount", AE599&gt;0.16, "High Discount")</f>
        <v>Medium Discount</v>
      </c>
      <c r="AG599" s="2">
        <v>49528</v>
      </c>
      <c r="AH599" s="2">
        <v>129.99</v>
      </c>
      <c r="AI599" s="2">
        <v>0.46</v>
      </c>
      <c r="AJ599" s="2" t="str" cm="1">
        <f t="array" ref="AJ599">_xlfn.IFS(AI599&lt;=0, "No Profit", AI599&lt;=0.16,"Low Profit",AI599&lt;=0.32,"Medium Profit",AI599&gt;0.32,"High Profit")</f>
        <v>High Profit</v>
      </c>
      <c r="AK599" s="2">
        <v>1</v>
      </c>
      <c r="AL599" s="2">
        <v>129.99</v>
      </c>
      <c r="AM599" s="2">
        <v>118.29</v>
      </c>
      <c r="AN599" s="2">
        <v>54.41</v>
      </c>
      <c r="AO599" s="2" t="s">
        <v>905</v>
      </c>
      <c r="AP599" s="2" t="s">
        <v>995</v>
      </c>
      <c r="AQ599" s="2" t="s">
        <v>80</v>
      </c>
      <c r="AR599" s="2" t="s">
        <v>81</v>
      </c>
      <c r="AS599" s="2">
        <v>403</v>
      </c>
      <c r="AT599" s="2">
        <v>18</v>
      </c>
      <c r="AU599" s="2" t="s">
        <v>869</v>
      </c>
      <c r="AV599" s="2">
        <v>129.99</v>
      </c>
      <c r="AW599" s="2">
        <v>0</v>
      </c>
      <c r="AX599" s="2" t="s">
        <v>2722</v>
      </c>
      <c r="AY599" s="2" t="s">
        <v>162</v>
      </c>
      <c r="AZ599" s="4">
        <v>42294</v>
      </c>
      <c r="BA599" s="5">
        <v>0.2673611111111111</v>
      </c>
      <c r="BB599" s="2">
        <v>2015</v>
      </c>
      <c r="BC599" s="2" t="s">
        <v>434</v>
      </c>
      <c r="BD599" s="2">
        <v>17</v>
      </c>
      <c r="BE599" s="4">
        <v>42297</v>
      </c>
      <c r="BF599" s="5">
        <v>0.2673611111111111</v>
      </c>
      <c r="BG599" s="2" t="str" cm="1">
        <f t="array" ref="BG599">_xlfn.IFS(BF599&lt;TIMEVALUE("06:00"),"Night", BF599&gt;=TIMEVALUE("21:00"),"Night",BF599&gt;=TIMEVALUE("17:00"),"Evening",BF599&gt;=TIMEVALUE("12:00"),"Afternoon", BF599&gt;=TIMEVALUE("06:00"),"Morning")</f>
        <v>Morning</v>
      </c>
      <c r="BH599" s="2">
        <v>2015</v>
      </c>
      <c r="BI599" s="2" t="s">
        <v>434</v>
      </c>
      <c r="BJ599" s="2">
        <v>20</v>
      </c>
    </row>
    <row r="600" spans="1:62" x14ac:dyDescent="0.3">
      <c r="A600" s="2" t="s">
        <v>62</v>
      </c>
      <c r="B600" s="2">
        <v>5</v>
      </c>
      <c r="C600" s="2">
        <v>2</v>
      </c>
      <c r="D600" s="2">
        <v>33.119999999999997</v>
      </c>
      <c r="E600" s="2">
        <v>118.29</v>
      </c>
      <c r="F600" s="2" t="s">
        <v>87</v>
      </c>
      <c r="G600" s="2" t="s">
        <v>88</v>
      </c>
      <c r="H600" s="2">
        <v>18</v>
      </c>
      <c r="I600" s="2" t="s">
        <v>863</v>
      </c>
      <c r="J600" s="2" t="s">
        <v>66</v>
      </c>
      <c r="K600" s="2" t="s">
        <v>67</v>
      </c>
      <c r="L600" s="2" t="s">
        <v>790</v>
      </c>
      <c r="M600" s="2">
        <v>1596</v>
      </c>
      <c r="N600" s="2" t="s">
        <v>2723</v>
      </c>
      <c r="O600" s="2" t="s">
        <v>70</v>
      </c>
      <c r="P600" s="2" t="s">
        <v>71</v>
      </c>
      <c r="Q600" s="2" t="s">
        <v>744</v>
      </c>
      <c r="R600" s="2">
        <v>725</v>
      </c>
      <c r="S600" s="2">
        <v>4</v>
      </c>
      <c r="T600" s="2" t="s">
        <v>417</v>
      </c>
      <c r="U600" s="2">
        <v>18.254634899999999</v>
      </c>
      <c r="V600" s="2">
        <v>-66.370582600000006</v>
      </c>
      <c r="W600" s="2" t="s">
        <v>528</v>
      </c>
      <c r="X600" s="2" t="s">
        <v>2724</v>
      </c>
      <c r="Y600" s="2" t="s">
        <v>983</v>
      </c>
      <c r="Z600" s="2">
        <v>1596</v>
      </c>
      <c r="AA600" s="3">
        <v>42041.443055555559</v>
      </c>
      <c r="AB600" s="2">
        <v>10444</v>
      </c>
      <c r="AC600" s="2">
        <v>403</v>
      </c>
      <c r="AD600" s="2">
        <v>11.7</v>
      </c>
      <c r="AE600" s="2">
        <v>0.09</v>
      </c>
      <c r="AF600" s="2" t="str" cm="1">
        <f t="array" ref="AF600">_xlfn.IFS(AE600=0, "No Discount ", AE600&lt;=0.08,"Low Discount", AE600&lt;=0.16,"Medium Discount", AE600&gt;0.16, "High Discount")</f>
        <v>Medium Discount</v>
      </c>
      <c r="AG600" s="2">
        <v>26147</v>
      </c>
      <c r="AH600" s="2">
        <v>129.99</v>
      </c>
      <c r="AI600" s="2">
        <v>0.28000000000000003</v>
      </c>
      <c r="AJ600" s="2" t="str" cm="1">
        <f t="array" ref="AJ600">_xlfn.IFS(AI600&lt;=0, "No Profit", AI600&lt;=0.16,"Low Profit",AI600&lt;=0.32,"Medium Profit",AI600&gt;0.32,"High Profit")</f>
        <v>Medium Profit</v>
      </c>
      <c r="AK600" s="2">
        <v>1</v>
      </c>
      <c r="AL600" s="2">
        <v>129.99</v>
      </c>
      <c r="AM600" s="2">
        <v>118.29</v>
      </c>
      <c r="AN600" s="2">
        <v>33.119999999999997</v>
      </c>
      <c r="AO600" s="2" t="s">
        <v>905</v>
      </c>
      <c r="AP600" s="2" t="s">
        <v>995</v>
      </c>
      <c r="AQ600" s="2" t="s">
        <v>80</v>
      </c>
      <c r="AR600" s="2" t="s">
        <v>81</v>
      </c>
      <c r="AS600" s="2">
        <v>403</v>
      </c>
      <c r="AT600" s="2">
        <v>18</v>
      </c>
      <c r="AU600" s="2" t="s">
        <v>869</v>
      </c>
      <c r="AV600" s="2">
        <v>129.99</v>
      </c>
      <c r="AW600" s="2">
        <v>0</v>
      </c>
      <c r="AX600" s="3">
        <v>42191.443055555559</v>
      </c>
      <c r="AY600" s="2" t="s">
        <v>162</v>
      </c>
      <c r="AZ600" s="4">
        <v>42041</v>
      </c>
      <c r="BA600" s="5">
        <v>0.44305555555555554</v>
      </c>
      <c r="BB600" s="2">
        <v>2015</v>
      </c>
      <c r="BC600" s="2" t="s">
        <v>423</v>
      </c>
      <c r="BD600" s="2">
        <v>6</v>
      </c>
      <c r="BE600" s="4">
        <v>42191</v>
      </c>
      <c r="BF600" s="5">
        <v>0.44305555555555554</v>
      </c>
      <c r="BG600" s="2" t="str" cm="1">
        <f t="array" ref="BG600">_xlfn.IFS(BF600&lt;TIMEVALUE("06:00"),"Night", BF600&gt;=TIMEVALUE("21:00"),"Night",BF600&gt;=TIMEVALUE("17:00"),"Evening",BF600&gt;=TIMEVALUE("12:00"),"Afternoon", BF600&gt;=TIMEVALUE("06:00"),"Morning")</f>
        <v>Morning</v>
      </c>
      <c r="BH600" s="2">
        <v>2015</v>
      </c>
      <c r="BI600" s="2" t="s">
        <v>533</v>
      </c>
      <c r="BJ600" s="2">
        <v>6</v>
      </c>
    </row>
    <row r="601" spans="1:62" x14ac:dyDescent="0.3">
      <c r="A601" s="2" t="s">
        <v>62</v>
      </c>
      <c r="B601" s="2">
        <v>3</v>
      </c>
      <c r="C601" s="2">
        <v>2</v>
      </c>
      <c r="D601" s="2">
        <v>56.16</v>
      </c>
      <c r="E601" s="2">
        <v>116.99</v>
      </c>
      <c r="F601" s="2" t="s">
        <v>87</v>
      </c>
      <c r="G601" s="2" t="s">
        <v>88</v>
      </c>
      <c r="H601" s="2">
        <v>18</v>
      </c>
      <c r="I601" s="2" t="s">
        <v>863</v>
      </c>
      <c r="J601" s="2" t="s">
        <v>66</v>
      </c>
      <c r="K601" s="2" t="s">
        <v>67</v>
      </c>
      <c r="L601" s="2" t="s">
        <v>1486</v>
      </c>
      <c r="M601" s="2">
        <v>9857</v>
      </c>
      <c r="N601" s="2" t="s">
        <v>2543</v>
      </c>
      <c r="O601" s="2" t="s">
        <v>70</v>
      </c>
      <c r="P601" s="2" t="s">
        <v>71</v>
      </c>
      <c r="Q601" s="2" t="s">
        <v>2655</v>
      </c>
      <c r="R601" s="2">
        <v>725</v>
      </c>
      <c r="S601" s="2">
        <v>4</v>
      </c>
      <c r="T601" s="2" t="s">
        <v>417</v>
      </c>
      <c r="U601" s="2">
        <v>18.262197499999999</v>
      </c>
      <c r="V601" s="2">
        <v>-66.370559700000001</v>
      </c>
      <c r="W601" s="2" t="s">
        <v>528</v>
      </c>
      <c r="X601" s="2" t="s">
        <v>946</v>
      </c>
      <c r="Y601" s="2" t="s">
        <v>557</v>
      </c>
      <c r="Z601" s="2">
        <v>9857</v>
      </c>
      <c r="AA601" s="3">
        <v>42743.536111111112</v>
      </c>
      <c r="AB601" s="2">
        <v>64637</v>
      </c>
      <c r="AC601" s="2">
        <v>403</v>
      </c>
      <c r="AD601" s="2">
        <v>13</v>
      </c>
      <c r="AE601" s="2">
        <v>0.1</v>
      </c>
      <c r="AF601" s="2" t="str" cm="1">
        <f t="array" ref="AF601">_xlfn.IFS(AE601=0, "No Discount ", AE601&lt;=0.08,"Low Discount", AE601&lt;=0.16,"Medium Discount", AE601&gt;0.16, "High Discount")</f>
        <v>Medium Discount</v>
      </c>
      <c r="AG601" s="2">
        <v>161560</v>
      </c>
      <c r="AH601" s="2">
        <v>129.99</v>
      </c>
      <c r="AI601" s="2">
        <v>0.48</v>
      </c>
      <c r="AJ601" s="2" t="str" cm="1">
        <f t="array" ref="AJ601">_xlfn.IFS(AI601&lt;=0, "No Profit", AI601&lt;=0.16,"Low Profit",AI601&lt;=0.32,"Medium Profit",AI601&gt;0.32,"High Profit")</f>
        <v>High Profit</v>
      </c>
      <c r="AK601" s="2">
        <v>1</v>
      </c>
      <c r="AL601" s="2">
        <v>129.99</v>
      </c>
      <c r="AM601" s="2">
        <v>116.99</v>
      </c>
      <c r="AN601" s="2">
        <v>56.16</v>
      </c>
      <c r="AO601" s="2" t="s">
        <v>558</v>
      </c>
      <c r="AP601" s="2" t="s">
        <v>559</v>
      </c>
      <c r="AQ601" s="2" t="s">
        <v>80</v>
      </c>
      <c r="AR601" s="2" t="s">
        <v>81</v>
      </c>
      <c r="AS601" s="2">
        <v>403</v>
      </c>
      <c r="AT601" s="2">
        <v>18</v>
      </c>
      <c r="AU601" s="2" t="s">
        <v>869</v>
      </c>
      <c r="AV601" s="2">
        <v>129.99</v>
      </c>
      <c r="AW601" s="2">
        <v>0</v>
      </c>
      <c r="AX601" s="3">
        <v>42833.536111111112</v>
      </c>
      <c r="AY601" s="2" t="s">
        <v>162</v>
      </c>
      <c r="AZ601" s="4">
        <v>42743</v>
      </c>
      <c r="BA601" s="5">
        <v>0.53611111111111109</v>
      </c>
      <c r="BB601" s="2">
        <v>2017</v>
      </c>
      <c r="BC601" s="2" t="s">
        <v>84</v>
      </c>
      <c r="BD601" s="2">
        <v>8</v>
      </c>
      <c r="BE601" s="4">
        <v>42833</v>
      </c>
      <c r="BF601" s="5">
        <v>0.53611111111111109</v>
      </c>
      <c r="BG601" s="2" t="str" cm="1">
        <f t="array" ref="BG601">_xlfn.IFS(BF601&lt;TIMEVALUE("06:00"),"Night", BF601&gt;=TIMEVALUE("21:00"),"Night",BF601&gt;=TIMEVALUE("17:00"),"Evening",BF601&gt;=TIMEVALUE("12:00"),"Afternoon", BF601&gt;=TIMEVALUE("06:00"),"Morning")</f>
        <v>Afternoon</v>
      </c>
      <c r="BH601" s="2">
        <v>2017</v>
      </c>
      <c r="BI601" s="2" t="s">
        <v>487</v>
      </c>
      <c r="BJ601" s="2">
        <v>8</v>
      </c>
    </row>
    <row r="602" spans="1:62" x14ac:dyDescent="0.3">
      <c r="A602" s="2" t="s">
        <v>62</v>
      </c>
      <c r="B602" s="2">
        <v>5</v>
      </c>
      <c r="C602" s="2">
        <v>2</v>
      </c>
      <c r="D602" s="2">
        <v>32.76</v>
      </c>
      <c r="E602" s="2">
        <v>116.99</v>
      </c>
      <c r="F602" s="2" t="s">
        <v>87</v>
      </c>
      <c r="G602" s="2" t="s">
        <v>88</v>
      </c>
      <c r="H602" s="2">
        <v>18</v>
      </c>
      <c r="I602" s="2" t="s">
        <v>863</v>
      </c>
      <c r="J602" s="2" t="s">
        <v>2725</v>
      </c>
      <c r="K602" s="2" t="s">
        <v>67</v>
      </c>
      <c r="L602" s="2" t="s">
        <v>2726</v>
      </c>
      <c r="M602" s="2">
        <v>3969</v>
      </c>
      <c r="N602" s="2" t="s">
        <v>425</v>
      </c>
      <c r="O602" s="2" t="s">
        <v>70</v>
      </c>
      <c r="P602" s="2" t="s">
        <v>71</v>
      </c>
      <c r="Q602" s="2" t="s">
        <v>2727</v>
      </c>
      <c r="R602" s="2">
        <v>693</v>
      </c>
      <c r="S602" s="2">
        <v>4</v>
      </c>
      <c r="T602" s="2" t="s">
        <v>417</v>
      </c>
      <c r="U602" s="2">
        <v>18.4448471</v>
      </c>
      <c r="V602" s="2">
        <v>-66.386413599999997</v>
      </c>
      <c r="W602" s="2" t="s">
        <v>528</v>
      </c>
      <c r="X602" s="2" t="s">
        <v>2728</v>
      </c>
      <c r="Y602" s="2" t="s">
        <v>2729</v>
      </c>
      <c r="Z602" s="2">
        <v>3969</v>
      </c>
      <c r="AA602" s="3">
        <v>42316.877083333333</v>
      </c>
      <c r="AB602" s="2">
        <v>15269</v>
      </c>
      <c r="AC602" s="2">
        <v>403</v>
      </c>
      <c r="AD602" s="2">
        <v>13</v>
      </c>
      <c r="AE602" s="2">
        <v>0.1</v>
      </c>
      <c r="AF602" s="2" t="str" cm="1">
        <f t="array" ref="AF602">_xlfn.IFS(AE602=0, "No Discount ", AE602&lt;=0.08,"Low Discount", AE602&lt;=0.16,"Medium Discount", AE602&gt;0.16, "High Discount")</f>
        <v>Medium Discount</v>
      </c>
      <c r="AG602" s="2">
        <v>38180</v>
      </c>
      <c r="AH602" s="2">
        <v>129.99</v>
      </c>
      <c r="AI602" s="2">
        <v>0.28000000000000003</v>
      </c>
      <c r="AJ602" s="2" t="str" cm="1">
        <f t="array" ref="AJ602">_xlfn.IFS(AI602&lt;=0, "No Profit", AI602&lt;=0.16,"Low Profit",AI602&lt;=0.32,"Medium Profit",AI602&gt;0.32,"High Profit")</f>
        <v>Medium Profit</v>
      </c>
      <c r="AK602" s="2">
        <v>1</v>
      </c>
      <c r="AL602" s="2">
        <v>129.99</v>
      </c>
      <c r="AM602" s="2">
        <v>116.99</v>
      </c>
      <c r="AN602" s="2">
        <v>32.76</v>
      </c>
      <c r="AO602" s="2" t="s">
        <v>558</v>
      </c>
      <c r="AP602" s="2" t="s">
        <v>2728</v>
      </c>
      <c r="AQ602" s="2" t="s">
        <v>80</v>
      </c>
      <c r="AR602" s="2" t="s">
        <v>81</v>
      </c>
      <c r="AS602" s="2">
        <v>403</v>
      </c>
      <c r="AT602" s="2">
        <v>18</v>
      </c>
      <c r="AU602" s="2" t="s">
        <v>869</v>
      </c>
      <c r="AV602" s="2">
        <v>129.99</v>
      </c>
      <c r="AW602" s="2">
        <v>0</v>
      </c>
      <c r="AX602" s="2" t="s">
        <v>2730</v>
      </c>
      <c r="AY602" s="2" t="s">
        <v>162</v>
      </c>
      <c r="AZ602" s="4">
        <v>42316</v>
      </c>
      <c r="BA602" s="5">
        <v>0.87708333333333333</v>
      </c>
      <c r="BB602" s="2">
        <v>2015</v>
      </c>
      <c r="BC602" s="2" t="s">
        <v>455</v>
      </c>
      <c r="BD602" s="2">
        <v>8</v>
      </c>
      <c r="BE602" s="4">
        <v>42232</v>
      </c>
      <c r="BF602" s="5">
        <v>0.87708333333333333</v>
      </c>
      <c r="BG602" s="2" t="str" cm="1">
        <f t="array" ref="BG602">_xlfn.IFS(BF602&lt;TIMEVALUE("06:00"),"Night", BF602&gt;=TIMEVALUE("21:00"),"Night",BF602&gt;=TIMEVALUE("17:00"),"Evening",BF602&gt;=TIMEVALUE("12:00"),"Afternoon", BF602&gt;=TIMEVALUE("06:00"),"Morning")</f>
        <v>Night</v>
      </c>
      <c r="BH602" s="2">
        <v>2015</v>
      </c>
      <c r="BI602" s="2" t="s">
        <v>482</v>
      </c>
      <c r="BJ602" s="2">
        <v>16</v>
      </c>
    </row>
    <row r="603" spans="1:62" x14ac:dyDescent="0.3">
      <c r="A603" s="2" t="s">
        <v>62</v>
      </c>
      <c r="B603" s="2">
        <v>5</v>
      </c>
      <c r="C603" s="2">
        <v>2</v>
      </c>
      <c r="D603" s="2">
        <v>16.38</v>
      </c>
      <c r="E603" s="2">
        <v>116.99</v>
      </c>
      <c r="F603" s="2" t="s">
        <v>87</v>
      </c>
      <c r="G603" s="2" t="s">
        <v>88</v>
      </c>
      <c r="H603" s="2">
        <v>18</v>
      </c>
      <c r="I603" s="2" t="s">
        <v>863</v>
      </c>
      <c r="J603" s="2" t="s">
        <v>66</v>
      </c>
      <c r="K603" s="2" t="s">
        <v>67</v>
      </c>
      <c r="L603" s="2" t="s">
        <v>2731</v>
      </c>
      <c r="M603" s="2">
        <v>9342</v>
      </c>
      <c r="N603" s="2" t="s">
        <v>2042</v>
      </c>
      <c r="O603" s="2" t="s">
        <v>70</v>
      </c>
      <c r="P603" s="2" t="s">
        <v>71</v>
      </c>
      <c r="Q603" s="2" t="s">
        <v>2732</v>
      </c>
      <c r="R603" s="2">
        <v>725</v>
      </c>
      <c r="S603" s="2">
        <v>4</v>
      </c>
      <c r="T603" s="2" t="s">
        <v>417</v>
      </c>
      <c r="U603" s="2">
        <v>18.288112600000002</v>
      </c>
      <c r="V603" s="2">
        <v>-66.370529199999993</v>
      </c>
      <c r="W603" s="2" t="s">
        <v>528</v>
      </c>
      <c r="X603" s="2" t="s">
        <v>1077</v>
      </c>
      <c r="Y603" s="2" t="s">
        <v>557</v>
      </c>
      <c r="Z603" s="2">
        <v>9342</v>
      </c>
      <c r="AA603" s="2" t="s">
        <v>2733</v>
      </c>
      <c r="AB603" s="2">
        <v>14064</v>
      </c>
      <c r="AC603" s="2">
        <v>403</v>
      </c>
      <c r="AD603" s="2">
        <v>13</v>
      </c>
      <c r="AE603" s="2">
        <v>0.1</v>
      </c>
      <c r="AF603" s="2" t="str" cm="1">
        <f t="array" ref="AF603">_xlfn.IFS(AE603=0, "No Discount ", AE603&lt;=0.08,"Low Discount", AE603&lt;=0.16,"Medium Discount", AE603&gt;0.16, "High Discount")</f>
        <v>Medium Discount</v>
      </c>
      <c r="AG603" s="2">
        <v>35196</v>
      </c>
      <c r="AH603" s="2">
        <v>129.99</v>
      </c>
      <c r="AI603" s="2">
        <v>0.14000000000000001</v>
      </c>
      <c r="AJ603" s="2" t="str" cm="1">
        <f t="array" ref="AJ603">_xlfn.IFS(AI603&lt;=0, "No Profit", AI603&lt;=0.16,"Low Profit",AI603&lt;=0.32,"Medium Profit",AI603&gt;0.32,"High Profit")</f>
        <v>Low Profit</v>
      </c>
      <c r="AK603" s="2">
        <v>1</v>
      </c>
      <c r="AL603" s="2">
        <v>129.99</v>
      </c>
      <c r="AM603" s="2">
        <v>116.99</v>
      </c>
      <c r="AN603" s="2">
        <v>16.38</v>
      </c>
      <c r="AO603" s="2" t="s">
        <v>558</v>
      </c>
      <c r="AP603" s="2" t="s">
        <v>559</v>
      </c>
      <c r="AQ603" s="2" t="s">
        <v>80</v>
      </c>
      <c r="AR603" s="2" t="s">
        <v>81</v>
      </c>
      <c r="AS603" s="2">
        <v>403</v>
      </c>
      <c r="AT603" s="2">
        <v>18</v>
      </c>
      <c r="AU603" s="2" t="s">
        <v>869</v>
      </c>
      <c r="AV603" s="2">
        <v>129.99</v>
      </c>
      <c r="AW603" s="2">
        <v>0</v>
      </c>
      <c r="AX603" s="2" t="s">
        <v>2734</v>
      </c>
      <c r="AY603" s="2" t="s">
        <v>162</v>
      </c>
      <c r="AZ603" s="4">
        <v>42210</v>
      </c>
      <c r="BA603" s="5">
        <v>0.28680555555555554</v>
      </c>
      <c r="BB603" s="2">
        <v>2015</v>
      </c>
      <c r="BC603" s="2" t="s">
        <v>533</v>
      </c>
      <c r="BD603" s="2">
        <v>25</v>
      </c>
      <c r="BE603" s="4">
        <v>42215</v>
      </c>
      <c r="BF603" s="5">
        <v>0.28680555555555554</v>
      </c>
      <c r="BG603" s="2" t="str" cm="1">
        <f t="array" ref="BG603">_xlfn.IFS(BF603&lt;TIMEVALUE("06:00"),"Night", BF603&gt;=TIMEVALUE("21:00"),"Night",BF603&gt;=TIMEVALUE("17:00"),"Evening",BF603&gt;=TIMEVALUE("12:00"),"Afternoon", BF603&gt;=TIMEVALUE("06:00"),"Morning")</f>
        <v>Morning</v>
      </c>
      <c r="BH603" s="2">
        <v>2015</v>
      </c>
      <c r="BI603" s="2" t="s">
        <v>533</v>
      </c>
      <c r="BJ603" s="2">
        <v>30</v>
      </c>
    </row>
    <row r="604" spans="1:62" x14ac:dyDescent="0.3">
      <c r="A604" s="2" t="s">
        <v>62</v>
      </c>
      <c r="B604" s="2">
        <v>2</v>
      </c>
      <c r="C604" s="2">
        <v>2</v>
      </c>
      <c r="D604" s="2">
        <v>17.82</v>
      </c>
      <c r="E604" s="2">
        <v>53.99</v>
      </c>
      <c r="F604" s="2" t="s">
        <v>100</v>
      </c>
      <c r="G604" s="2" t="s">
        <v>64</v>
      </c>
      <c r="H604" s="2">
        <v>17</v>
      </c>
      <c r="I604" s="2" t="s">
        <v>412</v>
      </c>
      <c r="J604" s="2" t="s">
        <v>66</v>
      </c>
      <c r="K604" s="2" t="s">
        <v>67</v>
      </c>
      <c r="L604" s="2" t="s">
        <v>1364</v>
      </c>
      <c r="M604" s="2">
        <v>2028</v>
      </c>
      <c r="N604" s="2" t="s">
        <v>425</v>
      </c>
      <c r="O604" s="2" t="s">
        <v>70</v>
      </c>
      <c r="P604" s="2" t="s">
        <v>71</v>
      </c>
      <c r="Q604" s="2" t="s">
        <v>2735</v>
      </c>
      <c r="R604" s="2">
        <v>725</v>
      </c>
      <c r="S604" s="2">
        <v>4</v>
      </c>
      <c r="T604" s="2" t="s">
        <v>417</v>
      </c>
      <c r="U604" s="2">
        <v>18.266735099999998</v>
      </c>
      <c r="V604" s="2">
        <v>-66.3705444</v>
      </c>
      <c r="W604" s="2" t="s">
        <v>528</v>
      </c>
      <c r="X604" s="2" t="s">
        <v>1081</v>
      </c>
      <c r="Y604" s="2" t="s">
        <v>549</v>
      </c>
      <c r="Z604" s="2">
        <v>2028</v>
      </c>
      <c r="AA604" s="3">
        <v>42012.395833333336</v>
      </c>
      <c r="AB604" s="2">
        <v>14551</v>
      </c>
      <c r="AC604" s="2">
        <v>365</v>
      </c>
      <c r="AD604" s="2">
        <v>6</v>
      </c>
      <c r="AE604" s="2">
        <v>0.1</v>
      </c>
      <c r="AF604" s="2" t="str" cm="1">
        <f t="array" ref="AF604">_xlfn.IFS(AE604=0, "No Discount ", AE604&lt;=0.08,"Low Discount", AE604&lt;=0.16,"Medium Discount", AE604&gt;0.16, "High Discount")</f>
        <v>Medium Discount</v>
      </c>
      <c r="AG604" s="2">
        <v>36402</v>
      </c>
      <c r="AH604" s="2">
        <v>59.99</v>
      </c>
      <c r="AI604" s="2">
        <v>0.33</v>
      </c>
      <c r="AJ604" s="2" t="str" cm="1">
        <f t="array" ref="AJ604">_xlfn.IFS(AI604&lt;=0, "No Profit", AI604&lt;=0.16,"Low Profit",AI604&lt;=0.32,"Medium Profit",AI604&gt;0.32,"High Profit")</f>
        <v>High Profit</v>
      </c>
      <c r="AK604" s="2">
        <v>1</v>
      </c>
      <c r="AL604" s="2">
        <v>59.99</v>
      </c>
      <c r="AM604" s="2">
        <v>53.99</v>
      </c>
      <c r="AN604" s="2">
        <v>17.82</v>
      </c>
      <c r="AO604" s="2" t="s">
        <v>531</v>
      </c>
      <c r="AP604" s="2" t="s">
        <v>1083</v>
      </c>
      <c r="AQ604" s="2" t="s">
        <v>80</v>
      </c>
      <c r="AR604" s="2" t="s">
        <v>81</v>
      </c>
      <c r="AS604" s="2">
        <v>365</v>
      </c>
      <c r="AT604" s="2">
        <v>17</v>
      </c>
      <c r="AU604" s="2" t="s">
        <v>421</v>
      </c>
      <c r="AV604" s="2">
        <v>59.99</v>
      </c>
      <c r="AW604" s="2">
        <v>0</v>
      </c>
      <c r="AX604" s="3">
        <v>42071.395833333336</v>
      </c>
      <c r="AY604" s="2" t="s">
        <v>162</v>
      </c>
      <c r="AZ604" s="4">
        <v>42012</v>
      </c>
      <c r="BA604" s="5">
        <v>0.39583333333333331</v>
      </c>
      <c r="BB604" s="2">
        <v>2015</v>
      </c>
      <c r="BC604" s="2" t="s">
        <v>84</v>
      </c>
      <c r="BD604" s="2">
        <v>8</v>
      </c>
      <c r="BE604" s="4">
        <v>42071</v>
      </c>
      <c r="BF604" s="5">
        <v>0.39583333333333331</v>
      </c>
      <c r="BG604" s="2" t="str" cm="1">
        <f t="array" ref="BG604">_xlfn.IFS(BF604&lt;TIMEVALUE("06:00"),"Night", BF604&gt;=TIMEVALUE("21:00"),"Night",BF604&gt;=TIMEVALUE("17:00"),"Evening",BF604&gt;=TIMEVALUE("12:00"),"Afternoon", BF604&gt;=TIMEVALUE("06:00"),"Morning")</f>
        <v>Morning</v>
      </c>
      <c r="BH604" s="2">
        <v>2015</v>
      </c>
      <c r="BI604" s="2" t="s">
        <v>85</v>
      </c>
      <c r="BJ604" s="2">
        <v>8</v>
      </c>
    </row>
    <row r="605" spans="1:62" x14ac:dyDescent="0.3">
      <c r="A605" s="2" t="s">
        <v>62</v>
      </c>
      <c r="B605" s="2">
        <v>4</v>
      </c>
      <c r="C605" s="2">
        <v>2</v>
      </c>
      <c r="D605" s="2">
        <v>-80.989999999999995</v>
      </c>
      <c r="E605" s="2">
        <v>53.99</v>
      </c>
      <c r="F605" s="2" t="s">
        <v>87</v>
      </c>
      <c r="G605" s="2" t="s">
        <v>88</v>
      </c>
      <c r="H605" s="2">
        <v>17</v>
      </c>
      <c r="I605" s="2" t="s">
        <v>412</v>
      </c>
      <c r="J605" s="2" t="s">
        <v>66</v>
      </c>
      <c r="K605" s="2" t="s">
        <v>67</v>
      </c>
      <c r="L605" s="2" t="s">
        <v>414</v>
      </c>
      <c r="M605" s="2">
        <v>3940</v>
      </c>
      <c r="N605" s="2" t="s">
        <v>425</v>
      </c>
      <c r="O605" s="2" t="s">
        <v>70</v>
      </c>
      <c r="P605" s="2" t="s">
        <v>71</v>
      </c>
      <c r="Q605" s="2" t="s">
        <v>2736</v>
      </c>
      <c r="R605" s="2">
        <v>725</v>
      </c>
      <c r="S605" s="2">
        <v>4</v>
      </c>
      <c r="T605" s="2" t="s">
        <v>417</v>
      </c>
      <c r="U605" s="2">
        <v>18.2191887</v>
      </c>
      <c r="V605" s="2">
        <v>-66.370590199999995</v>
      </c>
      <c r="W605" s="2" t="s">
        <v>528</v>
      </c>
      <c r="X605" s="2" t="s">
        <v>2737</v>
      </c>
      <c r="Y605" s="2" t="s">
        <v>536</v>
      </c>
      <c r="Z605" s="2">
        <v>3940</v>
      </c>
      <c r="AA605" s="3">
        <v>42131.34652777778</v>
      </c>
      <c r="AB605" s="2">
        <v>12698</v>
      </c>
      <c r="AC605" s="2">
        <v>365</v>
      </c>
      <c r="AD605" s="2">
        <v>6</v>
      </c>
      <c r="AE605" s="2">
        <v>0.1</v>
      </c>
      <c r="AF605" s="2" t="str" cm="1">
        <f t="array" ref="AF605">_xlfn.IFS(AE605=0, "No Discount ", AE605&lt;=0.08,"Low Discount", AE605&lt;=0.16,"Medium Discount", AE605&gt;0.16, "High Discount")</f>
        <v>Medium Discount</v>
      </c>
      <c r="AG605" s="2">
        <v>31771</v>
      </c>
      <c r="AH605" s="2">
        <v>59.99</v>
      </c>
      <c r="AI605" s="2">
        <v>-1.5</v>
      </c>
      <c r="AJ605" s="2" t="str" cm="1">
        <f t="array" ref="AJ605">_xlfn.IFS(AI605&lt;=0, "No Profit", AI605&lt;=0.16,"Low Profit",AI605&lt;=0.32,"Medium Profit",AI605&gt;0.32,"High Profit")</f>
        <v>No Profit</v>
      </c>
      <c r="AK605" s="2">
        <v>1</v>
      </c>
      <c r="AL605" s="2">
        <v>59.99</v>
      </c>
      <c r="AM605" s="2">
        <v>53.99</v>
      </c>
      <c r="AN605" s="2">
        <v>-80.989999999999995</v>
      </c>
      <c r="AO605" s="2" t="s">
        <v>531</v>
      </c>
      <c r="AP605" s="2" t="s">
        <v>1000</v>
      </c>
      <c r="AQ605" s="2" t="s">
        <v>80</v>
      </c>
      <c r="AR605" s="2" t="s">
        <v>81</v>
      </c>
      <c r="AS605" s="2">
        <v>365</v>
      </c>
      <c r="AT605" s="2">
        <v>17</v>
      </c>
      <c r="AU605" s="2" t="s">
        <v>421</v>
      </c>
      <c r="AV605" s="2">
        <v>59.99</v>
      </c>
      <c r="AW605" s="2">
        <v>0</v>
      </c>
      <c r="AX605" s="3">
        <v>42254.34652777778</v>
      </c>
      <c r="AY605" s="2" t="s">
        <v>162</v>
      </c>
      <c r="AZ605" s="4">
        <v>42131</v>
      </c>
      <c r="BA605" s="5">
        <v>0.34652777777777777</v>
      </c>
      <c r="BB605" s="2">
        <v>2015</v>
      </c>
      <c r="BC605" s="2" t="s">
        <v>443</v>
      </c>
      <c r="BD605" s="2">
        <v>7</v>
      </c>
      <c r="BE605" s="4">
        <v>42254</v>
      </c>
      <c r="BF605" s="5">
        <v>0.34652777777777777</v>
      </c>
      <c r="BG605" s="2" t="str" cm="1">
        <f t="array" ref="BG605">_xlfn.IFS(BF605&lt;TIMEVALUE("06:00"),"Night", BF605&gt;=TIMEVALUE("21:00"),"Night",BF605&gt;=TIMEVALUE("17:00"),"Evening",BF605&gt;=TIMEVALUE("12:00"),"Afternoon", BF605&gt;=TIMEVALUE("06:00"),"Morning")</f>
        <v>Morning</v>
      </c>
      <c r="BH605" s="2">
        <v>2015</v>
      </c>
      <c r="BI605" s="2" t="s">
        <v>552</v>
      </c>
      <c r="BJ605" s="2">
        <v>7</v>
      </c>
    </row>
    <row r="606" spans="1:62" x14ac:dyDescent="0.3">
      <c r="A606" s="2" t="s">
        <v>62</v>
      </c>
      <c r="B606" s="2">
        <v>4</v>
      </c>
      <c r="C606" s="2">
        <v>2</v>
      </c>
      <c r="D606" s="2">
        <v>29.74</v>
      </c>
      <c r="E606" s="2">
        <v>114.39</v>
      </c>
      <c r="F606" s="2" t="s">
        <v>87</v>
      </c>
      <c r="G606" s="2" t="s">
        <v>88</v>
      </c>
      <c r="H606" s="2">
        <v>18</v>
      </c>
      <c r="I606" s="2" t="s">
        <v>863</v>
      </c>
      <c r="J606" s="2" t="s">
        <v>66</v>
      </c>
      <c r="K606" s="2" t="s">
        <v>67</v>
      </c>
      <c r="L606" s="2" t="s">
        <v>2738</v>
      </c>
      <c r="M606" s="2">
        <v>8293</v>
      </c>
      <c r="N606" s="2" t="s">
        <v>2739</v>
      </c>
      <c r="O606" s="2" t="s">
        <v>70</v>
      </c>
      <c r="P606" s="2" t="s">
        <v>71</v>
      </c>
      <c r="Q606" s="2" t="s">
        <v>2740</v>
      </c>
      <c r="R606" s="2">
        <v>725</v>
      </c>
      <c r="S606" s="2">
        <v>4</v>
      </c>
      <c r="T606" s="2" t="s">
        <v>417</v>
      </c>
      <c r="U606" s="2">
        <v>18.273498499999999</v>
      </c>
      <c r="V606" s="2">
        <v>-66.370536799999996</v>
      </c>
      <c r="W606" s="2" t="s">
        <v>528</v>
      </c>
      <c r="X606" s="2" t="s">
        <v>2741</v>
      </c>
      <c r="Y606" s="2" t="s">
        <v>2742</v>
      </c>
      <c r="Z606" s="2">
        <v>8293</v>
      </c>
      <c r="AA606" s="2" t="s">
        <v>2743</v>
      </c>
      <c r="AB606" s="2">
        <v>47758</v>
      </c>
      <c r="AC606" s="2">
        <v>403</v>
      </c>
      <c r="AD606" s="2">
        <v>15.6</v>
      </c>
      <c r="AE606" s="2">
        <v>0.12</v>
      </c>
      <c r="AF606" s="2" t="str" cm="1">
        <f t="array" ref="AF606">_xlfn.IFS(AE606=0, "No Discount ", AE606&lt;=0.08,"Low Discount", AE606&lt;=0.16,"Medium Discount", AE606&gt;0.16, "High Discount")</f>
        <v>Medium Discount</v>
      </c>
      <c r="AG606" s="2">
        <v>119424</v>
      </c>
      <c r="AH606" s="2">
        <v>129.99</v>
      </c>
      <c r="AI606" s="2">
        <v>0.26</v>
      </c>
      <c r="AJ606" s="2" t="str" cm="1">
        <f t="array" ref="AJ606">_xlfn.IFS(AI606&lt;=0, "No Profit", AI606&lt;=0.16,"Low Profit",AI606&lt;=0.32,"Medium Profit",AI606&gt;0.32,"High Profit")</f>
        <v>Medium Profit</v>
      </c>
      <c r="AK606" s="2">
        <v>1</v>
      </c>
      <c r="AL606" s="2">
        <v>129.99</v>
      </c>
      <c r="AM606" s="2">
        <v>114.39</v>
      </c>
      <c r="AN606" s="2">
        <v>29.74</v>
      </c>
      <c r="AO606" s="2" t="s">
        <v>1717</v>
      </c>
      <c r="AP606" s="2" t="s">
        <v>2744</v>
      </c>
      <c r="AQ606" s="2" t="s">
        <v>80</v>
      </c>
      <c r="AR606" s="2" t="s">
        <v>81</v>
      </c>
      <c r="AS606" s="2">
        <v>403</v>
      </c>
      <c r="AT606" s="2">
        <v>18</v>
      </c>
      <c r="AU606" s="2" t="s">
        <v>869</v>
      </c>
      <c r="AV606" s="2">
        <v>129.99</v>
      </c>
      <c r="AW606" s="2">
        <v>0</v>
      </c>
      <c r="AX606" s="3">
        <v>42412.14166666667</v>
      </c>
      <c r="AY606" s="2" t="s">
        <v>162</v>
      </c>
      <c r="AZ606" s="4">
        <v>42702</v>
      </c>
      <c r="BA606" s="5">
        <v>0.14166666666666666</v>
      </c>
      <c r="BB606" s="2">
        <v>2016</v>
      </c>
      <c r="BC606" s="2" t="s">
        <v>455</v>
      </c>
      <c r="BD606" s="2">
        <v>28</v>
      </c>
      <c r="BE606" s="4">
        <v>42412</v>
      </c>
      <c r="BF606" s="5">
        <v>0.14166666666666666</v>
      </c>
      <c r="BG606" s="2" t="str" cm="1">
        <f t="array" ref="BG606">_xlfn.IFS(BF606&lt;TIMEVALUE("06:00"),"Night", BF606&gt;=TIMEVALUE("21:00"),"Night",BF606&gt;=TIMEVALUE("17:00"),"Evening",BF606&gt;=TIMEVALUE("12:00"),"Afternoon", BF606&gt;=TIMEVALUE("06:00"),"Morning")</f>
        <v>Night</v>
      </c>
      <c r="BH606" s="2">
        <v>2016</v>
      </c>
      <c r="BI606" s="2" t="s">
        <v>423</v>
      </c>
      <c r="BJ606" s="2">
        <v>12</v>
      </c>
    </row>
    <row r="607" spans="1:62" x14ac:dyDescent="0.3">
      <c r="A607" s="2" t="s">
        <v>62</v>
      </c>
      <c r="B607" s="2">
        <v>6</v>
      </c>
      <c r="C607" s="2">
        <v>2</v>
      </c>
      <c r="D607" s="2">
        <v>7.21</v>
      </c>
      <c r="E607" s="2">
        <v>114.39</v>
      </c>
      <c r="F607" s="2" t="s">
        <v>87</v>
      </c>
      <c r="G607" s="2" t="s">
        <v>88</v>
      </c>
      <c r="H607" s="2">
        <v>18</v>
      </c>
      <c r="I607" s="2" t="s">
        <v>863</v>
      </c>
      <c r="J607" s="2" t="s">
        <v>66</v>
      </c>
      <c r="K607" s="2" t="s">
        <v>67</v>
      </c>
      <c r="L607" s="2" t="s">
        <v>1326</v>
      </c>
      <c r="M607" s="2">
        <v>9962</v>
      </c>
      <c r="N607" s="2" t="s">
        <v>425</v>
      </c>
      <c r="O607" s="2" t="s">
        <v>70</v>
      </c>
      <c r="P607" s="2" t="s">
        <v>71</v>
      </c>
      <c r="Q607" s="2" t="s">
        <v>2745</v>
      </c>
      <c r="R607" s="2">
        <v>725</v>
      </c>
      <c r="S607" s="2">
        <v>4</v>
      </c>
      <c r="T607" s="2" t="s">
        <v>417</v>
      </c>
      <c r="U607" s="2">
        <v>18.202306799999999</v>
      </c>
      <c r="V607" s="2">
        <v>-66.370590199999995</v>
      </c>
      <c r="W607" s="2" t="s">
        <v>528</v>
      </c>
      <c r="X607" s="2" t="s">
        <v>2746</v>
      </c>
      <c r="Y607" s="2" t="s">
        <v>1068</v>
      </c>
      <c r="Z607" s="2">
        <v>9962</v>
      </c>
      <c r="AA607" s="2" t="s">
        <v>2747</v>
      </c>
      <c r="AB607" s="2">
        <v>68220</v>
      </c>
      <c r="AC607" s="2">
        <v>403</v>
      </c>
      <c r="AD607" s="2">
        <v>15.6</v>
      </c>
      <c r="AE607" s="2">
        <v>0.12</v>
      </c>
      <c r="AF607" s="2" t="str" cm="1">
        <f t="array" ref="AF607">_xlfn.IFS(AE607=0, "No Discount ", AE607&lt;=0.08,"Low Discount", AE607&lt;=0.16,"Medium Discount", AE607&gt;0.16, "High Discount")</f>
        <v>Medium Discount</v>
      </c>
      <c r="AG607" s="2">
        <v>170556</v>
      </c>
      <c r="AH607" s="2">
        <v>129.99</v>
      </c>
      <c r="AI607" s="2">
        <v>0.06</v>
      </c>
      <c r="AJ607" s="2" t="str" cm="1">
        <f t="array" ref="AJ607">_xlfn.IFS(AI607&lt;=0, "No Profit", AI607&lt;=0.16,"Low Profit",AI607&lt;=0.32,"Medium Profit",AI607&gt;0.32,"High Profit")</f>
        <v>Low Profit</v>
      </c>
      <c r="AK607" s="2">
        <v>1</v>
      </c>
      <c r="AL607" s="2">
        <v>129.99</v>
      </c>
      <c r="AM607" s="2">
        <v>114.39</v>
      </c>
      <c r="AN607" s="2">
        <v>7.21</v>
      </c>
      <c r="AO607" s="2" t="s">
        <v>558</v>
      </c>
      <c r="AP607" s="2" t="s">
        <v>1067</v>
      </c>
      <c r="AQ607" s="2" t="s">
        <v>80</v>
      </c>
      <c r="AR607" s="2" t="s">
        <v>81</v>
      </c>
      <c r="AS607" s="2">
        <v>403</v>
      </c>
      <c r="AT607" s="2">
        <v>18</v>
      </c>
      <c r="AU607" s="2" t="s">
        <v>869</v>
      </c>
      <c r="AV607" s="2">
        <v>129.99</v>
      </c>
      <c r="AW607" s="2">
        <v>0</v>
      </c>
      <c r="AX607" s="2" t="s">
        <v>2748</v>
      </c>
      <c r="AY607" s="2" t="s">
        <v>162</v>
      </c>
      <c r="AZ607" s="4">
        <v>43000</v>
      </c>
      <c r="BA607" s="5">
        <v>0.83958333333333335</v>
      </c>
      <c r="BB607" s="2">
        <v>2017</v>
      </c>
      <c r="BC607" s="2" t="s">
        <v>552</v>
      </c>
      <c r="BD607" s="2">
        <v>22</v>
      </c>
      <c r="BE607" s="4">
        <v>43006</v>
      </c>
      <c r="BF607" s="5">
        <v>0.83958333333333335</v>
      </c>
      <c r="BG607" s="2" t="str" cm="1">
        <f t="array" ref="BG607">_xlfn.IFS(BF607&lt;TIMEVALUE("06:00"),"Night", BF607&gt;=TIMEVALUE("21:00"),"Night",BF607&gt;=TIMEVALUE("17:00"),"Evening",BF607&gt;=TIMEVALUE("12:00"),"Afternoon", BF607&gt;=TIMEVALUE("06:00"),"Morning")</f>
        <v>Evening</v>
      </c>
      <c r="BH607" s="2">
        <v>2017</v>
      </c>
      <c r="BI607" s="2" t="s">
        <v>552</v>
      </c>
      <c r="BJ607" s="2">
        <v>28</v>
      </c>
    </row>
    <row r="608" spans="1:62" x14ac:dyDescent="0.3">
      <c r="A608" s="2" t="s">
        <v>62</v>
      </c>
      <c r="B608" s="2">
        <v>6</v>
      </c>
      <c r="C608" s="2">
        <v>2</v>
      </c>
      <c r="D608" s="2">
        <v>33.17</v>
      </c>
      <c r="E608" s="2">
        <v>114.39</v>
      </c>
      <c r="F608" s="2" t="s">
        <v>87</v>
      </c>
      <c r="G608" s="2" t="s">
        <v>88</v>
      </c>
      <c r="H608" s="2">
        <v>18</v>
      </c>
      <c r="I608" s="2" t="s">
        <v>863</v>
      </c>
      <c r="J608" s="2" t="s">
        <v>66</v>
      </c>
      <c r="K608" s="2" t="s">
        <v>67</v>
      </c>
      <c r="L608" s="2" t="s">
        <v>414</v>
      </c>
      <c r="M608" s="2">
        <v>8098</v>
      </c>
      <c r="N608" s="2" t="s">
        <v>425</v>
      </c>
      <c r="O608" s="2" t="s">
        <v>70</v>
      </c>
      <c r="P608" s="2" t="s">
        <v>71</v>
      </c>
      <c r="Q608" s="2" t="s">
        <v>2749</v>
      </c>
      <c r="R608" s="2">
        <v>725</v>
      </c>
      <c r="S608" s="2">
        <v>4</v>
      </c>
      <c r="T608" s="2" t="s">
        <v>417</v>
      </c>
      <c r="U608" s="2">
        <v>18.296674700000001</v>
      </c>
      <c r="V608" s="2">
        <v>-66.370597799999999</v>
      </c>
      <c r="W608" s="2" t="s">
        <v>528</v>
      </c>
      <c r="X608" s="2" t="s">
        <v>2750</v>
      </c>
      <c r="Y608" s="2" t="s">
        <v>557</v>
      </c>
      <c r="Z608" s="2">
        <v>8098</v>
      </c>
      <c r="AA608" s="3">
        <v>42102.009027777778</v>
      </c>
      <c r="AB608" s="2">
        <v>14730</v>
      </c>
      <c r="AC608" s="2">
        <v>403</v>
      </c>
      <c r="AD608" s="2">
        <v>15.6</v>
      </c>
      <c r="AE608" s="2">
        <v>0.12</v>
      </c>
      <c r="AF608" s="2" t="str" cm="1">
        <f t="array" ref="AF608">_xlfn.IFS(AE608=0, "No Discount ", AE608&lt;=0.08,"Low Discount", AE608&lt;=0.16,"Medium Discount", AE608&gt;0.16, "High Discount")</f>
        <v>Medium Discount</v>
      </c>
      <c r="AG608" s="2">
        <v>36854</v>
      </c>
      <c r="AH608" s="2">
        <v>129.99</v>
      </c>
      <c r="AI608" s="2">
        <v>0.28999999999999998</v>
      </c>
      <c r="AJ608" s="2" t="str" cm="1">
        <f t="array" ref="AJ608">_xlfn.IFS(AI608&lt;=0, "No Profit", AI608&lt;=0.16,"Low Profit",AI608&lt;=0.32,"Medium Profit",AI608&gt;0.32,"High Profit")</f>
        <v>Medium Profit</v>
      </c>
      <c r="AK608" s="2">
        <v>1</v>
      </c>
      <c r="AL608" s="2">
        <v>129.99</v>
      </c>
      <c r="AM608" s="2">
        <v>114.39</v>
      </c>
      <c r="AN608" s="2">
        <v>33.17</v>
      </c>
      <c r="AO608" s="2" t="s">
        <v>558</v>
      </c>
      <c r="AP608" s="2" t="s">
        <v>559</v>
      </c>
      <c r="AQ608" s="2" t="s">
        <v>80</v>
      </c>
      <c r="AR608" s="2" t="s">
        <v>81</v>
      </c>
      <c r="AS608" s="2">
        <v>403</v>
      </c>
      <c r="AT608" s="2">
        <v>18</v>
      </c>
      <c r="AU608" s="2" t="s">
        <v>869</v>
      </c>
      <c r="AV608" s="2">
        <v>129.99</v>
      </c>
      <c r="AW608" s="2">
        <v>0</v>
      </c>
      <c r="AX608" s="3">
        <v>42285.009027777778</v>
      </c>
      <c r="AY608" s="2" t="s">
        <v>162</v>
      </c>
      <c r="AZ608" s="4">
        <v>42102</v>
      </c>
      <c r="BA608" s="5">
        <v>9.0277777777777769E-3</v>
      </c>
      <c r="BB608" s="2">
        <v>2015</v>
      </c>
      <c r="BC608" s="2" t="s">
        <v>487</v>
      </c>
      <c r="BD608" s="2">
        <v>8</v>
      </c>
      <c r="BE608" s="4">
        <v>42285</v>
      </c>
      <c r="BF608" s="5">
        <v>9.0277777777777769E-3</v>
      </c>
      <c r="BG608" s="2" t="str" cm="1">
        <f t="array" ref="BG608">_xlfn.IFS(BF608&lt;TIMEVALUE("06:00"),"Night", BF608&gt;=TIMEVALUE("21:00"),"Night",BF608&gt;=TIMEVALUE("17:00"),"Evening",BF608&gt;=TIMEVALUE("12:00"),"Afternoon", BF608&gt;=TIMEVALUE("06:00"),"Morning")</f>
        <v>Night</v>
      </c>
      <c r="BH608" s="2">
        <v>2015</v>
      </c>
      <c r="BI608" s="2" t="s">
        <v>434</v>
      </c>
      <c r="BJ608" s="2">
        <v>8</v>
      </c>
    </row>
    <row r="609" spans="1:62" x14ac:dyDescent="0.3">
      <c r="A609" s="2" t="s">
        <v>62</v>
      </c>
      <c r="B609" s="2">
        <v>2</v>
      </c>
      <c r="C609" s="2">
        <v>2</v>
      </c>
      <c r="D609" s="2">
        <v>56.05</v>
      </c>
      <c r="E609" s="2">
        <v>114.39</v>
      </c>
      <c r="F609" s="2" t="s">
        <v>100</v>
      </c>
      <c r="G609" s="2" t="s">
        <v>64</v>
      </c>
      <c r="H609" s="2">
        <v>18</v>
      </c>
      <c r="I609" s="2" t="s">
        <v>863</v>
      </c>
      <c r="J609" s="2" t="s">
        <v>66</v>
      </c>
      <c r="K609" s="2" t="s">
        <v>67</v>
      </c>
      <c r="L609" s="2" t="s">
        <v>414</v>
      </c>
      <c r="M609" s="2">
        <v>8348</v>
      </c>
      <c r="N609" s="2" t="s">
        <v>2751</v>
      </c>
      <c r="O609" s="2" t="s">
        <v>70</v>
      </c>
      <c r="P609" s="2" t="s">
        <v>71</v>
      </c>
      <c r="Q609" s="2" t="s">
        <v>2752</v>
      </c>
      <c r="R609" s="2">
        <v>725</v>
      </c>
      <c r="S609" s="2">
        <v>4</v>
      </c>
      <c r="T609" s="2" t="s">
        <v>417</v>
      </c>
      <c r="U609" s="2">
        <v>18.2436638</v>
      </c>
      <c r="V609" s="2">
        <v>-66.370590199999995</v>
      </c>
      <c r="W609" s="2" t="s">
        <v>528</v>
      </c>
      <c r="X609" s="2" t="s">
        <v>2753</v>
      </c>
      <c r="Y609" s="2" t="s">
        <v>904</v>
      </c>
      <c r="Z609" s="2">
        <v>8348</v>
      </c>
      <c r="AA609" s="2" t="s">
        <v>2754</v>
      </c>
      <c r="AB609" s="2">
        <v>66411</v>
      </c>
      <c r="AC609" s="2">
        <v>403</v>
      </c>
      <c r="AD609" s="2">
        <v>15.6</v>
      </c>
      <c r="AE609" s="2">
        <v>0.12</v>
      </c>
      <c r="AF609" s="2" t="str" cm="1">
        <f t="array" ref="AF609">_xlfn.IFS(AE609=0, "No Discount ", AE609&lt;=0.08,"Low Discount", AE609&lt;=0.16,"Medium Discount", AE609&gt;0.16, "High Discount")</f>
        <v>Medium Discount</v>
      </c>
      <c r="AG609" s="2">
        <v>166013</v>
      </c>
      <c r="AH609" s="2">
        <v>129.99</v>
      </c>
      <c r="AI609" s="2">
        <v>0.49</v>
      </c>
      <c r="AJ609" s="2" t="str" cm="1">
        <f t="array" ref="AJ609">_xlfn.IFS(AI609&lt;=0, "No Profit", AI609&lt;=0.16,"Low Profit",AI609&lt;=0.32,"Medium Profit",AI609&gt;0.32,"High Profit")</f>
        <v>High Profit</v>
      </c>
      <c r="AK609" s="2">
        <v>1</v>
      </c>
      <c r="AL609" s="2">
        <v>129.99</v>
      </c>
      <c r="AM609" s="2">
        <v>114.39</v>
      </c>
      <c r="AN609" s="2">
        <v>56.05</v>
      </c>
      <c r="AO609" s="2" t="s">
        <v>905</v>
      </c>
      <c r="AP609" s="2" t="s">
        <v>2755</v>
      </c>
      <c r="AQ609" s="2" t="s">
        <v>80</v>
      </c>
      <c r="AR609" s="2" t="s">
        <v>81</v>
      </c>
      <c r="AS609" s="2">
        <v>403</v>
      </c>
      <c r="AT609" s="2">
        <v>18</v>
      </c>
      <c r="AU609" s="2" t="s">
        <v>869</v>
      </c>
      <c r="AV609" s="2">
        <v>129.99</v>
      </c>
      <c r="AW609" s="2">
        <v>0</v>
      </c>
      <c r="AX609" s="2" t="s">
        <v>2756</v>
      </c>
      <c r="AY609" s="2" t="s">
        <v>162</v>
      </c>
      <c r="AZ609" s="4">
        <v>42974</v>
      </c>
      <c r="BA609" s="5">
        <v>0.43194444444444446</v>
      </c>
      <c r="BB609" s="2">
        <v>2017</v>
      </c>
      <c r="BC609" s="2" t="s">
        <v>482</v>
      </c>
      <c r="BD609" s="2">
        <v>27</v>
      </c>
      <c r="BE609" s="4">
        <v>42976</v>
      </c>
      <c r="BF609" s="5">
        <v>0.43194444444444446</v>
      </c>
      <c r="BG609" s="2" t="str" cm="1">
        <f t="array" ref="BG609">_xlfn.IFS(BF609&lt;TIMEVALUE("06:00"),"Night", BF609&gt;=TIMEVALUE("21:00"),"Night",BF609&gt;=TIMEVALUE("17:00"),"Evening",BF609&gt;=TIMEVALUE("12:00"),"Afternoon", BF609&gt;=TIMEVALUE("06:00"),"Morning")</f>
        <v>Morning</v>
      </c>
      <c r="BH609" s="2">
        <v>2017</v>
      </c>
      <c r="BI609" s="2" t="s">
        <v>482</v>
      </c>
      <c r="BJ609" s="2">
        <v>29</v>
      </c>
    </row>
    <row r="610" spans="1:62" x14ac:dyDescent="0.3">
      <c r="A610" s="2" t="s">
        <v>62</v>
      </c>
      <c r="B610" s="2">
        <v>6</v>
      </c>
      <c r="C610" s="2">
        <v>2</v>
      </c>
      <c r="D610" s="2">
        <v>-34.32</v>
      </c>
      <c r="E610" s="2">
        <v>114.39</v>
      </c>
      <c r="F610" s="2" t="s">
        <v>87</v>
      </c>
      <c r="G610" s="2" t="s">
        <v>88</v>
      </c>
      <c r="H610" s="2">
        <v>18</v>
      </c>
      <c r="I610" s="2" t="s">
        <v>863</v>
      </c>
      <c r="J610" s="2" t="s">
        <v>66</v>
      </c>
      <c r="K610" s="2" t="s">
        <v>67</v>
      </c>
      <c r="L610" s="2" t="s">
        <v>2757</v>
      </c>
      <c r="M610" s="2">
        <v>653</v>
      </c>
      <c r="N610" s="2" t="s">
        <v>2758</v>
      </c>
      <c r="O610" s="2" t="s">
        <v>70</v>
      </c>
      <c r="P610" s="2" t="s">
        <v>71</v>
      </c>
      <c r="Q610" s="2" t="s">
        <v>2759</v>
      </c>
      <c r="R610" s="2">
        <v>725</v>
      </c>
      <c r="S610" s="2">
        <v>4</v>
      </c>
      <c r="T610" s="2" t="s">
        <v>417</v>
      </c>
      <c r="U610" s="2">
        <v>18.225627899999999</v>
      </c>
      <c r="V610" s="2">
        <v>-66.047462499999995</v>
      </c>
      <c r="W610" s="2" t="s">
        <v>528</v>
      </c>
      <c r="X610" s="2" t="s">
        <v>1167</v>
      </c>
      <c r="Y610" s="2" t="s">
        <v>904</v>
      </c>
      <c r="Z610" s="2">
        <v>653</v>
      </c>
      <c r="AA610" s="3">
        <v>42042.967361111114</v>
      </c>
      <c r="AB610" s="2">
        <v>12535</v>
      </c>
      <c r="AC610" s="2">
        <v>403</v>
      </c>
      <c r="AD610" s="2">
        <v>15.6</v>
      </c>
      <c r="AE610" s="2">
        <v>0.12</v>
      </c>
      <c r="AF610" s="2" t="str" cm="1">
        <f t="array" ref="AF610">_xlfn.IFS(AE610=0, "No Discount ", AE610&lt;=0.08,"Low Discount", AE610&lt;=0.16,"Medium Discount", AE610&gt;0.16, "High Discount")</f>
        <v>Medium Discount</v>
      </c>
      <c r="AG610" s="2">
        <v>31373</v>
      </c>
      <c r="AH610" s="2">
        <v>129.99</v>
      </c>
      <c r="AI610" s="2">
        <v>-0.3</v>
      </c>
      <c r="AJ610" s="2" t="str" cm="1">
        <f t="array" ref="AJ610">_xlfn.IFS(AI610&lt;=0, "No Profit", AI610&lt;=0.16,"Low Profit",AI610&lt;=0.32,"Medium Profit",AI610&gt;0.32,"High Profit")</f>
        <v>No Profit</v>
      </c>
      <c r="AK610" s="2">
        <v>1</v>
      </c>
      <c r="AL610" s="2">
        <v>129.99</v>
      </c>
      <c r="AM610" s="2">
        <v>114.39</v>
      </c>
      <c r="AN610" s="2">
        <v>-34.32</v>
      </c>
      <c r="AO610" s="2" t="s">
        <v>905</v>
      </c>
      <c r="AP610" s="2" t="s">
        <v>2596</v>
      </c>
      <c r="AQ610" s="2" t="s">
        <v>80</v>
      </c>
      <c r="AR610" s="2" t="s">
        <v>81</v>
      </c>
      <c r="AS610" s="2">
        <v>403</v>
      </c>
      <c r="AT610" s="2">
        <v>18</v>
      </c>
      <c r="AU610" s="2" t="s">
        <v>869</v>
      </c>
      <c r="AV610" s="2">
        <v>129.99</v>
      </c>
      <c r="AW610" s="2">
        <v>0</v>
      </c>
      <c r="AX610" s="3">
        <v>42223.967361111114</v>
      </c>
      <c r="AY610" s="2" t="s">
        <v>162</v>
      </c>
      <c r="AZ610" s="4">
        <v>42042</v>
      </c>
      <c r="BA610" s="5">
        <v>0.96736111111111112</v>
      </c>
      <c r="BB610" s="2">
        <v>2015</v>
      </c>
      <c r="BC610" s="2" t="s">
        <v>423</v>
      </c>
      <c r="BD610" s="2">
        <v>7</v>
      </c>
      <c r="BE610" s="4">
        <v>42223</v>
      </c>
      <c r="BF610" s="5">
        <v>0.96736111111111112</v>
      </c>
      <c r="BG610" s="2" t="str" cm="1">
        <f t="array" ref="BG610">_xlfn.IFS(BF610&lt;TIMEVALUE("06:00"),"Night", BF610&gt;=TIMEVALUE("21:00"),"Night",BF610&gt;=TIMEVALUE("17:00"),"Evening",BF610&gt;=TIMEVALUE("12:00"),"Afternoon", BF610&gt;=TIMEVALUE("06:00"),"Morning")</f>
        <v>Night</v>
      </c>
      <c r="BH610" s="2">
        <v>2015</v>
      </c>
      <c r="BI610" s="2" t="s">
        <v>482</v>
      </c>
      <c r="BJ610" s="2">
        <v>7</v>
      </c>
    </row>
    <row r="611" spans="1:62" x14ac:dyDescent="0.3">
      <c r="A611" s="2" t="s">
        <v>62</v>
      </c>
      <c r="B611" s="2">
        <v>3</v>
      </c>
      <c r="C611" s="2">
        <v>2</v>
      </c>
      <c r="D611" s="2">
        <v>53.76</v>
      </c>
      <c r="E611" s="2">
        <v>114.39</v>
      </c>
      <c r="F611" s="2" t="s">
        <v>87</v>
      </c>
      <c r="G611" s="2" t="s">
        <v>88</v>
      </c>
      <c r="H611" s="2">
        <v>18</v>
      </c>
      <c r="I611" s="2" t="s">
        <v>863</v>
      </c>
      <c r="J611" s="2" t="s">
        <v>66</v>
      </c>
      <c r="K611" s="2" t="s">
        <v>67</v>
      </c>
      <c r="L611" s="2" t="s">
        <v>1747</v>
      </c>
      <c r="M611" s="2">
        <v>8645</v>
      </c>
      <c r="N611" s="2" t="s">
        <v>2760</v>
      </c>
      <c r="O611" s="2" t="s">
        <v>70</v>
      </c>
      <c r="P611" s="2" t="s">
        <v>71</v>
      </c>
      <c r="Q611" s="2" t="s">
        <v>2761</v>
      </c>
      <c r="R611" s="2">
        <v>725</v>
      </c>
      <c r="S611" s="2">
        <v>4</v>
      </c>
      <c r="T611" s="2" t="s">
        <v>417</v>
      </c>
      <c r="U611" s="2">
        <v>18.261777899999998</v>
      </c>
      <c r="V611" s="2">
        <v>-66.370628400000001</v>
      </c>
      <c r="W611" s="2" t="s">
        <v>528</v>
      </c>
      <c r="X611" s="2" t="s">
        <v>2456</v>
      </c>
      <c r="Y611" s="2" t="s">
        <v>536</v>
      </c>
      <c r="Z611" s="2">
        <v>8645</v>
      </c>
      <c r="AA611" s="2" t="s">
        <v>2762</v>
      </c>
      <c r="AB611" s="2">
        <v>67712</v>
      </c>
      <c r="AC611" s="2">
        <v>403</v>
      </c>
      <c r="AD611" s="2">
        <v>15.6</v>
      </c>
      <c r="AE611" s="2">
        <v>0.12</v>
      </c>
      <c r="AF611" s="2" t="str" cm="1">
        <f t="array" ref="AF611">_xlfn.IFS(AE611=0, "No Discount ", AE611&lt;=0.08,"Low Discount", AE611&lt;=0.16,"Medium Discount", AE611&gt;0.16, "High Discount")</f>
        <v>Medium Discount</v>
      </c>
      <c r="AG611" s="2">
        <v>169288</v>
      </c>
      <c r="AH611" s="2">
        <v>129.99</v>
      </c>
      <c r="AI611" s="2">
        <v>0.47</v>
      </c>
      <c r="AJ611" s="2" t="str" cm="1">
        <f t="array" ref="AJ611">_xlfn.IFS(AI611&lt;=0, "No Profit", AI611&lt;=0.16,"Low Profit",AI611&lt;=0.32,"Medium Profit",AI611&gt;0.32,"High Profit")</f>
        <v>High Profit</v>
      </c>
      <c r="AK611" s="2">
        <v>1</v>
      </c>
      <c r="AL611" s="2">
        <v>129.99</v>
      </c>
      <c r="AM611" s="2">
        <v>114.39</v>
      </c>
      <c r="AN611" s="2">
        <v>53.76</v>
      </c>
      <c r="AO611" s="2" t="s">
        <v>531</v>
      </c>
      <c r="AP611" s="2" t="s">
        <v>1000</v>
      </c>
      <c r="AQ611" s="2" t="s">
        <v>80</v>
      </c>
      <c r="AR611" s="2" t="s">
        <v>81</v>
      </c>
      <c r="AS611" s="2">
        <v>403</v>
      </c>
      <c r="AT611" s="2">
        <v>18</v>
      </c>
      <c r="AU611" s="2" t="s">
        <v>869</v>
      </c>
      <c r="AV611" s="2">
        <v>129.99</v>
      </c>
      <c r="AW611" s="2">
        <v>0</v>
      </c>
      <c r="AX611" s="2" t="s">
        <v>2763</v>
      </c>
      <c r="AY611" s="2" t="s">
        <v>162</v>
      </c>
      <c r="AZ611" s="4">
        <v>42993</v>
      </c>
      <c r="BA611" s="5">
        <v>0.4236111111111111</v>
      </c>
      <c r="BB611" s="2">
        <v>2017</v>
      </c>
      <c r="BC611" s="2" t="s">
        <v>552</v>
      </c>
      <c r="BD611" s="2">
        <v>15</v>
      </c>
      <c r="BE611" s="4">
        <v>42996</v>
      </c>
      <c r="BF611" s="5">
        <v>0.4236111111111111</v>
      </c>
      <c r="BG611" s="2" t="str" cm="1">
        <f t="array" ref="BG611">_xlfn.IFS(BF611&lt;TIMEVALUE("06:00"),"Night", BF611&gt;=TIMEVALUE("21:00"),"Night",BF611&gt;=TIMEVALUE("17:00"),"Evening",BF611&gt;=TIMEVALUE("12:00"),"Afternoon", BF611&gt;=TIMEVALUE("06:00"),"Morning")</f>
        <v>Morning</v>
      </c>
      <c r="BH611" s="2">
        <v>2017</v>
      </c>
      <c r="BI611" s="2" t="s">
        <v>552</v>
      </c>
      <c r="BJ611" s="2">
        <v>18</v>
      </c>
    </row>
    <row r="612" spans="1:62" x14ac:dyDescent="0.3">
      <c r="A612" s="2" t="s">
        <v>62</v>
      </c>
      <c r="B612" s="2">
        <v>4</v>
      </c>
      <c r="C612" s="2">
        <v>2</v>
      </c>
      <c r="D612" s="2">
        <v>36.75</v>
      </c>
      <c r="E612" s="2">
        <v>113.09</v>
      </c>
      <c r="F612" s="2" t="s">
        <v>87</v>
      </c>
      <c r="G612" s="2" t="s">
        <v>88</v>
      </c>
      <c r="H612" s="2">
        <v>18</v>
      </c>
      <c r="I612" s="2" t="s">
        <v>863</v>
      </c>
      <c r="J612" s="2" t="s">
        <v>66</v>
      </c>
      <c r="K612" s="2" t="s">
        <v>67</v>
      </c>
      <c r="L612" s="2" t="s">
        <v>1938</v>
      </c>
      <c r="M612" s="2">
        <v>1275</v>
      </c>
      <c r="N612" s="2" t="s">
        <v>425</v>
      </c>
      <c r="O612" s="2" t="s">
        <v>70</v>
      </c>
      <c r="P612" s="2" t="s">
        <v>71</v>
      </c>
      <c r="Q612" s="2" t="s">
        <v>334</v>
      </c>
      <c r="R612" s="2">
        <v>725</v>
      </c>
      <c r="S612" s="2">
        <v>4</v>
      </c>
      <c r="T612" s="2" t="s">
        <v>417</v>
      </c>
      <c r="U612" s="2">
        <v>18.2526054</v>
      </c>
      <c r="V612" s="2">
        <v>-66.3705444</v>
      </c>
      <c r="W612" s="2" t="s">
        <v>528</v>
      </c>
      <c r="X612" s="2" t="s">
        <v>2764</v>
      </c>
      <c r="Y612" s="2" t="s">
        <v>557</v>
      </c>
      <c r="Z612" s="2">
        <v>1275</v>
      </c>
      <c r="AA612" s="2" t="s">
        <v>2765</v>
      </c>
      <c r="AB612" s="2">
        <v>18593</v>
      </c>
      <c r="AC612" s="2">
        <v>403</v>
      </c>
      <c r="AD612" s="2">
        <v>16.899999999999999</v>
      </c>
      <c r="AE612" s="2">
        <v>0.13</v>
      </c>
      <c r="AF612" s="2" t="str" cm="1">
        <f t="array" ref="AF612">_xlfn.IFS(AE612=0, "No Discount ", AE612&lt;=0.08,"Low Discount", AE612&lt;=0.16,"Medium Discount", AE612&gt;0.16, "High Discount")</f>
        <v>Medium Discount</v>
      </c>
      <c r="AG612" s="2">
        <v>46477</v>
      </c>
      <c r="AH612" s="2">
        <v>129.99</v>
      </c>
      <c r="AI612" s="2">
        <v>0.33</v>
      </c>
      <c r="AJ612" s="2" t="str" cm="1">
        <f t="array" ref="AJ612">_xlfn.IFS(AI612&lt;=0, "No Profit", AI612&lt;=0.16,"Low Profit",AI612&lt;=0.32,"Medium Profit",AI612&gt;0.32,"High Profit")</f>
        <v>High Profit</v>
      </c>
      <c r="AK612" s="2">
        <v>1</v>
      </c>
      <c r="AL612" s="2">
        <v>129.99</v>
      </c>
      <c r="AM612" s="2">
        <v>113.09</v>
      </c>
      <c r="AN612" s="2">
        <v>36.75</v>
      </c>
      <c r="AO612" s="2" t="s">
        <v>558</v>
      </c>
      <c r="AP612" s="2" t="s">
        <v>559</v>
      </c>
      <c r="AQ612" s="2" t="s">
        <v>80</v>
      </c>
      <c r="AR612" s="2" t="s">
        <v>81</v>
      </c>
      <c r="AS612" s="2">
        <v>403</v>
      </c>
      <c r="AT612" s="2">
        <v>18</v>
      </c>
      <c r="AU612" s="2" t="s">
        <v>869</v>
      </c>
      <c r="AV612" s="2">
        <v>129.99</v>
      </c>
      <c r="AW612" s="2">
        <v>0</v>
      </c>
      <c r="AX612" s="3">
        <v>42073.4</v>
      </c>
      <c r="AY612" s="2" t="s">
        <v>162</v>
      </c>
      <c r="AZ612" s="4">
        <v>42276</v>
      </c>
      <c r="BA612" s="5">
        <v>0.4</v>
      </c>
      <c r="BB612" s="2">
        <v>2015</v>
      </c>
      <c r="BC612" s="2" t="s">
        <v>552</v>
      </c>
      <c r="BD612" s="2">
        <v>29</v>
      </c>
      <c r="BE612" s="4">
        <v>42073</v>
      </c>
      <c r="BF612" s="5">
        <v>0.4</v>
      </c>
      <c r="BG612" s="2" t="str" cm="1">
        <f t="array" ref="BG612">_xlfn.IFS(BF612&lt;TIMEVALUE("06:00"),"Night", BF612&gt;=TIMEVALUE("21:00"),"Night",BF612&gt;=TIMEVALUE("17:00"),"Evening",BF612&gt;=TIMEVALUE("12:00"),"Afternoon", BF612&gt;=TIMEVALUE("06:00"),"Morning")</f>
        <v>Morning</v>
      </c>
      <c r="BH612" s="2">
        <v>2015</v>
      </c>
      <c r="BI612" s="2" t="s">
        <v>85</v>
      </c>
      <c r="BJ612" s="2">
        <v>10</v>
      </c>
    </row>
    <row r="613" spans="1:62" x14ac:dyDescent="0.3">
      <c r="A613" s="2" t="s">
        <v>62</v>
      </c>
      <c r="B613" s="2">
        <v>5</v>
      </c>
      <c r="C613" s="2">
        <v>2</v>
      </c>
      <c r="D613" s="2">
        <v>30.53</v>
      </c>
      <c r="E613" s="2">
        <v>113.09</v>
      </c>
      <c r="F613" s="2" t="s">
        <v>87</v>
      </c>
      <c r="G613" s="2" t="s">
        <v>88</v>
      </c>
      <c r="H613" s="2">
        <v>18</v>
      </c>
      <c r="I613" s="2" t="s">
        <v>863</v>
      </c>
      <c r="J613" s="2" t="s">
        <v>66</v>
      </c>
      <c r="K613" s="2" t="s">
        <v>67</v>
      </c>
      <c r="L613" s="2" t="s">
        <v>414</v>
      </c>
      <c r="M613" s="2">
        <v>11189</v>
      </c>
      <c r="N613" s="2" t="s">
        <v>2723</v>
      </c>
      <c r="O613" s="2" t="s">
        <v>70</v>
      </c>
      <c r="P613" s="2" t="s">
        <v>71</v>
      </c>
      <c r="Q613" s="2" t="s">
        <v>2766</v>
      </c>
      <c r="R613" s="2">
        <v>725</v>
      </c>
      <c r="S613" s="2">
        <v>4</v>
      </c>
      <c r="T613" s="2" t="s">
        <v>417</v>
      </c>
      <c r="U613" s="2">
        <v>18.294776899999999</v>
      </c>
      <c r="V613" s="2">
        <v>-66.3706131</v>
      </c>
      <c r="W613" s="2" t="s">
        <v>528</v>
      </c>
      <c r="X613" s="2" t="s">
        <v>946</v>
      </c>
      <c r="Y613" s="2" t="s">
        <v>557</v>
      </c>
      <c r="Z613" s="2">
        <v>11189</v>
      </c>
      <c r="AA613" s="2" t="s">
        <v>2767</v>
      </c>
      <c r="AB613" s="2">
        <v>17909</v>
      </c>
      <c r="AC613" s="2">
        <v>403</v>
      </c>
      <c r="AD613" s="2">
        <v>16.899999999999999</v>
      </c>
      <c r="AE613" s="2">
        <v>0.13</v>
      </c>
      <c r="AF613" s="2" t="str" cm="1">
        <f t="array" ref="AF613">_xlfn.IFS(AE613=0, "No Discount ", AE613&lt;=0.08,"Low Discount", AE613&lt;=0.16,"Medium Discount", AE613&gt;0.16, "High Discount")</f>
        <v>Medium Discount</v>
      </c>
      <c r="AG613" s="2">
        <v>44735</v>
      </c>
      <c r="AH613" s="2">
        <v>129.99</v>
      </c>
      <c r="AI613" s="2">
        <v>0.27</v>
      </c>
      <c r="AJ613" s="2" t="str" cm="1">
        <f t="array" ref="AJ613">_xlfn.IFS(AI613&lt;=0, "No Profit", AI613&lt;=0.16,"Low Profit",AI613&lt;=0.32,"Medium Profit",AI613&gt;0.32,"High Profit")</f>
        <v>Medium Profit</v>
      </c>
      <c r="AK613" s="2">
        <v>1</v>
      </c>
      <c r="AL613" s="2">
        <v>129.99</v>
      </c>
      <c r="AM613" s="2">
        <v>113.09</v>
      </c>
      <c r="AN613" s="2">
        <v>30.53</v>
      </c>
      <c r="AO613" s="2" t="s">
        <v>558</v>
      </c>
      <c r="AP613" s="2" t="s">
        <v>559</v>
      </c>
      <c r="AQ613" s="2" t="s">
        <v>80</v>
      </c>
      <c r="AR613" s="2" t="s">
        <v>81</v>
      </c>
      <c r="AS613" s="2">
        <v>403</v>
      </c>
      <c r="AT613" s="2">
        <v>18</v>
      </c>
      <c r="AU613" s="2" t="s">
        <v>869</v>
      </c>
      <c r="AV613" s="2">
        <v>129.99</v>
      </c>
      <c r="AW613" s="2">
        <v>0</v>
      </c>
      <c r="AX613" s="2" t="s">
        <v>2768</v>
      </c>
      <c r="AY613" s="2" t="s">
        <v>162</v>
      </c>
      <c r="AZ613" s="4">
        <v>42266</v>
      </c>
      <c r="BA613" s="5">
        <v>0.4152777777777778</v>
      </c>
      <c r="BB613" s="2">
        <v>2015</v>
      </c>
      <c r="BC613" s="2" t="s">
        <v>552</v>
      </c>
      <c r="BD613" s="2">
        <v>19</v>
      </c>
      <c r="BE613" s="4">
        <v>42271</v>
      </c>
      <c r="BF613" s="5">
        <v>0.4152777777777778</v>
      </c>
      <c r="BG613" s="2" t="str" cm="1">
        <f t="array" ref="BG613">_xlfn.IFS(BF613&lt;TIMEVALUE("06:00"),"Night", BF613&gt;=TIMEVALUE("21:00"),"Night",BF613&gt;=TIMEVALUE("17:00"),"Evening",BF613&gt;=TIMEVALUE("12:00"),"Afternoon", BF613&gt;=TIMEVALUE("06:00"),"Morning")</f>
        <v>Morning</v>
      </c>
      <c r="BH613" s="2">
        <v>2015</v>
      </c>
      <c r="BI613" s="2" t="s">
        <v>552</v>
      </c>
      <c r="BJ613" s="2">
        <v>24</v>
      </c>
    </row>
    <row r="614" spans="1:62" x14ac:dyDescent="0.3">
      <c r="A614" s="2" t="s">
        <v>62</v>
      </c>
      <c r="B614" s="2">
        <v>3</v>
      </c>
      <c r="C614" s="2">
        <v>2</v>
      </c>
      <c r="D614" s="2">
        <v>-33.93</v>
      </c>
      <c r="E614" s="2">
        <v>113.09</v>
      </c>
      <c r="F614" s="2" t="s">
        <v>87</v>
      </c>
      <c r="G614" s="2" t="s">
        <v>88</v>
      </c>
      <c r="H614" s="2">
        <v>18</v>
      </c>
      <c r="I614" s="2" t="s">
        <v>863</v>
      </c>
      <c r="J614" s="2" t="s">
        <v>66</v>
      </c>
      <c r="K614" s="2" t="s">
        <v>67</v>
      </c>
      <c r="L614" s="2" t="s">
        <v>761</v>
      </c>
      <c r="M614" s="2">
        <v>5988</v>
      </c>
      <c r="N614" s="2" t="s">
        <v>2769</v>
      </c>
      <c r="O614" s="2" t="s">
        <v>70</v>
      </c>
      <c r="P614" s="2" t="s">
        <v>71</v>
      </c>
      <c r="Q614" s="2" t="s">
        <v>2770</v>
      </c>
      <c r="R614" s="2">
        <v>725</v>
      </c>
      <c r="S614" s="2">
        <v>4</v>
      </c>
      <c r="T614" s="2" t="s">
        <v>417</v>
      </c>
      <c r="U614" s="2">
        <v>18.2995834</v>
      </c>
      <c r="V614" s="2">
        <v>-66.370575000000002</v>
      </c>
      <c r="W614" s="2" t="s">
        <v>528</v>
      </c>
      <c r="X614" s="2" t="s">
        <v>2771</v>
      </c>
      <c r="Y614" s="2" t="s">
        <v>557</v>
      </c>
      <c r="Z614" s="2">
        <v>5988</v>
      </c>
      <c r="AA614" s="2" t="s">
        <v>2772</v>
      </c>
      <c r="AB614" s="2">
        <v>16302</v>
      </c>
      <c r="AC614" s="2">
        <v>403</v>
      </c>
      <c r="AD614" s="2">
        <v>16.899999999999999</v>
      </c>
      <c r="AE614" s="2">
        <v>0.13</v>
      </c>
      <c r="AF614" s="2" t="str" cm="1">
        <f t="array" ref="AF614">_xlfn.IFS(AE614=0, "No Discount ", AE614&lt;=0.08,"Low Discount", AE614&lt;=0.16,"Medium Discount", AE614&gt;0.16, "High Discount")</f>
        <v>Medium Discount</v>
      </c>
      <c r="AG614" s="2">
        <v>40705</v>
      </c>
      <c r="AH614" s="2">
        <v>129.99</v>
      </c>
      <c r="AI614" s="2">
        <v>-0.3</v>
      </c>
      <c r="AJ614" s="2" t="str" cm="1">
        <f t="array" ref="AJ614">_xlfn.IFS(AI614&lt;=0, "No Profit", AI614&lt;=0.16,"Low Profit",AI614&lt;=0.32,"Medium Profit",AI614&gt;0.32,"High Profit")</f>
        <v>No Profit</v>
      </c>
      <c r="AK614" s="2">
        <v>1</v>
      </c>
      <c r="AL614" s="2">
        <v>129.99</v>
      </c>
      <c r="AM614" s="2">
        <v>113.09</v>
      </c>
      <c r="AN614" s="2">
        <v>-33.93</v>
      </c>
      <c r="AO614" s="2" t="s">
        <v>558</v>
      </c>
      <c r="AP614" s="2" t="s">
        <v>559</v>
      </c>
      <c r="AQ614" s="2" t="s">
        <v>80</v>
      </c>
      <c r="AR614" s="2" t="s">
        <v>81</v>
      </c>
      <c r="AS614" s="2">
        <v>403</v>
      </c>
      <c r="AT614" s="2">
        <v>18</v>
      </c>
      <c r="AU614" s="2" t="s">
        <v>869</v>
      </c>
      <c r="AV614" s="2">
        <v>129.99</v>
      </c>
      <c r="AW614" s="2">
        <v>0</v>
      </c>
      <c r="AX614" s="2" t="s">
        <v>2773</v>
      </c>
      <c r="AY614" s="2" t="s">
        <v>162</v>
      </c>
      <c r="AZ614" s="4">
        <v>42242</v>
      </c>
      <c r="BA614" s="5">
        <v>0.95625000000000004</v>
      </c>
      <c r="BB614" s="2">
        <v>2015</v>
      </c>
      <c r="BC614" s="2" t="s">
        <v>482</v>
      </c>
      <c r="BD614" s="2">
        <v>26</v>
      </c>
      <c r="BE614" s="4">
        <v>42245</v>
      </c>
      <c r="BF614" s="5">
        <v>0.95625000000000004</v>
      </c>
      <c r="BG614" s="2" t="str" cm="1">
        <f t="array" ref="BG614">_xlfn.IFS(BF614&lt;TIMEVALUE("06:00"),"Night", BF614&gt;=TIMEVALUE("21:00"),"Night",BF614&gt;=TIMEVALUE("17:00"),"Evening",BF614&gt;=TIMEVALUE("12:00"),"Afternoon", BF614&gt;=TIMEVALUE("06:00"),"Morning")</f>
        <v>Night</v>
      </c>
      <c r="BH614" s="2">
        <v>2015</v>
      </c>
      <c r="BI614" s="2" t="s">
        <v>482</v>
      </c>
      <c r="BJ614" s="2">
        <v>29</v>
      </c>
    </row>
    <row r="615" spans="1:62" x14ac:dyDescent="0.3">
      <c r="A615" s="2" t="s">
        <v>62</v>
      </c>
      <c r="B615" s="2">
        <v>6</v>
      </c>
      <c r="C615" s="2">
        <v>2</v>
      </c>
      <c r="D615" s="2">
        <v>42.41</v>
      </c>
      <c r="E615" s="2">
        <v>113.09</v>
      </c>
      <c r="F615" s="2" t="s">
        <v>87</v>
      </c>
      <c r="G615" s="2" t="s">
        <v>88</v>
      </c>
      <c r="H615" s="2">
        <v>18</v>
      </c>
      <c r="I615" s="2" t="s">
        <v>863</v>
      </c>
      <c r="J615" s="2" t="s">
        <v>66</v>
      </c>
      <c r="K615" s="2" t="s">
        <v>67</v>
      </c>
      <c r="L615" s="2" t="s">
        <v>414</v>
      </c>
      <c r="M615" s="2">
        <v>8098</v>
      </c>
      <c r="N615" s="2" t="s">
        <v>425</v>
      </c>
      <c r="O615" s="2" t="s">
        <v>70</v>
      </c>
      <c r="P615" s="2" t="s">
        <v>71</v>
      </c>
      <c r="Q615" s="2" t="s">
        <v>2749</v>
      </c>
      <c r="R615" s="2">
        <v>725</v>
      </c>
      <c r="S615" s="2">
        <v>4</v>
      </c>
      <c r="T615" s="2" t="s">
        <v>417</v>
      </c>
      <c r="U615" s="2">
        <v>18.296674700000001</v>
      </c>
      <c r="V615" s="2">
        <v>-66.370597799999999</v>
      </c>
      <c r="W615" s="2" t="s">
        <v>528</v>
      </c>
      <c r="X615" s="2" t="s">
        <v>2750</v>
      </c>
      <c r="Y615" s="2" t="s">
        <v>557</v>
      </c>
      <c r="Z615" s="2">
        <v>8098</v>
      </c>
      <c r="AA615" s="3">
        <v>42102.009027777778</v>
      </c>
      <c r="AB615" s="2">
        <v>14730</v>
      </c>
      <c r="AC615" s="2">
        <v>403</v>
      </c>
      <c r="AD615" s="2">
        <v>16.899999999999999</v>
      </c>
      <c r="AE615" s="2">
        <v>0.13</v>
      </c>
      <c r="AF615" s="2" t="str" cm="1">
        <f t="array" ref="AF615">_xlfn.IFS(AE615=0, "No Discount ", AE615&lt;=0.08,"Low Discount", AE615&lt;=0.16,"Medium Discount", AE615&gt;0.16, "High Discount")</f>
        <v>Medium Discount</v>
      </c>
      <c r="AG615" s="2">
        <v>36850</v>
      </c>
      <c r="AH615" s="2">
        <v>129.99</v>
      </c>
      <c r="AI615" s="2">
        <v>0.38</v>
      </c>
      <c r="AJ615" s="2" t="str" cm="1">
        <f t="array" ref="AJ615">_xlfn.IFS(AI615&lt;=0, "No Profit", AI615&lt;=0.16,"Low Profit",AI615&lt;=0.32,"Medium Profit",AI615&gt;0.32,"High Profit")</f>
        <v>High Profit</v>
      </c>
      <c r="AK615" s="2">
        <v>1</v>
      </c>
      <c r="AL615" s="2">
        <v>129.99</v>
      </c>
      <c r="AM615" s="2">
        <v>113.09</v>
      </c>
      <c r="AN615" s="2">
        <v>42.41</v>
      </c>
      <c r="AO615" s="2" t="s">
        <v>558</v>
      </c>
      <c r="AP615" s="2" t="s">
        <v>559</v>
      </c>
      <c r="AQ615" s="2" t="s">
        <v>80</v>
      </c>
      <c r="AR615" s="2" t="s">
        <v>81</v>
      </c>
      <c r="AS615" s="2">
        <v>403</v>
      </c>
      <c r="AT615" s="2">
        <v>18</v>
      </c>
      <c r="AU615" s="2" t="s">
        <v>869</v>
      </c>
      <c r="AV615" s="2">
        <v>129.99</v>
      </c>
      <c r="AW615" s="2">
        <v>0</v>
      </c>
      <c r="AX615" s="3">
        <v>42285.009027777778</v>
      </c>
      <c r="AY615" s="2" t="s">
        <v>162</v>
      </c>
      <c r="AZ615" s="4">
        <v>42102</v>
      </c>
      <c r="BA615" s="5">
        <v>9.0277777777777769E-3</v>
      </c>
      <c r="BB615" s="2">
        <v>2015</v>
      </c>
      <c r="BC615" s="2" t="s">
        <v>487</v>
      </c>
      <c r="BD615" s="2">
        <v>8</v>
      </c>
      <c r="BE615" s="4">
        <v>42285</v>
      </c>
      <c r="BF615" s="5">
        <v>9.0277777777777769E-3</v>
      </c>
      <c r="BG615" s="2" t="str" cm="1">
        <f t="array" ref="BG615">_xlfn.IFS(BF615&lt;TIMEVALUE("06:00"),"Night", BF615&gt;=TIMEVALUE("21:00"),"Night",BF615&gt;=TIMEVALUE("17:00"),"Evening",BF615&gt;=TIMEVALUE("12:00"),"Afternoon", BF615&gt;=TIMEVALUE("06:00"),"Morning")</f>
        <v>Night</v>
      </c>
      <c r="BH615" s="2">
        <v>2015</v>
      </c>
      <c r="BI615" s="2" t="s">
        <v>434</v>
      </c>
      <c r="BJ615" s="2">
        <v>8</v>
      </c>
    </row>
    <row r="616" spans="1:62" x14ac:dyDescent="0.3">
      <c r="A616" s="2" t="s">
        <v>62</v>
      </c>
      <c r="B616" s="2">
        <v>4</v>
      </c>
      <c r="C616" s="2">
        <v>2</v>
      </c>
      <c r="D616" s="2">
        <v>33.93</v>
      </c>
      <c r="E616" s="2">
        <v>113.09</v>
      </c>
      <c r="F616" s="2" t="s">
        <v>87</v>
      </c>
      <c r="G616" s="2" t="s">
        <v>88</v>
      </c>
      <c r="H616" s="2">
        <v>18</v>
      </c>
      <c r="I616" s="2" t="s">
        <v>863</v>
      </c>
      <c r="J616" s="2" t="s">
        <v>66</v>
      </c>
      <c r="K616" s="2" t="s">
        <v>67</v>
      </c>
      <c r="L616" s="2" t="s">
        <v>2774</v>
      </c>
      <c r="M616" s="2">
        <v>9726</v>
      </c>
      <c r="N616" s="2" t="s">
        <v>425</v>
      </c>
      <c r="O616" s="2" t="s">
        <v>70</v>
      </c>
      <c r="P616" s="2" t="s">
        <v>71</v>
      </c>
      <c r="Q616" s="2" t="s">
        <v>2775</v>
      </c>
      <c r="R616" s="2">
        <v>725</v>
      </c>
      <c r="S616" s="2">
        <v>4</v>
      </c>
      <c r="T616" s="2" t="s">
        <v>417</v>
      </c>
      <c r="U616" s="2">
        <v>18.241626700000001</v>
      </c>
      <c r="V616" s="2">
        <v>-66.3705444</v>
      </c>
      <c r="W616" s="2" t="s">
        <v>528</v>
      </c>
      <c r="X616" s="2" t="s">
        <v>946</v>
      </c>
      <c r="Y616" s="2" t="s">
        <v>557</v>
      </c>
      <c r="Z616" s="2">
        <v>9726</v>
      </c>
      <c r="AA616" s="2" t="s">
        <v>2776</v>
      </c>
      <c r="AB616" s="2">
        <v>13343</v>
      </c>
      <c r="AC616" s="2">
        <v>403</v>
      </c>
      <c r="AD616" s="2">
        <v>16.899999999999999</v>
      </c>
      <c r="AE616" s="2">
        <v>0.13</v>
      </c>
      <c r="AF616" s="2" t="str" cm="1">
        <f t="array" ref="AF616">_xlfn.IFS(AE616=0, "No Discount ", AE616&lt;=0.08,"Low Discount", AE616&lt;=0.16,"Medium Discount", AE616&gt;0.16, "High Discount")</f>
        <v>Medium Discount</v>
      </c>
      <c r="AG616" s="2">
        <v>33410</v>
      </c>
      <c r="AH616" s="2">
        <v>129.99</v>
      </c>
      <c r="AI616" s="2">
        <v>0.3</v>
      </c>
      <c r="AJ616" s="2" t="str" cm="1">
        <f t="array" ref="AJ616">_xlfn.IFS(AI616&lt;=0, "No Profit", AI616&lt;=0.16,"Low Profit",AI616&lt;=0.32,"Medium Profit",AI616&gt;0.32,"High Profit")</f>
        <v>Medium Profit</v>
      </c>
      <c r="AK616" s="2">
        <v>1</v>
      </c>
      <c r="AL616" s="2">
        <v>129.99</v>
      </c>
      <c r="AM616" s="2">
        <v>113.09</v>
      </c>
      <c r="AN616" s="2">
        <v>33.93</v>
      </c>
      <c r="AO616" s="2" t="s">
        <v>558</v>
      </c>
      <c r="AP616" s="2" t="s">
        <v>559</v>
      </c>
      <c r="AQ616" s="2" t="s">
        <v>80</v>
      </c>
      <c r="AR616" s="2" t="s">
        <v>81</v>
      </c>
      <c r="AS616" s="2">
        <v>403</v>
      </c>
      <c r="AT616" s="2">
        <v>18</v>
      </c>
      <c r="AU616" s="2" t="s">
        <v>869</v>
      </c>
      <c r="AV616" s="2">
        <v>129.99</v>
      </c>
      <c r="AW616" s="2">
        <v>0</v>
      </c>
      <c r="AX616" s="2" t="s">
        <v>2777</v>
      </c>
      <c r="AY616" s="2" t="s">
        <v>162</v>
      </c>
      <c r="AZ616" s="4">
        <v>42199</v>
      </c>
      <c r="BA616" s="5">
        <v>0.76180555555555551</v>
      </c>
      <c r="BB616" s="2">
        <v>2015</v>
      </c>
      <c r="BC616" s="2" t="s">
        <v>533</v>
      </c>
      <c r="BD616" s="2">
        <v>14</v>
      </c>
      <c r="BE616" s="4">
        <v>42203</v>
      </c>
      <c r="BF616" s="5">
        <v>0.76180555555555551</v>
      </c>
      <c r="BG616" s="2" t="str" cm="1">
        <f t="array" ref="BG616">_xlfn.IFS(BF616&lt;TIMEVALUE("06:00"),"Night", BF616&gt;=TIMEVALUE("21:00"),"Night",BF616&gt;=TIMEVALUE("17:00"),"Evening",BF616&gt;=TIMEVALUE("12:00"),"Afternoon", BF616&gt;=TIMEVALUE("06:00"),"Morning")</f>
        <v>Evening</v>
      </c>
      <c r="BH616" s="2">
        <v>2015</v>
      </c>
      <c r="BI616" s="2" t="s">
        <v>533</v>
      </c>
      <c r="BJ616" s="2">
        <v>18</v>
      </c>
    </row>
    <row r="617" spans="1:62" x14ac:dyDescent="0.3">
      <c r="A617" s="2" t="s">
        <v>62</v>
      </c>
      <c r="B617" s="2">
        <v>3</v>
      </c>
      <c r="C617" s="2">
        <v>2</v>
      </c>
      <c r="D617" s="2">
        <v>-8.7200000000000006</v>
      </c>
      <c r="E617" s="2">
        <v>52.19</v>
      </c>
      <c r="F617" s="2" t="s">
        <v>87</v>
      </c>
      <c r="G617" s="2" t="s">
        <v>88</v>
      </c>
      <c r="H617" s="2">
        <v>17</v>
      </c>
      <c r="I617" s="2" t="s">
        <v>412</v>
      </c>
      <c r="J617" s="2" t="s">
        <v>66</v>
      </c>
      <c r="K617" s="2" t="s">
        <v>67</v>
      </c>
      <c r="L617" s="2" t="s">
        <v>2778</v>
      </c>
      <c r="M617" s="2">
        <v>5113</v>
      </c>
      <c r="N617" s="2" t="s">
        <v>2779</v>
      </c>
      <c r="O617" s="2" t="s">
        <v>70</v>
      </c>
      <c r="P617" s="2" t="s">
        <v>71</v>
      </c>
      <c r="Q617" s="2" t="s">
        <v>2780</v>
      </c>
      <c r="R617" s="2">
        <v>725</v>
      </c>
      <c r="S617" s="2">
        <v>4</v>
      </c>
      <c r="T617" s="2" t="s">
        <v>417</v>
      </c>
      <c r="U617" s="2">
        <v>18.282499300000001</v>
      </c>
      <c r="V617" s="2">
        <v>-66.3705444</v>
      </c>
      <c r="W617" s="2" t="s">
        <v>528</v>
      </c>
      <c r="X617" s="2" t="s">
        <v>2781</v>
      </c>
      <c r="Y617" s="2" t="s">
        <v>983</v>
      </c>
      <c r="Z617" s="2">
        <v>5113</v>
      </c>
      <c r="AA617" s="2" t="s">
        <v>2782</v>
      </c>
      <c r="AB617" s="2">
        <v>62117</v>
      </c>
      <c r="AC617" s="2">
        <v>365</v>
      </c>
      <c r="AD617" s="2">
        <v>7.8</v>
      </c>
      <c r="AE617" s="2">
        <v>0.13</v>
      </c>
      <c r="AF617" s="2" t="str" cm="1">
        <f t="array" ref="AF617">_xlfn.IFS(AE617=0, "No Discount ", AE617&lt;=0.08,"Low Discount", AE617&lt;=0.16,"Medium Discount", AE617&gt;0.16, "High Discount")</f>
        <v>Medium Discount</v>
      </c>
      <c r="AG617" s="2">
        <v>155308</v>
      </c>
      <c r="AH617" s="2">
        <v>59.99</v>
      </c>
      <c r="AI617" s="2">
        <v>-0.17</v>
      </c>
      <c r="AJ617" s="2" t="str" cm="1">
        <f t="array" ref="AJ617">_xlfn.IFS(AI617&lt;=0, "No Profit", AI617&lt;=0.16,"Low Profit",AI617&lt;=0.32,"Medium Profit",AI617&gt;0.32,"High Profit")</f>
        <v>No Profit</v>
      </c>
      <c r="AK617" s="2">
        <v>1</v>
      </c>
      <c r="AL617" s="2">
        <v>59.99</v>
      </c>
      <c r="AM617" s="2">
        <v>52.19</v>
      </c>
      <c r="AN617" s="2">
        <v>-8.7200000000000006</v>
      </c>
      <c r="AO617" s="2" t="s">
        <v>905</v>
      </c>
      <c r="AP617" s="2" t="s">
        <v>2783</v>
      </c>
      <c r="AQ617" s="2" t="s">
        <v>80</v>
      </c>
      <c r="AR617" s="2" t="s">
        <v>81</v>
      </c>
      <c r="AS617" s="2">
        <v>365</v>
      </c>
      <c r="AT617" s="2">
        <v>17</v>
      </c>
      <c r="AU617" s="2" t="s">
        <v>421</v>
      </c>
      <c r="AV617" s="2">
        <v>59.99</v>
      </c>
      <c r="AW617" s="2">
        <v>0</v>
      </c>
      <c r="AX617" s="2" t="s">
        <v>2784</v>
      </c>
      <c r="AY617" s="2" t="s">
        <v>162</v>
      </c>
      <c r="AZ617" s="4">
        <v>42911</v>
      </c>
      <c r="BA617" s="5">
        <v>0.75</v>
      </c>
      <c r="BB617" s="2">
        <v>2017</v>
      </c>
      <c r="BC617" s="2" t="s">
        <v>474</v>
      </c>
      <c r="BD617" s="2">
        <v>25</v>
      </c>
      <c r="BE617" s="4">
        <v>42914</v>
      </c>
      <c r="BF617" s="5">
        <v>0.75</v>
      </c>
      <c r="BG617" s="2" t="str" cm="1">
        <f t="array" ref="BG617">_xlfn.IFS(BF617&lt;TIMEVALUE("06:00"),"Night", BF617&gt;=TIMEVALUE("21:00"),"Night",BF617&gt;=TIMEVALUE("17:00"),"Evening",BF617&gt;=TIMEVALUE("12:00"),"Afternoon", BF617&gt;=TIMEVALUE("06:00"),"Morning")</f>
        <v>Evening</v>
      </c>
      <c r="BH617" s="2">
        <v>2017</v>
      </c>
      <c r="BI617" s="2" t="s">
        <v>474</v>
      </c>
      <c r="BJ617" s="2">
        <v>28</v>
      </c>
    </row>
    <row r="618" spans="1:62" x14ac:dyDescent="0.3">
      <c r="A618" s="2" t="s">
        <v>62</v>
      </c>
      <c r="B618" s="2">
        <v>3</v>
      </c>
      <c r="C618" s="2">
        <v>2</v>
      </c>
      <c r="D618" s="2">
        <v>52.02</v>
      </c>
      <c r="E618" s="2">
        <v>113.09</v>
      </c>
      <c r="F618" s="2" t="s">
        <v>87</v>
      </c>
      <c r="G618" s="2" t="s">
        <v>88</v>
      </c>
      <c r="H618" s="2">
        <v>18</v>
      </c>
      <c r="I618" s="2" t="s">
        <v>863</v>
      </c>
      <c r="J618" s="2" t="s">
        <v>66</v>
      </c>
      <c r="K618" s="2" t="s">
        <v>67</v>
      </c>
      <c r="L618" s="2" t="s">
        <v>2774</v>
      </c>
      <c r="M618" s="2">
        <v>9726</v>
      </c>
      <c r="N618" s="2" t="s">
        <v>425</v>
      </c>
      <c r="O618" s="2" t="s">
        <v>70</v>
      </c>
      <c r="P618" s="2" t="s">
        <v>71</v>
      </c>
      <c r="Q618" s="2" t="s">
        <v>2775</v>
      </c>
      <c r="R618" s="2">
        <v>725</v>
      </c>
      <c r="S618" s="2">
        <v>4</v>
      </c>
      <c r="T618" s="2" t="s">
        <v>417</v>
      </c>
      <c r="U618" s="2">
        <v>18.241626700000001</v>
      </c>
      <c r="V618" s="2">
        <v>-66.3705444</v>
      </c>
      <c r="W618" s="2" t="s">
        <v>528</v>
      </c>
      <c r="X618" s="2" t="s">
        <v>2785</v>
      </c>
      <c r="Y618" s="2" t="s">
        <v>904</v>
      </c>
      <c r="Z618" s="2">
        <v>9726</v>
      </c>
      <c r="AA618" s="3">
        <v>42801.340277777781</v>
      </c>
      <c r="AB618" s="2">
        <v>62637</v>
      </c>
      <c r="AC618" s="2">
        <v>403</v>
      </c>
      <c r="AD618" s="2">
        <v>16.899999999999999</v>
      </c>
      <c r="AE618" s="2">
        <v>0.13</v>
      </c>
      <c r="AF618" s="2" t="str" cm="1">
        <f t="array" ref="AF618">_xlfn.IFS(AE618=0, "No Discount ", AE618&lt;=0.08,"Low Discount", AE618&lt;=0.16,"Medium Discount", AE618&gt;0.16, "High Discount")</f>
        <v>Medium Discount</v>
      </c>
      <c r="AG618" s="2">
        <v>156600</v>
      </c>
      <c r="AH618" s="2">
        <v>129.99</v>
      </c>
      <c r="AI618" s="2">
        <v>0.46</v>
      </c>
      <c r="AJ618" s="2" t="str" cm="1">
        <f t="array" ref="AJ618">_xlfn.IFS(AI618&lt;=0, "No Profit", AI618&lt;=0.16,"Low Profit",AI618&lt;=0.32,"Medium Profit",AI618&gt;0.32,"High Profit")</f>
        <v>High Profit</v>
      </c>
      <c r="AK618" s="2">
        <v>1</v>
      </c>
      <c r="AL618" s="2">
        <v>129.99</v>
      </c>
      <c r="AM618" s="2">
        <v>113.09</v>
      </c>
      <c r="AN618" s="2">
        <v>52.02</v>
      </c>
      <c r="AO618" s="2" t="s">
        <v>905</v>
      </c>
      <c r="AP618" s="2" t="s">
        <v>2786</v>
      </c>
      <c r="AQ618" s="2" t="s">
        <v>80</v>
      </c>
      <c r="AR618" s="2" t="s">
        <v>81</v>
      </c>
      <c r="AS618" s="2">
        <v>403</v>
      </c>
      <c r="AT618" s="2">
        <v>18</v>
      </c>
      <c r="AU618" s="2" t="s">
        <v>869</v>
      </c>
      <c r="AV618" s="2">
        <v>129.99</v>
      </c>
      <c r="AW618" s="2">
        <v>0</v>
      </c>
      <c r="AX618" s="3">
        <v>42893.340277777781</v>
      </c>
      <c r="AY618" s="2" t="s">
        <v>162</v>
      </c>
      <c r="AZ618" s="4">
        <v>42801</v>
      </c>
      <c r="BA618" s="5">
        <v>0.34027777777777779</v>
      </c>
      <c r="BB618" s="2">
        <v>2017</v>
      </c>
      <c r="BC618" s="2" t="s">
        <v>85</v>
      </c>
      <c r="BD618" s="2">
        <v>7</v>
      </c>
      <c r="BE618" s="4">
        <v>42893</v>
      </c>
      <c r="BF618" s="5">
        <v>0.34027777777777779</v>
      </c>
      <c r="BG618" s="2" t="str" cm="1">
        <f t="array" ref="BG618">_xlfn.IFS(BF618&lt;TIMEVALUE("06:00"),"Night", BF618&gt;=TIMEVALUE("21:00"),"Night",BF618&gt;=TIMEVALUE("17:00"),"Evening",BF618&gt;=TIMEVALUE("12:00"),"Afternoon", BF618&gt;=TIMEVALUE("06:00"),"Morning")</f>
        <v>Morning</v>
      </c>
      <c r="BH618" s="2">
        <v>2017</v>
      </c>
      <c r="BI618" s="2" t="s">
        <v>474</v>
      </c>
      <c r="BJ618" s="2">
        <v>7</v>
      </c>
    </row>
    <row r="619" spans="1:62" x14ac:dyDescent="0.3">
      <c r="A619" s="2" t="s">
        <v>62</v>
      </c>
      <c r="B619" s="2">
        <v>6</v>
      </c>
      <c r="C619" s="2">
        <v>2</v>
      </c>
      <c r="D619" s="2">
        <v>-33.93</v>
      </c>
      <c r="E619" s="2">
        <v>113.09</v>
      </c>
      <c r="F619" s="2" t="s">
        <v>87</v>
      </c>
      <c r="G619" s="2" t="s">
        <v>88</v>
      </c>
      <c r="H619" s="2">
        <v>18</v>
      </c>
      <c r="I619" s="2" t="s">
        <v>863</v>
      </c>
      <c r="J619" s="2" t="s">
        <v>66</v>
      </c>
      <c r="K619" s="2" t="s">
        <v>67</v>
      </c>
      <c r="L619" s="2" t="s">
        <v>587</v>
      </c>
      <c r="M619" s="2">
        <v>482</v>
      </c>
      <c r="N619" s="2" t="s">
        <v>1403</v>
      </c>
      <c r="O619" s="2" t="s">
        <v>70</v>
      </c>
      <c r="P619" s="2" t="s">
        <v>71</v>
      </c>
      <c r="Q619" s="2" t="s">
        <v>2705</v>
      </c>
      <c r="R619" s="2">
        <v>725</v>
      </c>
      <c r="S619" s="2">
        <v>4</v>
      </c>
      <c r="T619" s="2" t="s">
        <v>417</v>
      </c>
      <c r="U619" s="2">
        <v>18.227577199999999</v>
      </c>
      <c r="V619" s="2">
        <v>-66.045623800000001</v>
      </c>
      <c r="W619" s="2" t="s">
        <v>528</v>
      </c>
      <c r="X619" s="2" t="s">
        <v>919</v>
      </c>
      <c r="Y619" s="2" t="s">
        <v>536</v>
      </c>
      <c r="Z619" s="2">
        <v>482</v>
      </c>
      <c r="AA619" s="2" t="s">
        <v>2787</v>
      </c>
      <c r="AB619" s="2">
        <v>67845</v>
      </c>
      <c r="AC619" s="2">
        <v>403</v>
      </c>
      <c r="AD619" s="2">
        <v>16.899999999999999</v>
      </c>
      <c r="AE619" s="2">
        <v>0.13</v>
      </c>
      <c r="AF619" s="2" t="str" cm="1">
        <f t="array" ref="AF619">_xlfn.IFS(AE619=0, "No Discount ", AE619&lt;=0.08,"Low Discount", AE619&lt;=0.16,"Medium Discount", AE619&gt;0.16, "High Discount")</f>
        <v>Medium Discount</v>
      </c>
      <c r="AG619" s="2">
        <v>169622</v>
      </c>
      <c r="AH619" s="2">
        <v>129.99</v>
      </c>
      <c r="AI619" s="2">
        <v>-0.3</v>
      </c>
      <c r="AJ619" s="2" t="str" cm="1">
        <f t="array" ref="AJ619">_xlfn.IFS(AI619&lt;=0, "No Profit", AI619&lt;=0.16,"Low Profit",AI619&lt;=0.32,"Medium Profit",AI619&gt;0.32,"High Profit")</f>
        <v>No Profit</v>
      </c>
      <c r="AK619" s="2">
        <v>1</v>
      </c>
      <c r="AL619" s="2">
        <v>129.99</v>
      </c>
      <c r="AM619" s="2">
        <v>113.09</v>
      </c>
      <c r="AN619" s="2">
        <v>-33.93</v>
      </c>
      <c r="AO619" s="2" t="s">
        <v>531</v>
      </c>
      <c r="AP619" s="2" t="s">
        <v>568</v>
      </c>
      <c r="AQ619" s="2" t="s">
        <v>80</v>
      </c>
      <c r="AR619" s="2" t="s">
        <v>81</v>
      </c>
      <c r="AS619" s="2">
        <v>403</v>
      </c>
      <c r="AT619" s="2">
        <v>18</v>
      </c>
      <c r="AU619" s="2" t="s">
        <v>869</v>
      </c>
      <c r="AV619" s="2">
        <v>129.99</v>
      </c>
      <c r="AW619" s="2">
        <v>0</v>
      </c>
      <c r="AX619" s="2" t="s">
        <v>2788</v>
      </c>
      <c r="AY619" s="2" t="s">
        <v>162</v>
      </c>
      <c r="AZ619" s="4">
        <v>42995</v>
      </c>
      <c r="BA619" s="5">
        <v>0.36527777777777776</v>
      </c>
      <c r="BB619" s="2">
        <v>2017</v>
      </c>
      <c r="BC619" s="2" t="s">
        <v>552</v>
      </c>
      <c r="BD619" s="2">
        <v>17</v>
      </c>
      <c r="BE619" s="4">
        <v>43001</v>
      </c>
      <c r="BF619" s="5">
        <v>0.36527777777777776</v>
      </c>
      <c r="BG619" s="2" t="str" cm="1">
        <f t="array" ref="BG619">_xlfn.IFS(BF619&lt;TIMEVALUE("06:00"),"Night", BF619&gt;=TIMEVALUE("21:00"),"Night",BF619&gt;=TIMEVALUE("17:00"),"Evening",BF619&gt;=TIMEVALUE("12:00"),"Afternoon", BF619&gt;=TIMEVALUE("06:00"),"Morning")</f>
        <v>Morning</v>
      </c>
      <c r="BH619" s="2">
        <v>2017</v>
      </c>
      <c r="BI619" s="2" t="s">
        <v>552</v>
      </c>
      <c r="BJ619" s="2">
        <v>23</v>
      </c>
    </row>
    <row r="620" spans="1:62" x14ac:dyDescent="0.3">
      <c r="A620" s="2" t="s">
        <v>62</v>
      </c>
      <c r="B620" s="2">
        <v>3</v>
      </c>
      <c r="C620" s="2">
        <v>2</v>
      </c>
      <c r="D620" s="2">
        <v>36.75</v>
      </c>
      <c r="E620" s="2">
        <v>113.09</v>
      </c>
      <c r="F620" s="2" t="s">
        <v>87</v>
      </c>
      <c r="G620" s="2" t="s">
        <v>88</v>
      </c>
      <c r="H620" s="2">
        <v>18</v>
      </c>
      <c r="I620" s="2" t="s">
        <v>863</v>
      </c>
      <c r="J620" s="2" t="s">
        <v>66</v>
      </c>
      <c r="K620" s="2" t="s">
        <v>67</v>
      </c>
      <c r="L620" s="2" t="s">
        <v>1747</v>
      </c>
      <c r="M620" s="2">
        <v>8645</v>
      </c>
      <c r="N620" s="2" t="s">
        <v>2760</v>
      </c>
      <c r="O620" s="2" t="s">
        <v>70</v>
      </c>
      <c r="P620" s="2" t="s">
        <v>71</v>
      </c>
      <c r="Q620" s="2" t="s">
        <v>2761</v>
      </c>
      <c r="R620" s="2">
        <v>725</v>
      </c>
      <c r="S620" s="2">
        <v>4</v>
      </c>
      <c r="T620" s="2" t="s">
        <v>417</v>
      </c>
      <c r="U620" s="2">
        <v>18.261777899999998</v>
      </c>
      <c r="V620" s="2">
        <v>-66.370628400000001</v>
      </c>
      <c r="W620" s="2" t="s">
        <v>528</v>
      </c>
      <c r="X620" s="2" t="s">
        <v>2456</v>
      </c>
      <c r="Y620" s="2" t="s">
        <v>536</v>
      </c>
      <c r="Z620" s="2">
        <v>8645</v>
      </c>
      <c r="AA620" s="2" t="s">
        <v>2762</v>
      </c>
      <c r="AB620" s="2">
        <v>67712</v>
      </c>
      <c r="AC620" s="2">
        <v>403</v>
      </c>
      <c r="AD620" s="2">
        <v>16.899999999999999</v>
      </c>
      <c r="AE620" s="2">
        <v>0.13</v>
      </c>
      <c r="AF620" s="2" t="str" cm="1">
        <f t="array" ref="AF620">_xlfn.IFS(AE620=0, "No Discount ", AE620&lt;=0.08,"Low Discount", AE620&lt;=0.16,"Medium Discount", AE620&gt;0.16, "High Discount")</f>
        <v>Medium Discount</v>
      </c>
      <c r="AG620" s="2">
        <v>169287</v>
      </c>
      <c r="AH620" s="2">
        <v>129.99</v>
      </c>
      <c r="AI620" s="2">
        <v>0.33</v>
      </c>
      <c r="AJ620" s="2" t="str" cm="1">
        <f t="array" ref="AJ620">_xlfn.IFS(AI620&lt;=0, "No Profit", AI620&lt;=0.16,"Low Profit",AI620&lt;=0.32,"Medium Profit",AI620&gt;0.32,"High Profit")</f>
        <v>High Profit</v>
      </c>
      <c r="AK620" s="2">
        <v>1</v>
      </c>
      <c r="AL620" s="2">
        <v>129.99</v>
      </c>
      <c r="AM620" s="2">
        <v>113.09</v>
      </c>
      <c r="AN620" s="2">
        <v>36.75</v>
      </c>
      <c r="AO620" s="2" t="s">
        <v>531</v>
      </c>
      <c r="AP620" s="2" t="s">
        <v>1000</v>
      </c>
      <c r="AQ620" s="2" t="s">
        <v>80</v>
      </c>
      <c r="AR620" s="2" t="s">
        <v>81</v>
      </c>
      <c r="AS620" s="2">
        <v>403</v>
      </c>
      <c r="AT620" s="2">
        <v>18</v>
      </c>
      <c r="AU620" s="2" t="s">
        <v>869</v>
      </c>
      <c r="AV620" s="2">
        <v>129.99</v>
      </c>
      <c r="AW620" s="2">
        <v>0</v>
      </c>
      <c r="AX620" s="2" t="s">
        <v>2763</v>
      </c>
      <c r="AY620" s="2" t="s">
        <v>162</v>
      </c>
      <c r="AZ620" s="4">
        <v>42993</v>
      </c>
      <c r="BA620" s="5">
        <v>0.4236111111111111</v>
      </c>
      <c r="BB620" s="2">
        <v>2017</v>
      </c>
      <c r="BC620" s="2" t="s">
        <v>552</v>
      </c>
      <c r="BD620" s="2">
        <v>15</v>
      </c>
      <c r="BE620" s="4">
        <v>42996</v>
      </c>
      <c r="BF620" s="5">
        <v>0.4236111111111111</v>
      </c>
      <c r="BG620" s="2" t="str" cm="1">
        <f t="array" ref="BG620">_xlfn.IFS(BF620&lt;TIMEVALUE("06:00"),"Night", BF620&gt;=TIMEVALUE("21:00"),"Night",BF620&gt;=TIMEVALUE("17:00"),"Evening",BF620&gt;=TIMEVALUE("12:00"),"Afternoon", BF620&gt;=TIMEVALUE("06:00"),"Morning")</f>
        <v>Morning</v>
      </c>
      <c r="BH620" s="2">
        <v>2017</v>
      </c>
      <c r="BI620" s="2" t="s">
        <v>552</v>
      </c>
      <c r="BJ620" s="2">
        <v>18</v>
      </c>
    </row>
    <row r="621" spans="1:62" x14ac:dyDescent="0.3">
      <c r="A621" s="2" t="s">
        <v>62</v>
      </c>
      <c r="B621" s="2">
        <v>5</v>
      </c>
      <c r="C621" s="2">
        <v>2</v>
      </c>
      <c r="D621" s="2">
        <v>35.4</v>
      </c>
      <c r="E621" s="2">
        <v>113.09</v>
      </c>
      <c r="F621" s="2" t="s">
        <v>87</v>
      </c>
      <c r="G621" s="2" t="s">
        <v>88</v>
      </c>
      <c r="H621" s="2">
        <v>18</v>
      </c>
      <c r="I621" s="2" t="s">
        <v>863</v>
      </c>
      <c r="J621" s="2" t="s">
        <v>66</v>
      </c>
      <c r="K621" s="2" t="s">
        <v>67</v>
      </c>
      <c r="L621" s="2" t="s">
        <v>2089</v>
      </c>
      <c r="M621" s="2">
        <v>7202</v>
      </c>
      <c r="N621" s="2" t="s">
        <v>425</v>
      </c>
      <c r="O621" s="2" t="s">
        <v>70</v>
      </c>
      <c r="P621" s="2" t="s">
        <v>71</v>
      </c>
      <c r="Q621" s="2" t="s">
        <v>2789</v>
      </c>
      <c r="R621" s="2">
        <v>725</v>
      </c>
      <c r="S621" s="2">
        <v>4</v>
      </c>
      <c r="T621" s="2" t="s">
        <v>417</v>
      </c>
      <c r="U621" s="2">
        <v>18.228366900000001</v>
      </c>
      <c r="V621" s="2">
        <v>-66.3706131</v>
      </c>
      <c r="W621" s="2" t="s">
        <v>528</v>
      </c>
      <c r="X621" s="2" t="s">
        <v>2790</v>
      </c>
      <c r="Y621" s="2" t="s">
        <v>2791</v>
      </c>
      <c r="Z621" s="2">
        <v>7202</v>
      </c>
      <c r="AA621" s="2" t="s">
        <v>2792</v>
      </c>
      <c r="AB621" s="2">
        <v>11209</v>
      </c>
      <c r="AC621" s="2">
        <v>403</v>
      </c>
      <c r="AD621" s="2">
        <v>16.899999999999999</v>
      </c>
      <c r="AE621" s="2">
        <v>0.13</v>
      </c>
      <c r="AF621" s="2" t="str" cm="1">
        <f t="array" ref="AF621">_xlfn.IFS(AE621=0, "No Discount ", AE621&lt;=0.08,"Low Discount", AE621&lt;=0.16,"Medium Discount", AE621&gt;0.16, "High Discount")</f>
        <v>Medium Discount</v>
      </c>
      <c r="AG621" s="2">
        <v>28017</v>
      </c>
      <c r="AH621" s="2">
        <v>129.99</v>
      </c>
      <c r="AI621" s="2">
        <v>0.31</v>
      </c>
      <c r="AJ621" s="2" t="str" cm="1">
        <f t="array" ref="AJ621">_xlfn.IFS(AI621&lt;=0, "No Profit", AI621&lt;=0.16,"Low Profit",AI621&lt;=0.32,"Medium Profit",AI621&gt;0.32,"High Profit")</f>
        <v>Medium Profit</v>
      </c>
      <c r="AK621" s="2">
        <v>1</v>
      </c>
      <c r="AL621" s="2">
        <v>129.99</v>
      </c>
      <c r="AM621" s="2">
        <v>113.09</v>
      </c>
      <c r="AN621" s="2">
        <v>35.4</v>
      </c>
      <c r="AO621" s="2" t="s">
        <v>531</v>
      </c>
      <c r="AP621" s="2" t="s">
        <v>2793</v>
      </c>
      <c r="AQ621" s="2" t="s">
        <v>80</v>
      </c>
      <c r="AR621" s="2" t="s">
        <v>81</v>
      </c>
      <c r="AS621" s="2">
        <v>403</v>
      </c>
      <c r="AT621" s="2">
        <v>18</v>
      </c>
      <c r="AU621" s="2" t="s">
        <v>869</v>
      </c>
      <c r="AV621" s="2">
        <v>129.99</v>
      </c>
      <c r="AW621" s="2">
        <v>0</v>
      </c>
      <c r="AX621" s="2" t="s">
        <v>2794</v>
      </c>
      <c r="AY621" s="2" t="s">
        <v>162</v>
      </c>
      <c r="AZ621" s="4">
        <v>42168</v>
      </c>
      <c r="BA621" s="5">
        <v>0.61041666666666672</v>
      </c>
      <c r="BB621" s="2">
        <v>2015</v>
      </c>
      <c r="BC621" s="2" t="s">
        <v>474</v>
      </c>
      <c r="BD621" s="2">
        <v>13</v>
      </c>
      <c r="BE621" s="4">
        <v>42173</v>
      </c>
      <c r="BF621" s="5">
        <v>0.61041666666666672</v>
      </c>
      <c r="BG621" s="2" t="str" cm="1">
        <f t="array" ref="BG621">_xlfn.IFS(BF621&lt;TIMEVALUE("06:00"),"Night", BF621&gt;=TIMEVALUE("21:00"),"Night",BF621&gt;=TIMEVALUE("17:00"),"Evening",BF621&gt;=TIMEVALUE("12:00"),"Afternoon", BF621&gt;=TIMEVALUE("06:00"),"Morning")</f>
        <v>Afternoon</v>
      </c>
      <c r="BH621" s="2">
        <v>2015</v>
      </c>
      <c r="BI621" s="2" t="s">
        <v>474</v>
      </c>
      <c r="BJ621" s="2">
        <v>18</v>
      </c>
    </row>
    <row r="622" spans="1:62" x14ac:dyDescent="0.3">
      <c r="A622" s="2" t="s">
        <v>62</v>
      </c>
      <c r="B622" s="2">
        <v>5</v>
      </c>
      <c r="C622" s="2">
        <v>2</v>
      </c>
      <c r="D622" s="2">
        <v>14.28</v>
      </c>
      <c r="E622" s="2">
        <v>50.99</v>
      </c>
      <c r="F622" s="2" t="s">
        <v>87</v>
      </c>
      <c r="G622" s="2" t="s">
        <v>88</v>
      </c>
      <c r="H622" s="2">
        <v>17</v>
      </c>
      <c r="I622" s="2" t="s">
        <v>412</v>
      </c>
      <c r="J622" s="2" t="s">
        <v>66</v>
      </c>
      <c r="K622" s="2" t="s">
        <v>67</v>
      </c>
      <c r="L622" s="2" t="s">
        <v>414</v>
      </c>
      <c r="M622" s="2">
        <v>1173</v>
      </c>
      <c r="N622" s="2" t="s">
        <v>1128</v>
      </c>
      <c r="O622" s="2" t="s">
        <v>70</v>
      </c>
      <c r="P622" s="2" t="s">
        <v>71</v>
      </c>
      <c r="Q622" s="2" t="s">
        <v>2795</v>
      </c>
      <c r="R622" s="2">
        <v>725</v>
      </c>
      <c r="S622" s="2">
        <v>4</v>
      </c>
      <c r="T622" s="2" t="s">
        <v>417</v>
      </c>
      <c r="U622" s="2">
        <v>18.246805200000001</v>
      </c>
      <c r="V622" s="2">
        <v>-66.370590199999995</v>
      </c>
      <c r="W622" s="2" t="s">
        <v>528</v>
      </c>
      <c r="X622" s="2" t="s">
        <v>2796</v>
      </c>
      <c r="Y622" s="2" t="s">
        <v>1715</v>
      </c>
      <c r="Z622" s="2">
        <v>1173</v>
      </c>
      <c r="AA622" s="2" t="s">
        <v>2797</v>
      </c>
      <c r="AB622" s="2">
        <v>41494</v>
      </c>
      <c r="AC622" s="2">
        <v>365</v>
      </c>
      <c r="AD622" s="2">
        <v>9</v>
      </c>
      <c r="AE622" s="2">
        <v>0.15</v>
      </c>
      <c r="AF622" s="2" t="str" cm="1">
        <f t="array" ref="AF622">_xlfn.IFS(AE622=0, "No Discount ", AE622&lt;=0.08,"Low Discount", AE622&lt;=0.16,"Medium Discount", AE622&gt;0.16, "High Discount")</f>
        <v>Medium Discount</v>
      </c>
      <c r="AG622" s="2">
        <v>103574</v>
      </c>
      <c r="AH622" s="2">
        <v>59.99</v>
      </c>
      <c r="AI622" s="2">
        <v>0.28000000000000003</v>
      </c>
      <c r="AJ622" s="2" t="str" cm="1">
        <f t="array" ref="AJ622">_xlfn.IFS(AI622&lt;=0, "No Profit", AI622&lt;=0.16,"Low Profit",AI622&lt;=0.32,"Medium Profit",AI622&gt;0.32,"High Profit")</f>
        <v>Medium Profit</v>
      </c>
      <c r="AK622" s="2">
        <v>1</v>
      </c>
      <c r="AL622" s="2">
        <v>59.99</v>
      </c>
      <c r="AM622" s="2">
        <v>50.99</v>
      </c>
      <c r="AN622" s="2">
        <v>14.28</v>
      </c>
      <c r="AO622" s="2" t="s">
        <v>1717</v>
      </c>
      <c r="AP622" s="2" t="s">
        <v>2798</v>
      </c>
      <c r="AQ622" s="2" t="s">
        <v>80</v>
      </c>
      <c r="AR622" s="2" t="s">
        <v>81</v>
      </c>
      <c r="AS622" s="2">
        <v>365</v>
      </c>
      <c r="AT622" s="2">
        <v>17</v>
      </c>
      <c r="AU622" s="2" t="s">
        <v>421</v>
      </c>
      <c r="AV622" s="2">
        <v>59.99</v>
      </c>
      <c r="AW622" s="2">
        <v>0</v>
      </c>
      <c r="AX622" s="3">
        <v>42409.701388888891</v>
      </c>
      <c r="AY622" s="2" t="s">
        <v>162</v>
      </c>
      <c r="AZ622" s="4">
        <v>42610</v>
      </c>
      <c r="BA622" s="5">
        <v>0.70138888888888884</v>
      </c>
      <c r="BB622" s="2">
        <v>2016</v>
      </c>
      <c r="BC622" s="2" t="s">
        <v>482</v>
      </c>
      <c r="BD622" s="2">
        <v>28</v>
      </c>
      <c r="BE622" s="4">
        <v>42409</v>
      </c>
      <c r="BF622" s="5">
        <v>0.70138888888888884</v>
      </c>
      <c r="BG622" s="2" t="str" cm="1">
        <f t="array" ref="BG622">_xlfn.IFS(BF622&lt;TIMEVALUE("06:00"),"Night", BF622&gt;=TIMEVALUE("21:00"),"Night",BF622&gt;=TIMEVALUE("17:00"),"Evening",BF622&gt;=TIMEVALUE("12:00"),"Afternoon", BF622&gt;=TIMEVALUE("06:00"),"Morning")</f>
        <v>Afternoon</v>
      </c>
      <c r="BH622" s="2">
        <v>2016</v>
      </c>
      <c r="BI622" s="2" t="s">
        <v>423</v>
      </c>
      <c r="BJ622" s="2">
        <v>9</v>
      </c>
    </row>
    <row r="623" spans="1:62" x14ac:dyDescent="0.3">
      <c r="A623" s="2" t="s">
        <v>62</v>
      </c>
      <c r="B623" s="2">
        <v>4</v>
      </c>
      <c r="C623" s="2">
        <v>2</v>
      </c>
      <c r="D623" s="2">
        <v>28.73</v>
      </c>
      <c r="E623" s="2">
        <v>110.49</v>
      </c>
      <c r="F623" s="2" t="s">
        <v>87</v>
      </c>
      <c r="G623" s="2" t="s">
        <v>88</v>
      </c>
      <c r="H623" s="2">
        <v>18</v>
      </c>
      <c r="I623" s="2" t="s">
        <v>863</v>
      </c>
      <c r="J623" s="2" t="s">
        <v>66</v>
      </c>
      <c r="K623" s="2" t="s">
        <v>67</v>
      </c>
      <c r="L623" s="2" t="s">
        <v>1938</v>
      </c>
      <c r="M623" s="2">
        <v>1275</v>
      </c>
      <c r="N623" s="2" t="s">
        <v>425</v>
      </c>
      <c r="O623" s="2" t="s">
        <v>70</v>
      </c>
      <c r="P623" s="2" t="s">
        <v>71</v>
      </c>
      <c r="Q623" s="2" t="s">
        <v>334</v>
      </c>
      <c r="R623" s="2">
        <v>725</v>
      </c>
      <c r="S623" s="2">
        <v>4</v>
      </c>
      <c r="T623" s="2" t="s">
        <v>417</v>
      </c>
      <c r="U623" s="2">
        <v>18.2526054</v>
      </c>
      <c r="V623" s="2">
        <v>-66.3705444</v>
      </c>
      <c r="W623" s="2" t="s">
        <v>528</v>
      </c>
      <c r="X623" s="2" t="s">
        <v>2764</v>
      </c>
      <c r="Y623" s="2" t="s">
        <v>557</v>
      </c>
      <c r="Z623" s="2">
        <v>1275</v>
      </c>
      <c r="AA623" s="2" t="s">
        <v>2765</v>
      </c>
      <c r="AB623" s="2">
        <v>18593</v>
      </c>
      <c r="AC623" s="2">
        <v>403</v>
      </c>
      <c r="AD623" s="2">
        <v>19.5</v>
      </c>
      <c r="AE623" s="2">
        <v>0.15</v>
      </c>
      <c r="AF623" s="2" t="str" cm="1">
        <f t="array" ref="AF623">_xlfn.IFS(AE623=0, "No Discount ", AE623&lt;=0.08,"Low Discount", AE623&lt;=0.16,"Medium Discount", AE623&gt;0.16, "High Discount")</f>
        <v>Medium Discount</v>
      </c>
      <c r="AG623" s="2">
        <v>46473</v>
      </c>
      <c r="AH623" s="2">
        <v>129.99</v>
      </c>
      <c r="AI623" s="2">
        <v>0.26</v>
      </c>
      <c r="AJ623" s="2" t="str" cm="1">
        <f t="array" ref="AJ623">_xlfn.IFS(AI623&lt;=0, "No Profit", AI623&lt;=0.16,"Low Profit",AI623&lt;=0.32,"Medium Profit",AI623&gt;0.32,"High Profit")</f>
        <v>Medium Profit</v>
      </c>
      <c r="AK623" s="2">
        <v>1</v>
      </c>
      <c r="AL623" s="2">
        <v>129.99</v>
      </c>
      <c r="AM623" s="2">
        <v>110.49</v>
      </c>
      <c r="AN623" s="2">
        <v>28.73</v>
      </c>
      <c r="AO623" s="2" t="s">
        <v>558</v>
      </c>
      <c r="AP623" s="2" t="s">
        <v>559</v>
      </c>
      <c r="AQ623" s="2" t="s">
        <v>80</v>
      </c>
      <c r="AR623" s="2" t="s">
        <v>81</v>
      </c>
      <c r="AS623" s="2">
        <v>403</v>
      </c>
      <c r="AT623" s="2">
        <v>18</v>
      </c>
      <c r="AU623" s="2" t="s">
        <v>869</v>
      </c>
      <c r="AV623" s="2">
        <v>129.99</v>
      </c>
      <c r="AW623" s="2">
        <v>0</v>
      </c>
      <c r="AX623" s="3">
        <v>42073.4</v>
      </c>
      <c r="AY623" s="2" t="s">
        <v>162</v>
      </c>
      <c r="AZ623" s="4">
        <v>42276</v>
      </c>
      <c r="BA623" s="5">
        <v>0.4</v>
      </c>
      <c r="BB623" s="2">
        <v>2015</v>
      </c>
      <c r="BC623" s="2" t="s">
        <v>552</v>
      </c>
      <c r="BD623" s="2">
        <v>29</v>
      </c>
      <c r="BE623" s="4">
        <v>42073</v>
      </c>
      <c r="BF623" s="5">
        <v>0.4</v>
      </c>
      <c r="BG623" s="2" t="str" cm="1">
        <f t="array" ref="BG623">_xlfn.IFS(BF623&lt;TIMEVALUE("06:00"),"Night", BF623&gt;=TIMEVALUE("21:00"),"Night",BF623&gt;=TIMEVALUE("17:00"),"Evening",BF623&gt;=TIMEVALUE("12:00"),"Afternoon", BF623&gt;=TIMEVALUE("06:00"),"Morning")</f>
        <v>Morning</v>
      </c>
      <c r="BH623" s="2">
        <v>2015</v>
      </c>
      <c r="BI623" s="2" t="s">
        <v>85</v>
      </c>
      <c r="BJ623" s="2">
        <v>10</v>
      </c>
    </row>
    <row r="624" spans="1:62" x14ac:dyDescent="0.3">
      <c r="A624" s="2" t="s">
        <v>62</v>
      </c>
      <c r="B624" s="2">
        <v>4</v>
      </c>
      <c r="C624" s="2">
        <v>2</v>
      </c>
      <c r="D624" s="2">
        <v>27.62</v>
      </c>
      <c r="E624" s="2">
        <v>110.49</v>
      </c>
      <c r="F624" s="2" t="s">
        <v>87</v>
      </c>
      <c r="G624" s="2" t="s">
        <v>88</v>
      </c>
      <c r="H624" s="2">
        <v>18</v>
      </c>
      <c r="I624" s="2" t="s">
        <v>863</v>
      </c>
      <c r="J624" s="2" t="s">
        <v>66</v>
      </c>
      <c r="K624" s="2" t="s">
        <v>67</v>
      </c>
      <c r="L624" s="2" t="s">
        <v>2774</v>
      </c>
      <c r="M624" s="2">
        <v>9726</v>
      </c>
      <c r="N624" s="2" t="s">
        <v>425</v>
      </c>
      <c r="O624" s="2" t="s">
        <v>70</v>
      </c>
      <c r="P624" s="2" t="s">
        <v>71</v>
      </c>
      <c r="Q624" s="2" t="s">
        <v>2775</v>
      </c>
      <c r="R624" s="2">
        <v>725</v>
      </c>
      <c r="S624" s="2">
        <v>4</v>
      </c>
      <c r="T624" s="2" t="s">
        <v>417</v>
      </c>
      <c r="U624" s="2">
        <v>18.241626700000001</v>
      </c>
      <c r="V624" s="2">
        <v>-66.3705444</v>
      </c>
      <c r="W624" s="2" t="s">
        <v>528</v>
      </c>
      <c r="X624" s="2" t="s">
        <v>946</v>
      </c>
      <c r="Y624" s="2" t="s">
        <v>557</v>
      </c>
      <c r="Z624" s="2">
        <v>9726</v>
      </c>
      <c r="AA624" s="2" t="s">
        <v>2776</v>
      </c>
      <c r="AB624" s="2">
        <v>13343</v>
      </c>
      <c r="AC624" s="2">
        <v>403</v>
      </c>
      <c r="AD624" s="2">
        <v>19.5</v>
      </c>
      <c r="AE624" s="2">
        <v>0.15</v>
      </c>
      <c r="AF624" s="2" t="str" cm="1">
        <f t="array" ref="AF624">_xlfn.IFS(AE624=0, "No Discount ", AE624&lt;=0.08,"Low Discount", AE624&lt;=0.16,"Medium Discount", AE624&gt;0.16, "High Discount")</f>
        <v>Medium Discount</v>
      </c>
      <c r="AG624" s="2">
        <v>33408</v>
      </c>
      <c r="AH624" s="2">
        <v>129.99</v>
      </c>
      <c r="AI624" s="2">
        <v>0.25</v>
      </c>
      <c r="AJ624" s="2" t="str" cm="1">
        <f t="array" ref="AJ624">_xlfn.IFS(AI624&lt;=0, "No Profit", AI624&lt;=0.16,"Low Profit",AI624&lt;=0.32,"Medium Profit",AI624&gt;0.32,"High Profit")</f>
        <v>Medium Profit</v>
      </c>
      <c r="AK624" s="2">
        <v>1</v>
      </c>
      <c r="AL624" s="2">
        <v>129.99</v>
      </c>
      <c r="AM624" s="2">
        <v>110.49</v>
      </c>
      <c r="AN624" s="2">
        <v>27.62</v>
      </c>
      <c r="AO624" s="2" t="s">
        <v>558</v>
      </c>
      <c r="AP624" s="2" t="s">
        <v>559</v>
      </c>
      <c r="AQ624" s="2" t="s">
        <v>80</v>
      </c>
      <c r="AR624" s="2" t="s">
        <v>81</v>
      </c>
      <c r="AS624" s="2">
        <v>403</v>
      </c>
      <c r="AT624" s="2">
        <v>18</v>
      </c>
      <c r="AU624" s="2" t="s">
        <v>869</v>
      </c>
      <c r="AV624" s="2">
        <v>129.99</v>
      </c>
      <c r="AW624" s="2">
        <v>0</v>
      </c>
      <c r="AX624" s="2" t="s">
        <v>2777</v>
      </c>
      <c r="AY624" s="2" t="s">
        <v>162</v>
      </c>
      <c r="AZ624" s="4">
        <v>42199</v>
      </c>
      <c r="BA624" s="5">
        <v>0.76180555555555551</v>
      </c>
      <c r="BB624" s="2">
        <v>2015</v>
      </c>
      <c r="BC624" s="2" t="s">
        <v>533</v>
      </c>
      <c r="BD624" s="2">
        <v>14</v>
      </c>
      <c r="BE624" s="4">
        <v>42203</v>
      </c>
      <c r="BF624" s="5">
        <v>0.76180555555555551</v>
      </c>
      <c r="BG624" s="2" t="str" cm="1">
        <f t="array" ref="BG624">_xlfn.IFS(BF624&lt;TIMEVALUE("06:00"),"Night", BF624&gt;=TIMEVALUE("21:00"),"Night",BF624&gt;=TIMEVALUE("17:00"),"Evening",BF624&gt;=TIMEVALUE("12:00"),"Afternoon", BF624&gt;=TIMEVALUE("06:00"),"Morning")</f>
        <v>Evening</v>
      </c>
      <c r="BH624" s="2">
        <v>2015</v>
      </c>
      <c r="BI624" s="2" t="s">
        <v>533</v>
      </c>
      <c r="BJ624" s="2">
        <v>18</v>
      </c>
    </row>
    <row r="625" spans="1:62" x14ac:dyDescent="0.3">
      <c r="A625" s="2" t="s">
        <v>62</v>
      </c>
      <c r="B625" s="2">
        <v>3</v>
      </c>
      <c r="C625" s="2">
        <v>2</v>
      </c>
      <c r="D625" s="2">
        <v>13.26</v>
      </c>
      <c r="E625" s="2">
        <v>110.49</v>
      </c>
      <c r="F625" s="2" t="s">
        <v>87</v>
      </c>
      <c r="G625" s="2" t="s">
        <v>88</v>
      </c>
      <c r="H625" s="2">
        <v>18</v>
      </c>
      <c r="I625" s="2" t="s">
        <v>863</v>
      </c>
      <c r="J625" s="2" t="s">
        <v>66</v>
      </c>
      <c r="K625" s="2" t="s">
        <v>67</v>
      </c>
      <c r="L625" s="2" t="s">
        <v>2774</v>
      </c>
      <c r="M625" s="2">
        <v>9726</v>
      </c>
      <c r="N625" s="2" t="s">
        <v>425</v>
      </c>
      <c r="O625" s="2" t="s">
        <v>70</v>
      </c>
      <c r="P625" s="2" t="s">
        <v>71</v>
      </c>
      <c r="Q625" s="2" t="s">
        <v>2775</v>
      </c>
      <c r="R625" s="2">
        <v>725</v>
      </c>
      <c r="S625" s="2">
        <v>4</v>
      </c>
      <c r="T625" s="2" t="s">
        <v>417</v>
      </c>
      <c r="U625" s="2">
        <v>18.241626700000001</v>
      </c>
      <c r="V625" s="2">
        <v>-66.3705444</v>
      </c>
      <c r="W625" s="2" t="s">
        <v>528</v>
      </c>
      <c r="X625" s="2" t="s">
        <v>2785</v>
      </c>
      <c r="Y625" s="2" t="s">
        <v>904</v>
      </c>
      <c r="Z625" s="2">
        <v>9726</v>
      </c>
      <c r="AA625" s="3">
        <v>42801.340277777781</v>
      </c>
      <c r="AB625" s="2">
        <v>62637</v>
      </c>
      <c r="AC625" s="2">
        <v>403</v>
      </c>
      <c r="AD625" s="2">
        <v>19.5</v>
      </c>
      <c r="AE625" s="2">
        <v>0.15</v>
      </c>
      <c r="AF625" s="2" t="str" cm="1">
        <f t="array" ref="AF625">_xlfn.IFS(AE625=0, "No Discount ", AE625&lt;=0.08,"Low Discount", AE625&lt;=0.16,"Medium Discount", AE625&gt;0.16, "High Discount")</f>
        <v>Medium Discount</v>
      </c>
      <c r="AG625" s="2">
        <v>156598</v>
      </c>
      <c r="AH625" s="2">
        <v>129.99</v>
      </c>
      <c r="AI625" s="2">
        <v>0.12</v>
      </c>
      <c r="AJ625" s="2" t="str" cm="1">
        <f t="array" ref="AJ625">_xlfn.IFS(AI625&lt;=0, "No Profit", AI625&lt;=0.16,"Low Profit",AI625&lt;=0.32,"Medium Profit",AI625&gt;0.32,"High Profit")</f>
        <v>Low Profit</v>
      </c>
      <c r="AK625" s="2">
        <v>1</v>
      </c>
      <c r="AL625" s="2">
        <v>129.99</v>
      </c>
      <c r="AM625" s="2">
        <v>110.49</v>
      </c>
      <c r="AN625" s="2">
        <v>13.26</v>
      </c>
      <c r="AO625" s="2" t="s">
        <v>905</v>
      </c>
      <c r="AP625" s="2" t="s">
        <v>2786</v>
      </c>
      <c r="AQ625" s="2" t="s">
        <v>80</v>
      </c>
      <c r="AR625" s="2" t="s">
        <v>81</v>
      </c>
      <c r="AS625" s="2">
        <v>403</v>
      </c>
      <c r="AT625" s="2">
        <v>18</v>
      </c>
      <c r="AU625" s="2" t="s">
        <v>869</v>
      </c>
      <c r="AV625" s="2">
        <v>129.99</v>
      </c>
      <c r="AW625" s="2">
        <v>0</v>
      </c>
      <c r="AX625" s="3">
        <v>42893.340277777781</v>
      </c>
      <c r="AY625" s="2" t="s">
        <v>162</v>
      </c>
      <c r="AZ625" s="4">
        <v>42801</v>
      </c>
      <c r="BA625" s="5">
        <v>0.34027777777777779</v>
      </c>
      <c r="BB625" s="2">
        <v>2017</v>
      </c>
      <c r="BC625" s="2" t="s">
        <v>85</v>
      </c>
      <c r="BD625" s="2">
        <v>7</v>
      </c>
      <c r="BE625" s="4">
        <v>42893</v>
      </c>
      <c r="BF625" s="5">
        <v>0.34027777777777779</v>
      </c>
      <c r="BG625" s="2" t="str" cm="1">
        <f t="array" ref="BG625">_xlfn.IFS(BF625&lt;TIMEVALUE("06:00"),"Night", BF625&gt;=TIMEVALUE("21:00"),"Night",BF625&gt;=TIMEVALUE("17:00"),"Evening",BF625&gt;=TIMEVALUE("12:00"),"Afternoon", BF625&gt;=TIMEVALUE("06:00"),"Morning")</f>
        <v>Morning</v>
      </c>
      <c r="BH625" s="2">
        <v>2017</v>
      </c>
      <c r="BI625" s="2" t="s">
        <v>474</v>
      </c>
      <c r="BJ625" s="2">
        <v>7</v>
      </c>
    </row>
    <row r="626" spans="1:62" x14ac:dyDescent="0.3">
      <c r="A626" s="2" t="s">
        <v>62</v>
      </c>
      <c r="B626" s="2">
        <v>5</v>
      </c>
      <c r="C626" s="2">
        <v>2</v>
      </c>
      <c r="D626" s="2">
        <v>145.69999999999999</v>
      </c>
      <c r="E626" s="2">
        <v>303.54000000000002</v>
      </c>
      <c r="F626" s="2" t="s">
        <v>87</v>
      </c>
      <c r="G626" s="2" t="s">
        <v>88</v>
      </c>
      <c r="H626" s="2">
        <v>63</v>
      </c>
      <c r="I626" s="2" t="s">
        <v>2799</v>
      </c>
      <c r="J626" s="2" t="s">
        <v>66</v>
      </c>
      <c r="K626" s="2" t="s">
        <v>67</v>
      </c>
      <c r="L626" s="2" t="s">
        <v>2800</v>
      </c>
      <c r="M626" s="2">
        <v>13597</v>
      </c>
      <c r="N626" s="2" t="s">
        <v>2801</v>
      </c>
      <c r="O626" s="2" t="s">
        <v>70</v>
      </c>
      <c r="P626" s="2" t="s">
        <v>71</v>
      </c>
      <c r="Q626" s="2" t="s">
        <v>2802</v>
      </c>
      <c r="R626" s="2">
        <v>725</v>
      </c>
      <c r="S626" s="2">
        <v>4</v>
      </c>
      <c r="T626" s="2" t="s">
        <v>417</v>
      </c>
      <c r="U626" s="2">
        <v>18.2111874</v>
      </c>
      <c r="V626" s="2">
        <v>-66.037056000000007</v>
      </c>
      <c r="W626" s="2" t="s">
        <v>528</v>
      </c>
      <c r="X626" s="2" t="s">
        <v>2803</v>
      </c>
      <c r="Y626" s="2" t="s">
        <v>530</v>
      </c>
      <c r="Z626" s="2">
        <v>13597</v>
      </c>
      <c r="AA626" s="2" t="s">
        <v>2804</v>
      </c>
      <c r="AB626" s="2">
        <v>70044</v>
      </c>
      <c r="AC626" s="2">
        <v>1350</v>
      </c>
      <c r="AD626" s="2">
        <v>53.57</v>
      </c>
      <c r="AE626" s="2">
        <v>0.15</v>
      </c>
      <c r="AF626" s="2" t="str" cm="1">
        <f t="array" ref="AF626">_xlfn.IFS(AE626=0, "No Discount ", AE626&lt;=0.08,"Low Discount", AE626&lt;=0.16,"Medium Discount", AE626&gt;0.16, "High Discount")</f>
        <v>Medium Discount</v>
      </c>
      <c r="AG626" s="2">
        <v>173359</v>
      </c>
      <c r="AH626" s="2">
        <v>357.1</v>
      </c>
      <c r="AI626" s="2">
        <v>0.48</v>
      </c>
      <c r="AJ626" s="2" t="str" cm="1">
        <f t="array" ref="AJ626">_xlfn.IFS(AI626&lt;=0, "No Profit", AI626&lt;=0.16,"Low Profit",AI626&lt;=0.32,"Medium Profit",AI626&gt;0.32,"High Profit")</f>
        <v>High Profit</v>
      </c>
      <c r="AK626" s="2">
        <v>1</v>
      </c>
      <c r="AL626" s="2">
        <v>357.1</v>
      </c>
      <c r="AM626" s="2">
        <v>303.54000000000002</v>
      </c>
      <c r="AN626" s="2">
        <v>145.69999999999999</v>
      </c>
      <c r="AO626" s="2" t="s">
        <v>531</v>
      </c>
      <c r="AP626" s="2" t="s">
        <v>2805</v>
      </c>
      <c r="AQ626" s="2" t="s">
        <v>80</v>
      </c>
      <c r="AR626" s="2" t="s">
        <v>81</v>
      </c>
      <c r="AS626" s="2">
        <v>1350</v>
      </c>
      <c r="AT626" s="2">
        <v>63</v>
      </c>
      <c r="AU626" s="2" t="s">
        <v>2806</v>
      </c>
      <c r="AV626" s="2">
        <v>357.1</v>
      </c>
      <c r="AW626" s="2">
        <v>0</v>
      </c>
      <c r="AX626" s="2" t="s">
        <v>2807</v>
      </c>
      <c r="AY626" s="2" t="s">
        <v>162</v>
      </c>
      <c r="AZ626" s="4">
        <v>43027</v>
      </c>
      <c r="BA626" s="5">
        <v>0.46527777777777779</v>
      </c>
      <c r="BB626" s="2">
        <v>2017</v>
      </c>
      <c r="BC626" s="2" t="s">
        <v>434</v>
      </c>
      <c r="BD626" s="2">
        <v>19</v>
      </c>
      <c r="BE626" s="4">
        <v>43032</v>
      </c>
      <c r="BF626" s="5">
        <v>0.46527777777777779</v>
      </c>
      <c r="BG626" s="2" t="str" cm="1">
        <f t="array" ref="BG626">_xlfn.IFS(BF626&lt;TIMEVALUE("06:00"),"Night", BF626&gt;=TIMEVALUE("21:00"),"Night",BF626&gt;=TIMEVALUE("17:00"),"Evening",BF626&gt;=TIMEVALUE("12:00"),"Afternoon", BF626&gt;=TIMEVALUE("06:00"),"Morning")</f>
        <v>Morning</v>
      </c>
      <c r="BH626" s="2">
        <v>2017</v>
      </c>
      <c r="BI626" s="2" t="s">
        <v>434</v>
      </c>
      <c r="BJ626" s="2">
        <v>24</v>
      </c>
    </row>
    <row r="627" spans="1:62" x14ac:dyDescent="0.3">
      <c r="A627" s="2" t="s">
        <v>62</v>
      </c>
      <c r="B627" s="2">
        <v>4</v>
      </c>
      <c r="C627" s="2">
        <v>2</v>
      </c>
      <c r="D627" s="2">
        <v>37.35</v>
      </c>
      <c r="E627" s="2">
        <v>110.49</v>
      </c>
      <c r="F627" s="2" t="s">
        <v>87</v>
      </c>
      <c r="G627" s="2" t="s">
        <v>88</v>
      </c>
      <c r="H627" s="2">
        <v>18</v>
      </c>
      <c r="I627" s="2" t="s">
        <v>863</v>
      </c>
      <c r="J627" s="2" t="s">
        <v>66</v>
      </c>
      <c r="K627" s="2" t="s">
        <v>67</v>
      </c>
      <c r="L627" s="2" t="s">
        <v>414</v>
      </c>
      <c r="M627" s="2">
        <v>1566</v>
      </c>
      <c r="N627" s="2" t="s">
        <v>233</v>
      </c>
      <c r="O627" s="2" t="s">
        <v>70</v>
      </c>
      <c r="P627" s="2" t="s">
        <v>71</v>
      </c>
      <c r="Q627" s="2" t="s">
        <v>153</v>
      </c>
      <c r="R627" s="2">
        <v>725</v>
      </c>
      <c r="S627" s="2">
        <v>4</v>
      </c>
      <c r="T627" s="2" t="s">
        <v>417</v>
      </c>
      <c r="U627" s="2">
        <v>18.2709236</v>
      </c>
      <c r="V627" s="2">
        <v>-66.370605499999996</v>
      </c>
      <c r="W627" s="2" t="s">
        <v>528</v>
      </c>
      <c r="X627" s="2" t="s">
        <v>2576</v>
      </c>
      <c r="Y627" s="2" t="s">
        <v>549</v>
      </c>
      <c r="Z627" s="2">
        <v>1566</v>
      </c>
      <c r="AA627" s="2" t="s">
        <v>2577</v>
      </c>
      <c r="AB627" s="2">
        <v>67753</v>
      </c>
      <c r="AC627" s="2">
        <v>403</v>
      </c>
      <c r="AD627" s="2">
        <v>19.5</v>
      </c>
      <c r="AE627" s="2">
        <v>0.15</v>
      </c>
      <c r="AF627" s="2" t="str" cm="1">
        <f t="array" ref="AF627">_xlfn.IFS(AE627=0, "No Discount ", AE627&lt;=0.08,"Low Discount", AE627&lt;=0.16,"Medium Discount", AE627&gt;0.16, "High Discount")</f>
        <v>Medium Discount</v>
      </c>
      <c r="AG627" s="2">
        <v>169392</v>
      </c>
      <c r="AH627" s="2">
        <v>129.99</v>
      </c>
      <c r="AI627" s="2">
        <v>0.34</v>
      </c>
      <c r="AJ627" s="2" t="str" cm="1">
        <f t="array" ref="AJ627">_xlfn.IFS(AI627&lt;=0, "No Profit", AI627&lt;=0.16,"Low Profit",AI627&lt;=0.32,"Medium Profit",AI627&gt;0.32,"High Profit")</f>
        <v>High Profit</v>
      </c>
      <c r="AK627" s="2">
        <v>1</v>
      </c>
      <c r="AL627" s="2">
        <v>129.99</v>
      </c>
      <c r="AM627" s="2">
        <v>110.49</v>
      </c>
      <c r="AN627" s="2">
        <v>37.35</v>
      </c>
      <c r="AO627" s="2" t="s">
        <v>531</v>
      </c>
      <c r="AP627" s="2" t="s">
        <v>2578</v>
      </c>
      <c r="AQ627" s="2" t="s">
        <v>80</v>
      </c>
      <c r="AR627" s="2" t="s">
        <v>81</v>
      </c>
      <c r="AS627" s="2">
        <v>403</v>
      </c>
      <c r="AT627" s="2">
        <v>18</v>
      </c>
      <c r="AU627" s="2" t="s">
        <v>869</v>
      </c>
      <c r="AV627" s="2">
        <v>129.99</v>
      </c>
      <c r="AW627" s="2">
        <v>0</v>
      </c>
      <c r="AX627" s="2" t="s">
        <v>2580</v>
      </c>
      <c r="AY627" s="2" t="s">
        <v>162</v>
      </c>
      <c r="AZ627" s="4">
        <v>42994</v>
      </c>
      <c r="BA627" s="5">
        <v>2.2222222222222223E-2</v>
      </c>
      <c r="BB627" s="2">
        <v>2017</v>
      </c>
      <c r="BC627" s="2" t="s">
        <v>552</v>
      </c>
      <c r="BD627" s="2">
        <v>16</v>
      </c>
      <c r="BE627" s="4">
        <v>42998</v>
      </c>
      <c r="BF627" s="5">
        <v>2.2222222222222223E-2</v>
      </c>
      <c r="BG627" s="2" t="str" cm="1">
        <f t="array" ref="BG627">_xlfn.IFS(BF627&lt;TIMEVALUE("06:00"),"Night", BF627&gt;=TIMEVALUE("21:00"),"Night",BF627&gt;=TIMEVALUE("17:00"),"Evening",BF627&gt;=TIMEVALUE("12:00"),"Afternoon", BF627&gt;=TIMEVALUE("06:00"),"Morning")</f>
        <v>Night</v>
      </c>
      <c r="BH627" s="2">
        <v>2017</v>
      </c>
      <c r="BI627" s="2" t="s">
        <v>552</v>
      </c>
      <c r="BJ627" s="2">
        <v>20</v>
      </c>
    </row>
    <row r="628" spans="1:62" x14ac:dyDescent="0.3">
      <c r="A628" s="2" t="s">
        <v>62</v>
      </c>
      <c r="B628" s="2">
        <v>3</v>
      </c>
      <c r="C628" s="2">
        <v>2</v>
      </c>
      <c r="D628" s="2">
        <v>35.909999999999997</v>
      </c>
      <c r="E628" s="2">
        <v>110.49</v>
      </c>
      <c r="F628" s="2" t="s">
        <v>87</v>
      </c>
      <c r="G628" s="2" t="s">
        <v>88</v>
      </c>
      <c r="H628" s="2">
        <v>18</v>
      </c>
      <c r="I628" s="2" t="s">
        <v>863</v>
      </c>
      <c r="J628" s="2" t="s">
        <v>66</v>
      </c>
      <c r="K628" s="2" t="s">
        <v>67</v>
      </c>
      <c r="L628" s="2" t="s">
        <v>2808</v>
      </c>
      <c r="M628" s="2">
        <v>4047</v>
      </c>
      <c r="N628" s="2" t="s">
        <v>940</v>
      </c>
      <c r="O628" s="2" t="s">
        <v>70</v>
      </c>
      <c r="P628" s="2" t="s">
        <v>71</v>
      </c>
      <c r="Q628" s="2" t="s">
        <v>2809</v>
      </c>
      <c r="R628" s="2">
        <v>725</v>
      </c>
      <c r="S628" s="2">
        <v>4</v>
      </c>
      <c r="T628" s="2" t="s">
        <v>417</v>
      </c>
      <c r="U628" s="2">
        <v>18.246456200000001</v>
      </c>
      <c r="V628" s="2">
        <v>-66.370529199999993</v>
      </c>
      <c r="W628" s="2" t="s">
        <v>528</v>
      </c>
      <c r="X628" s="2" t="s">
        <v>1784</v>
      </c>
      <c r="Y628" s="2" t="s">
        <v>536</v>
      </c>
      <c r="Z628" s="2">
        <v>4047</v>
      </c>
      <c r="AA628" s="2" t="s">
        <v>2810</v>
      </c>
      <c r="AB628" s="2">
        <v>16617</v>
      </c>
      <c r="AC628" s="2">
        <v>403</v>
      </c>
      <c r="AD628" s="2">
        <v>19.5</v>
      </c>
      <c r="AE628" s="2">
        <v>0.15</v>
      </c>
      <c r="AF628" s="2" t="str" cm="1">
        <f t="array" ref="AF628">_xlfn.IFS(AE628=0, "No Discount ", AE628&lt;=0.08,"Low Discount", AE628&lt;=0.16,"Medium Discount", AE628&gt;0.16, "High Discount")</f>
        <v>Medium Discount</v>
      </c>
      <c r="AG628" s="2">
        <v>41532</v>
      </c>
      <c r="AH628" s="2">
        <v>129.99</v>
      </c>
      <c r="AI628" s="2">
        <v>0.33</v>
      </c>
      <c r="AJ628" s="2" t="str" cm="1">
        <f t="array" ref="AJ628">_xlfn.IFS(AI628&lt;=0, "No Profit", AI628&lt;=0.16,"Low Profit",AI628&lt;=0.32,"Medium Profit",AI628&gt;0.32,"High Profit")</f>
        <v>High Profit</v>
      </c>
      <c r="AK628" s="2">
        <v>1</v>
      </c>
      <c r="AL628" s="2">
        <v>129.99</v>
      </c>
      <c r="AM628" s="2">
        <v>110.49</v>
      </c>
      <c r="AN628" s="2">
        <v>35.909999999999997</v>
      </c>
      <c r="AO628" s="2" t="s">
        <v>531</v>
      </c>
      <c r="AP628" s="2" t="s">
        <v>538</v>
      </c>
      <c r="AQ628" s="2" t="s">
        <v>80</v>
      </c>
      <c r="AR628" s="2" t="s">
        <v>81</v>
      </c>
      <c r="AS628" s="2">
        <v>403</v>
      </c>
      <c r="AT628" s="2">
        <v>18</v>
      </c>
      <c r="AU628" s="2" t="s">
        <v>869</v>
      </c>
      <c r="AV628" s="2">
        <v>129.99</v>
      </c>
      <c r="AW628" s="2">
        <v>0</v>
      </c>
      <c r="AX628" s="3">
        <v>42072.554861111108</v>
      </c>
      <c r="AY628" s="2" t="s">
        <v>162</v>
      </c>
      <c r="AZ628" s="4">
        <v>42247</v>
      </c>
      <c r="BA628" s="5">
        <v>0.55486111111111114</v>
      </c>
      <c r="BB628" s="2">
        <v>2015</v>
      </c>
      <c r="BC628" s="2" t="s">
        <v>482</v>
      </c>
      <c r="BD628" s="2">
        <v>31</v>
      </c>
      <c r="BE628" s="4">
        <v>42072</v>
      </c>
      <c r="BF628" s="5">
        <v>0.55486111111111114</v>
      </c>
      <c r="BG628" s="2" t="str" cm="1">
        <f t="array" ref="BG628">_xlfn.IFS(BF628&lt;TIMEVALUE("06:00"),"Night", BF628&gt;=TIMEVALUE("21:00"),"Night",BF628&gt;=TIMEVALUE("17:00"),"Evening",BF628&gt;=TIMEVALUE("12:00"),"Afternoon", BF628&gt;=TIMEVALUE("06:00"),"Morning")</f>
        <v>Afternoon</v>
      </c>
      <c r="BH628" s="2">
        <v>2015</v>
      </c>
      <c r="BI628" s="2" t="s">
        <v>85</v>
      </c>
      <c r="BJ628" s="2">
        <v>9</v>
      </c>
    </row>
    <row r="629" spans="1:62" x14ac:dyDescent="0.3">
      <c r="A629" s="2" t="s">
        <v>62</v>
      </c>
      <c r="B629" s="2">
        <v>5</v>
      </c>
      <c r="C629" s="2">
        <v>2</v>
      </c>
      <c r="D629" s="2">
        <v>50.83</v>
      </c>
      <c r="E629" s="2">
        <v>110.49</v>
      </c>
      <c r="F629" s="2" t="s">
        <v>87</v>
      </c>
      <c r="G629" s="2" t="s">
        <v>88</v>
      </c>
      <c r="H629" s="2">
        <v>18</v>
      </c>
      <c r="I629" s="2" t="s">
        <v>863</v>
      </c>
      <c r="J629" s="2" t="s">
        <v>66</v>
      </c>
      <c r="K629" s="2" t="s">
        <v>67</v>
      </c>
      <c r="L629" s="2" t="s">
        <v>1913</v>
      </c>
      <c r="M629" s="2">
        <v>6594</v>
      </c>
      <c r="N629" s="2" t="s">
        <v>545</v>
      </c>
      <c r="O629" s="2" t="s">
        <v>70</v>
      </c>
      <c r="P629" s="2" t="s">
        <v>71</v>
      </c>
      <c r="Q629" s="2" t="s">
        <v>2811</v>
      </c>
      <c r="R629" s="2">
        <v>725</v>
      </c>
      <c r="S629" s="2">
        <v>4</v>
      </c>
      <c r="T629" s="2" t="s">
        <v>417</v>
      </c>
      <c r="U629" s="2">
        <v>18.2572823</v>
      </c>
      <c r="V629" s="2">
        <v>-66.3705444</v>
      </c>
      <c r="W629" s="2" t="s">
        <v>528</v>
      </c>
      <c r="X629" s="2" t="s">
        <v>529</v>
      </c>
      <c r="Y629" s="2" t="s">
        <v>530</v>
      </c>
      <c r="Z629" s="2">
        <v>6594</v>
      </c>
      <c r="AA629" s="3">
        <v>42012.731944444444</v>
      </c>
      <c r="AB629" s="2">
        <v>14574</v>
      </c>
      <c r="AC629" s="2">
        <v>403</v>
      </c>
      <c r="AD629" s="2">
        <v>19.5</v>
      </c>
      <c r="AE629" s="2">
        <v>0.15</v>
      </c>
      <c r="AF629" s="2" t="str" cm="1">
        <f t="array" ref="AF629">_xlfn.IFS(AE629=0, "No Discount ", AE629&lt;=0.08,"Low Discount", AE629&lt;=0.16,"Medium Discount", AE629&gt;0.16, "High Discount")</f>
        <v>Medium Discount</v>
      </c>
      <c r="AG629" s="2">
        <v>36449</v>
      </c>
      <c r="AH629" s="2">
        <v>129.99</v>
      </c>
      <c r="AI629" s="2">
        <v>0.46</v>
      </c>
      <c r="AJ629" s="2" t="str" cm="1">
        <f t="array" ref="AJ629">_xlfn.IFS(AI629&lt;=0, "No Profit", AI629&lt;=0.16,"Low Profit",AI629&lt;=0.32,"Medium Profit",AI629&gt;0.32,"High Profit")</f>
        <v>High Profit</v>
      </c>
      <c r="AK629" s="2">
        <v>1</v>
      </c>
      <c r="AL629" s="2">
        <v>129.99</v>
      </c>
      <c r="AM629" s="2">
        <v>110.49</v>
      </c>
      <c r="AN629" s="2">
        <v>50.83</v>
      </c>
      <c r="AO629" s="2" t="s">
        <v>531</v>
      </c>
      <c r="AP629" s="2" t="s">
        <v>532</v>
      </c>
      <c r="AQ629" s="2" t="s">
        <v>80</v>
      </c>
      <c r="AR629" s="2" t="s">
        <v>81</v>
      </c>
      <c r="AS629" s="2">
        <v>403</v>
      </c>
      <c r="AT629" s="2">
        <v>18</v>
      </c>
      <c r="AU629" s="2" t="s">
        <v>869</v>
      </c>
      <c r="AV629" s="2">
        <v>129.99</v>
      </c>
      <c r="AW629" s="2">
        <v>0</v>
      </c>
      <c r="AX629" s="3">
        <v>42163.731944444444</v>
      </c>
      <c r="AY629" s="2" t="s">
        <v>162</v>
      </c>
      <c r="AZ629" s="4">
        <v>42012</v>
      </c>
      <c r="BA629" s="5">
        <v>0.7319444444444444</v>
      </c>
      <c r="BB629" s="2">
        <v>2015</v>
      </c>
      <c r="BC629" s="2" t="s">
        <v>84</v>
      </c>
      <c r="BD629" s="2">
        <v>8</v>
      </c>
      <c r="BE629" s="4">
        <v>42163</v>
      </c>
      <c r="BF629" s="5">
        <v>0.7319444444444444</v>
      </c>
      <c r="BG629" s="2" t="str" cm="1">
        <f t="array" ref="BG629">_xlfn.IFS(BF629&lt;TIMEVALUE("06:00"),"Night", BF629&gt;=TIMEVALUE("21:00"),"Night",BF629&gt;=TIMEVALUE("17:00"),"Evening",BF629&gt;=TIMEVALUE("12:00"),"Afternoon", BF629&gt;=TIMEVALUE("06:00"),"Morning")</f>
        <v>Evening</v>
      </c>
      <c r="BH629" s="2">
        <v>2015</v>
      </c>
      <c r="BI629" s="2" t="s">
        <v>474</v>
      </c>
      <c r="BJ629" s="2">
        <v>8</v>
      </c>
    </row>
    <row r="630" spans="1:62" x14ac:dyDescent="0.3">
      <c r="A630" s="2" t="s">
        <v>62</v>
      </c>
      <c r="B630" s="2">
        <v>4</v>
      </c>
      <c r="C630" s="2">
        <v>2</v>
      </c>
      <c r="D630" s="2">
        <v>30.94</v>
      </c>
      <c r="E630" s="2">
        <v>110.49</v>
      </c>
      <c r="F630" s="2" t="s">
        <v>87</v>
      </c>
      <c r="G630" s="2" t="s">
        <v>88</v>
      </c>
      <c r="H630" s="2">
        <v>18</v>
      </c>
      <c r="I630" s="2" t="s">
        <v>863</v>
      </c>
      <c r="J630" s="2" t="s">
        <v>66</v>
      </c>
      <c r="K630" s="2" t="s">
        <v>67</v>
      </c>
      <c r="L630" s="2" t="s">
        <v>414</v>
      </c>
      <c r="M630" s="2">
        <v>3940</v>
      </c>
      <c r="N630" s="2" t="s">
        <v>425</v>
      </c>
      <c r="O630" s="2" t="s">
        <v>70</v>
      </c>
      <c r="P630" s="2" t="s">
        <v>71</v>
      </c>
      <c r="Q630" s="2" t="s">
        <v>2736</v>
      </c>
      <c r="R630" s="2">
        <v>725</v>
      </c>
      <c r="S630" s="2">
        <v>4</v>
      </c>
      <c r="T630" s="2" t="s">
        <v>417</v>
      </c>
      <c r="U630" s="2">
        <v>18.2191887</v>
      </c>
      <c r="V630" s="2">
        <v>-66.370590199999995</v>
      </c>
      <c r="W630" s="2" t="s">
        <v>528</v>
      </c>
      <c r="X630" s="2" t="s">
        <v>2737</v>
      </c>
      <c r="Y630" s="2" t="s">
        <v>536</v>
      </c>
      <c r="Z630" s="2">
        <v>3940</v>
      </c>
      <c r="AA630" s="3">
        <v>42131.34652777778</v>
      </c>
      <c r="AB630" s="2">
        <v>12698</v>
      </c>
      <c r="AC630" s="2">
        <v>403</v>
      </c>
      <c r="AD630" s="2">
        <v>19.5</v>
      </c>
      <c r="AE630" s="2">
        <v>0.15</v>
      </c>
      <c r="AF630" s="2" t="str" cm="1">
        <f t="array" ref="AF630">_xlfn.IFS(AE630=0, "No Discount ", AE630&lt;=0.08,"Low Discount", AE630&lt;=0.16,"Medium Discount", AE630&gt;0.16, "High Discount")</f>
        <v>Medium Discount</v>
      </c>
      <c r="AG630" s="2">
        <v>31770</v>
      </c>
      <c r="AH630" s="2">
        <v>129.99</v>
      </c>
      <c r="AI630" s="2">
        <v>0.28000000000000003</v>
      </c>
      <c r="AJ630" s="2" t="str" cm="1">
        <f t="array" ref="AJ630">_xlfn.IFS(AI630&lt;=0, "No Profit", AI630&lt;=0.16,"Low Profit",AI630&lt;=0.32,"Medium Profit",AI630&gt;0.32,"High Profit")</f>
        <v>Medium Profit</v>
      </c>
      <c r="AK630" s="2">
        <v>1</v>
      </c>
      <c r="AL630" s="2">
        <v>129.99</v>
      </c>
      <c r="AM630" s="2">
        <v>110.49</v>
      </c>
      <c r="AN630" s="2">
        <v>30.94</v>
      </c>
      <c r="AO630" s="2" t="s">
        <v>531</v>
      </c>
      <c r="AP630" s="2" t="s">
        <v>1000</v>
      </c>
      <c r="AQ630" s="2" t="s">
        <v>80</v>
      </c>
      <c r="AR630" s="2" t="s">
        <v>81</v>
      </c>
      <c r="AS630" s="2">
        <v>403</v>
      </c>
      <c r="AT630" s="2">
        <v>18</v>
      </c>
      <c r="AU630" s="2" t="s">
        <v>869</v>
      </c>
      <c r="AV630" s="2">
        <v>129.99</v>
      </c>
      <c r="AW630" s="2">
        <v>0</v>
      </c>
      <c r="AX630" s="3">
        <v>42254.34652777778</v>
      </c>
      <c r="AY630" s="2" t="s">
        <v>162</v>
      </c>
      <c r="AZ630" s="4">
        <v>42131</v>
      </c>
      <c r="BA630" s="5">
        <v>0.34652777777777777</v>
      </c>
      <c r="BB630" s="2">
        <v>2015</v>
      </c>
      <c r="BC630" s="2" t="s">
        <v>443</v>
      </c>
      <c r="BD630" s="2">
        <v>7</v>
      </c>
      <c r="BE630" s="4">
        <v>42254</v>
      </c>
      <c r="BF630" s="5">
        <v>0.34652777777777777</v>
      </c>
      <c r="BG630" s="2" t="str" cm="1">
        <f t="array" ref="BG630">_xlfn.IFS(BF630&lt;TIMEVALUE("06:00"),"Night", BF630&gt;=TIMEVALUE("21:00"),"Night",BF630&gt;=TIMEVALUE("17:00"),"Evening",BF630&gt;=TIMEVALUE("12:00"),"Afternoon", BF630&gt;=TIMEVALUE("06:00"),"Morning")</f>
        <v>Morning</v>
      </c>
      <c r="BH630" s="2">
        <v>2015</v>
      </c>
      <c r="BI630" s="2" t="s">
        <v>552</v>
      </c>
      <c r="BJ630" s="2">
        <v>7</v>
      </c>
    </row>
    <row r="631" spans="1:62" x14ac:dyDescent="0.3">
      <c r="A631" s="2" t="s">
        <v>62</v>
      </c>
      <c r="B631" s="2">
        <v>5</v>
      </c>
      <c r="C631" s="2">
        <v>2</v>
      </c>
      <c r="D631" s="2">
        <v>34.18</v>
      </c>
      <c r="E631" s="2">
        <v>109.19</v>
      </c>
      <c r="F631" s="2" t="s">
        <v>87</v>
      </c>
      <c r="G631" s="2" t="s">
        <v>88</v>
      </c>
      <c r="H631" s="2">
        <v>18</v>
      </c>
      <c r="I631" s="2" t="s">
        <v>863</v>
      </c>
      <c r="J631" s="2" t="s">
        <v>66</v>
      </c>
      <c r="K631" s="2" t="s">
        <v>67</v>
      </c>
      <c r="L631" s="2" t="s">
        <v>414</v>
      </c>
      <c r="M631" s="2">
        <v>1186</v>
      </c>
      <c r="N631" s="2" t="s">
        <v>2812</v>
      </c>
      <c r="O631" s="2" t="s">
        <v>70</v>
      </c>
      <c r="P631" s="2" t="s">
        <v>71</v>
      </c>
      <c r="Q631" s="2" t="s">
        <v>2813</v>
      </c>
      <c r="R631" s="2">
        <v>725</v>
      </c>
      <c r="S631" s="2">
        <v>4</v>
      </c>
      <c r="T631" s="2" t="s">
        <v>417</v>
      </c>
      <c r="U631" s="2">
        <v>18.206165299999999</v>
      </c>
      <c r="V631" s="2">
        <v>-66.370536799999996</v>
      </c>
      <c r="W631" s="2" t="s">
        <v>528</v>
      </c>
      <c r="X631" s="2" t="s">
        <v>2814</v>
      </c>
      <c r="Y631" s="2" t="s">
        <v>557</v>
      </c>
      <c r="Z631" s="2">
        <v>1186</v>
      </c>
      <c r="AA631" s="2" t="s">
        <v>2815</v>
      </c>
      <c r="AB631" s="2">
        <v>15599</v>
      </c>
      <c r="AC631" s="2">
        <v>403</v>
      </c>
      <c r="AD631" s="2">
        <v>20.8</v>
      </c>
      <c r="AE631" s="2">
        <v>0.16</v>
      </c>
      <c r="AF631" s="2" t="str" cm="1">
        <f t="array" ref="AF631">_xlfn.IFS(AE631=0, "No Discount ", AE631&lt;=0.08,"Low Discount", AE631&lt;=0.16,"Medium Discount", AE631&gt;0.16, "High Discount")</f>
        <v>Medium Discount</v>
      </c>
      <c r="AG631" s="2">
        <v>39000</v>
      </c>
      <c r="AH631" s="2">
        <v>129.99</v>
      </c>
      <c r="AI631" s="2">
        <v>0.31</v>
      </c>
      <c r="AJ631" s="2" t="str" cm="1">
        <f t="array" ref="AJ631">_xlfn.IFS(AI631&lt;=0, "No Profit", AI631&lt;=0.16,"Low Profit",AI631&lt;=0.32,"Medium Profit",AI631&gt;0.32,"High Profit")</f>
        <v>Medium Profit</v>
      </c>
      <c r="AK631" s="2">
        <v>1</v>
      </c>
      <c r="AL631" s="2">
        <v>129.99</v>
      </c>
      <c r="AM631" s="2">
        <v>109.19</v>
      </c>
      <c r="AN631" s="2">
        <v>34.18</v>
      </c>
      <c r="AO631" s="2" t="s">
        <v>558</v>
      </c>
      <c r="AP631" s="2" t="s">
        <v>559</v>
      </c>
      <c r="AQ631" s="2" t="s">
        <v>80</v>
      </c>
      <c r="AR631" s="2" t="s">
        <v>81</v>
      </c>
      <c r="AS631" s="2">
        <v>403</v>
      </c>
      <c r="AT631" s="2">
        <v>18</v>
      </c>
      <c r="AU631" s="2" t="s">
        <v>869</v>
      </c>
      <c r="AV631" s="2">
        <v>129.99</v>
      </c>
      <c r="AW631" s="2">
        <v>0</v>
      </c>
      <c r="AX631" s="2" t="s">
        <v>2816</v>
      </c>
      <c r="AY631" s="2" t="s">
        <v>162</v>
      </c>
      <c r="AZ631" s="4">
        <v>42232</v>
      </c>
      <c r="BA631" s="5">
        <v>0.69444444444444442</v>
      </c>
      <c r="BB631" s="2">
        <v>2015</v>
      </c>
      <c r="BC631" s="2" t="s">
        <v>482</v>
      </c>
      <c r="BD631" s="2">
        <v>16</v>
      </c>
      <c r="BE631" s="4">
        <v>42237</v>
      </c>
      <c r="BF631" s="5">
        <v>0.69444444444444442</v>
      </c>
      <c r="BG631" s="2" t="str" cm="1">
        <f t="array" ref="BG631">_xlfn.IFS(BF631&lt;TIMEVALUE("06:00"),"Night", BF631&gt;=TIMEVALUE("21:00"),"Night",BF631&gt;=TIMEVALUE("17:00"),"Evening",BF631&gt;=TIMEVALUE("12:00"),"Afternoon", BF631&gt;=TIMEVALUE("06:00"),"Morning")</f>
        <v>Afternoon</v>
      </c>
      <c r="BH631" s="2">
        <v>2015</v>
      </c>
      <c r="BI631" s="2" t="s">
        <v>482</v>
      </c>
      <c r="BJ631" s="2">
        <v>21</v>
      </c>
    </row>
    <row r="632" spans="1:62" x14ac:dyDescent="0.3">
      <c r="A632" s="2" t="s">
        <v>62</v>
      </c>
      <c r="B632" s="2">
        <v>4</v>
      </c>
      <c r="C632" s="2">
        <v>2</v>
      </c>
      <c r="D632" s="2">
        <v>49.14</v>
      </c>
      <c r="E632" s="2">
        <v>109.19</v>
      </c>
      <c r="F632" s="2" t="s">
        <v>87</v>
      </c>
      <c r="G632" s="2" t="s">
        <v>88</v>
      </c>
      <c r="H632" s="2">
        <v>18</v>
      </c>
      <c r="I632" s="2" t="s">
        <v>863</v>
      </c>
      <c r="J632" s="2" t="s">
        <v>66</v>
      </c>
      <c r="K632" s="2" t="s">
        <v>67</v>
      </c>
      <c r="L632" s="2" t="s">
        <v>2774</v>
      </c>
      <c r="M632" s="2">
        <v>9726</v>
      </c>
      <c r="N632" s="2" t="s">
        <v>425</v>
      </c>
      <c r="O632" s="2" t="s">
        <v>70</v>
      </c>
      <c r="P632" s="2" t="s">
        <v>71</v>
      </c>
      <c r="Q632" s="2" t="s">
        <v>2775</v>
      </c>
      <c r="R632" s="2">
        <v>725</v>
      </c>
      <c r="S632" s="2">
        <v>4</v>
      </c>
      <c r="T632" s="2" t="s">
        <v>417</v>
      </c>
      <c r="U632" s="2">
        <v>18.241626700000001</v>
      </c>
      <c r="V632" s="2">
        <v>-66.3705444</v>
      </c>
      <c r="W632" s="2" t="s">
        <v>528</v>
      </c>
      <c r="X632" s="2" t="s">
        <v>946</v>
      </c>
      <c r="Y632" s="2" t="s">
        <v>557</v>
      </c>
      <c r="Z632" s="2">
        <v>9726</v>
      </c>
      <c r="AA632" s="2" t="s">
        <v>2776</v>
      </c>
      <c r="AB632" s="2">
        <v>13343</v>
      </c>
      <c r="AC632" s="2">
        <v>403</v>
      </c>
      <c r="AD632" s="2">
        <v>20.8</v>
      </c>
      <c r="AE632" s="2">
        <v>0.16</v>
      </c>
      <c r="AF632" s="2" t="str" cm="1">
        <f t="array" ref="AF632">_xlfn.IFS(AE632=0, "No Discount ", AE632&lt;=0.08,"Low Discount", AE632&lt;=0.16,"Medium Discount", AE632&gt;0.16, "High Discount")</f>
        <v>Medium Discount</v>
      </c>
      <c r="AG632" s="2">
        <v>33407</v>
      </c>
      <c r="AH632" s="2">
        <v>129.99</v>
      </c>
      <c r="AI632" s="2">
        <v>0.45</v>
      </c>
      <c r="AJ632" s="2" t="str" cm="1">
        <f t="array" ref="AJ632">_xlfn.IFS(AI632&lt;=0, "No Profit", AI632&lt;=0.16,"Low Profit",AI632&lt;=0.32,"Medium Profit",AI632&gt;0.32,"High Profit")</f>
        <v>High Profit</v>
      </c>
      <c r="AK632" s="2">
        <v>1</v>
      </c>
      <c r="AL632" s="2">
        <v>129.99</v>
      </c>
      <c r="AM632" s="2">
        <v>109.19</v>
      </c>
      <c r="AN632" s="2">
        <v>49.14</v>
      </c>
      <c r="AO632" s="2" t="s">
        <v>558</v>
      </c>
      <c r="AP632" s="2" t="s">
        <v>559</v>
      </c>
      <c r="AQ632" s="2" t="s">
        <v>80</v>
      </c>
      <c r="AR632" s="2" t="s">
        <v>81</v>
      </c>
      <c r="AS632" s="2">
        <v>403</v>
      </c>
      <c r="AT632" s="2">
        <v>18</v>
      </c>
      <c r="AU632" s="2" t="s">
        <v>869</v>
      </c>
      <c r="AV632" s="2">
        <v>129.99</v>
      </c>
      <c r="AW632" s="2">
        <v>0</v>
      </c>
      <c r="AX632" s="2" t="s">
        <v>2777</v>
      </c>
      <c r="AY632" s="2" t="s">
        <v>162</v>
      </c>
      <c r="AZ632" s="4">
        <v>42199</v>
      </c>
      <c r="BA632" s="5">
        <v>0.76180555555555551</v>
      </c>
      <c r="BB632" s="2">
        <v>2015</v>
      </c>
      <c r="BC632" s="2" t="s">
        <v>533</v>
      </c>
      <c r="BD632" s="2">
        <v>14</v>
      </c>
      <c r="BE632" s="4">
        <v>42203</v>
      </c>
      <c r="BF632" s="5">
        <v>0.76180555555555551</v>
      </c>
      <c r="BG632" s="2" t="str" cm="1">
        <f t="array" ref="BG632">_xlfn.IFS(BF632&lt;TIMEVALUE("06:00"),"Night", BF632&gt;=TIMEVALUE("21:00"),"Night",BF632&gt;=TIMEVALUE("17:00"),"Evening",BF632&gt;=TIMEVALUE("12:00"),"Afternoon", BF632&gt;=TIMEVALUE("06:00"),"Morning")</f>
        <v>Evening</v>
      </c>
      <c r="BH632" s="2">
        <v>2015</v>
      </c>
      <c r="BI632" s="2" t="s">
        <v>533</v>
      </c>
      <c r="BJ632" s="2">
        <v>18</v>
      </c>
    </row>
    <row r="633" spans="1:62" x14ac:dyDescent="0.3">
      <c r="A633" s="2" t="s">
        <v>62</v>
      </c>
      <c r="B633" s="2">
        <v>3</v>
      </c>
      <c r="C633" s="2">
        <v>2</v>
      </c>
      <c r="D633" s="2">
        <v>29.48</v>
      </c>
      <c r="E633" s="2">
        <v>109.19</v>
      </c>
      <c r="F633" s="2" t="s">
        <v>87</v>
      </c>
      <c r="G633" s="2" t="s">
        <v>88</v>
      </c>
      <c r="H633" s="2">
        <v>18</v>
      </c>
      <c r="I633" s="2" t="s">
        <v>863</v>
      </c>
      <c r="J633" s="2" t="s">
        <v>66</v>
      </c>
      <c r="K633" s="2" t="s">
        <v>67</v>
      </c>
      <c r="L633" s="2" t="s">
        <v>891</v>
      </c>
      <c r="M633" s="2">
        <v>4279</v>
      </c>
      <c r="N633" s="2" t="s">
        <v>619</v>
      </c>
      <c r="O633" s="2" t="s">
        <v>70</v>
      </c>
      <c r="P633" s="2" t="s">
        <v>71</v>
      </c>
      <c r="Q633" s="2" t="s">
        <v>2817</v>
      </c>
      <c r="R633" s="2">
        <v>725</v>
      </c>
      <c r="S633" s="2">
        <v>4</v>
      </c>
      <c r="T633" s="2" t="s">
        <v>417</v>
      </c>
      <c r="U633" s="2">
        <v>18.295642900000001</v>
      </c>
      <c r="V633" s="2">
        <v>-66.3705444</v>
      </c>
      <c r="W633" s="2" t="s">
        <v>528</v>
      </c>
      <c r="X633" s="2" t="s">
        <v>1167</v>
      </c>
      <c r="Y633" s="2" t="s">
        <v>904</v>
      </c>
      <c r="Z633" s="2">
        <v>4279</v>
      </c>
      <c r="AA633" s="2" t="s">
        <v>2818</v>
      </c>
      <c r="AB633" s="2">
        <v>20072</v>
      </c>
      <c r="AC633" s="2">
        <v>403</v>
      </c>
      <c r="AD633" s="2">
        <v>20.8</v>
      </c>
      <c r="AE633" s="2">
        <v>0.16</v>
      </c>
      <c r="AF633" s="2" t="str" cm="1">
        <f t="array" ref="AF633">_xlfn.IFS(AE633=0, "No Discount ", AE633&lt;=0.08,"Low Discount", AE633&lt;=0.16,"Medium Discount", AE633&gt;0.16, "High Discount")</f>
        <v>Medium Discount</v>
      </c>
      <c r="AG633" s="2">
        <v>50172</v>
      </c>
      <c r="AH633" s="2">
        <v>129.99</v>
      </c>
      <c r="AI633" s="2">
        <v>0.27</v>
      </c>
      <c r="AJ633" s="2" t="str" cm="1">
        <f t="array" ref="AJ633">_xlfn.IFS(AI633&lt;=0, "No Profit", AI633&lt;=0.16,"Low Profit",AI633&lt;=0.32,"Medium Profit",AI633&gt;0.32,"High Profit")</f>
        <v>Medium Profit</v>
      </c>
      <c r="AK633" s="2">
        <v>1</v>
      </c>
      <c r="AL633" s="2">
        <v>129.99</v>
      </c>
      <c r="AM633" s="2">
        <v>109.19</v>
      </c>
      <c r="AN633" s="2">
        <v>29.48</v>
      </c>
      <c r="AO633" s="2" t="s">
        <v>905</v>
      </c>
      <c r="AP633" s="2" t="s">
        <v>2596</v>
      </c>
      <c r="AQ633" s="2" t="s">
        <v>80</v>
      </c>
      <c r="AR633" s="2" t="s">
        <v>81</v>
      </c>
      <c r="AS633" s="2">
        <v>403</v>
      </c>
      <c r="AT633" s="2">
        <v>18</v>
      </c>
      <c r="AU633" s="2" t="s">
        <v>869</v>
      </c>
      <c r="AV633" s="2">
        <v>129.99</v>
      </c>
      <c r="AW633" s="2">
        <v>0</v>
      </c>
      <c r="AX633" s="2" t="s">
        <v>2819</v>
      </c>
      <c r="AY633" s="2" t="s">
        <v>162</v>
      </c>
      <c r="AZ633" s="4">
        <v>42297</v>
      </c>
      <c r="BA633" s="5">
        <v>0.98958333333333337</v>
      </c>
      <c r="BB633" s="2">
        <v>2015</v>
      </c>
      <c r="BC633" s="2" t="s">
        <v>434</v>
      </c>
      <c r="BD633" s="2">
        <v>20</v>
      </c>
      <c r="BE633" s="4">
        <v>42300</v>
      </c>
      <c r="BF633" s="5">
        <v>0.98958333333333337</v>
      </c>
      <c r="BG633" s="2" t="str" cm="1">
        <f t="array" ref="BG633">_xlfn.IFS(BF633&lt;TIMEVALUE("06:00"),"Night", BF633&gt;=TIMEVALUE("21:00"),"Night",BF633&gt;=TIMEVALUE("17:00"),"Evening",BF633&gt;=TIMEVALUE("12:00"),"Afternoon", BF633&gt;=TIMEVALUE("06:00"),"Morning")</f>
        <v>Night</v>
      </c>
      <c r="BH633" s="2">
        <v>2015</v>
      </c>
      <c r="BI633" s="2" t="s">
        <v>434</v>
      </c>
      <c r="BJ633" s="2">
        <v>23</v>
      </c>
    </row>
    <row r="634" spans="1:62" x14ac:dyDescent="0.3">
      <c r="A634" s="2" t="s">
        <v>62</v>
      </c>
      <c r="B634" s="2">
        <v>4</v>
      </c>
      <c r="C634" s="2">
        <v>2</v>
      </c>
      <c r="D634" s="2">
        <v>13.61</v>
      </c>
      <c r="E634" s="2">
        <v>50.39</v>
      </c>
      <c r="F634" s="2" t="s">
        <v>87</v>
      </c>
      <c r="G634" s="2" t="s">
        <v>88</v>
      </c>
      <c r="H634" s="2">
        <v>17</v>
      </c>
      <c r="I634" s="2" t="s">
        <v>412</v>
      </c>
      <c r="J634" s="2" t="s">
        <v>66</v>
      </c>
      <c r="K634" s="2" t="s">
        <v>67</v>
      </c>
      <c r="L634" s="2" t="s">
        <v>414</v>
      </c>
      <c r="M634" s="2">
        <v>4151</v>
      </c>
      <c r="N634" s="2" t="s">
        <v>425</v>
      </c>
      <c r="O634" s="2" t="s">
        <v>70</v>
      </c>
      <c r="P634" s="2" t="s">
        <v>71</v>
      </c>
      <c r="Q634" s="2" t="s">
        <v>2820</v>
      </c>
      <c r="R634" s="2">
        <v>725</v>
      </c>
      <c r="S634" s="2">
        <v>4</v>
      </c>
      <c r="T634" s="2" t="s">
        <v>417</v>
      </c>
      <c r="U634" s="2">
        <v>18.2351952</v>
      </c>
      <c r="V634" s="2">
        <v>-66.370620700000003</v>
      </c>
      <c r="W634" s="2" t="s">
        <v>528</v>
      </c>
      <c r="X634" s="2" t="s">
        <v>2821</v>
      </c>
      <c r="Y634" s="2" t="s">
        <v>530</v>
      </c>
      <c r="Z634" s="2">
        <v>4151</v>
      </c>
      <c r="AA634" s="2" t="s">
        <v>2822</v>
      </c>
      <c r="AB634" s="2">
        <v>12323</v>
      </c>
      <c r="AC634" s="2">
        <v>365</v>
      </c>
      <c r="AD634" s="2">
        <v>9.6</v>
      </c>
      <c r="AE634" s="2">
        <v>0.16</v>
      </c>
      <c r="AF634" s="2" t="str" cm="1">
        <f t="array" ref="AF634">_xlfn.IFS(AE634=0, "No Discount ", AE634&lt;=0.08,"Low Discount", AE634&lt;=0.16,"Medium Discount", AE634&gt;0.16, "High Discount")</f>
        <v>Medium Discount</v>
      </c>
      <c r="AG634" s="2">
        <v>30793</v>
      </c>
      <c r="AH634" s="2">
        <v>59.99</v>
      </c>
      <c r="AI634" s="2">
        <v>0.27</v>
      </c>
      <c r="AJ634" s="2" t="str" cm="1">
        <f t="array" ref="AJ634">_xlfn.IFS(AI634&lt;=0, "No Profit", AI634&lt;=0.16,"Low Profit",AI634&lt;=0.32,"Medium Profit",AI634&gt;0.32,"High Profit")</f>
        <v>Medium Profit</v>
      </c>
      <c r="AK634" s="2">
        <v>1</v>
      </c>
      <c r="AL634" s="2">
        <v>59.99</v>
      </c>
      <c r="AM634" s="2">
        <v>50.39</v>
      </c>
      <c r="AN634" s="2">
        <v>13.61</v>
      </c>
      <c r="AO634" s="2" t="s">
        <v>531</v>
      </c>
      <c r="AP634" s="2" t="s">
        <v>914</v>
      </c>
      <c r="AQ634" s="2" t="s">
        <v>80</v>
      </c>
      <c r="AR634" s="2" t="s">
        <v>81</v>
      </c>
      <c r="AS634" s="2">
        <v>365</v>
      </c>
      <c r="AT634" s="2">
        <v>17</v>
      </c>
      <c r="AU634" s="2" t="s">
        <v>421</v>
      </c>
      <c r="AV634" s="2">
        <v>59.99</v>
      </c>
      <c r="AW634" s="2">
        <v>0</v>
      </c>
      <c r="AX634" s="3">
        <v>42070.87222222222</v>
      </c>
      <c r="AY634" s="2" t="s">
        <v>162</v>
      </c>
      <c r="AZ634" s="4">
        <v>42184</v>
      </c>
      <c r="BA634" s="5">
        <v>0.87222222222222223</v>
      </c>
      <c r="BB634" s="2">
        <v>2015</v>
      </c>
      <c r="BC634" s="2" t="s">
        <v>474</v>
      </c>
      <c r="BD634" s="2">
        <v>29</v>
      </c>
      <c r="BE634" s="4">
        <v>42070</v>
      </c>
      <c r="BF634" s="5">
        <v>0.87222222222222223</v>
      </c>
      <c r="BG634" s="2" t="str" cm="1">
        <f t="array" ref="BG634">_xlfn.IFS(BF634&lt;TIMEVALUE("06:00"),"Night", BF634&gt;=TIMEVALUE("21:00"),"Night",BF634&gt;=TIMEVALUE("17:00"),"Evening",BF634&gt;=TIMEVALUE("12:00"),"Afternoon", BF634&gt;=TIMEVALUE("06:00"),"Morning")</f>
        <v>Evening</v>
      </c>
      <c r="BH634" s="2">
        <v>2015</v>
      </c>
      <c r="BI634" s="2" t="s">
        <v>85</v>
      </c>
      <c r="BJ634" s="2">
        <v>7</v>
      </c>
    </row>
    <row r="635" spans="1:62" x14ac:dyDescent="0.3">
      <c r="A635" s="2" t="s">
        <v>62</v>
      </c>
      <c r="B635" s="2">
        <v>6</v>
      </c>
      <c r="C635" s="2">
        <v>2</v>
      </c>
      <c r="D635" s="2">
        <v>145.37</v>
      </c>
      <c r="E635" s="2">
        <v>387.64</v>
      </c>
      <c r="F635" s="2" t="s">
        <v>87</v>
      </c>
      <c r="G635" s="2" t="s">
        <v>88</v>
      </c>
      <c r="H635" s="2">
        <v>66</v>
      </c>
      <c r="I635" s="2" t="s">
        <v>1400</v>
      </c>
      <c r="J635" s="2" t="s">
        <v>66</v>
      </c>
      <c r="K635" s="2" t="s">
        <v>67</v>
      </c>
      <c r="L635" s="2" t="s">
        <v>363</v>
      </c>
      <c r="M635" s="2">
        <v>14848</v>
      </c>
      <c r="N635" s="2" t="s">
        <v>980</v>
      </c>
      <c r="O635" s="2" t="s">
        <v>70</v>
      </c>
      <c r="P635" s="2" t="s">
        <v>71</v>
      </c>
      <c r="Q635" s="2" t="s">
        <v>2823</v>
      </c>
      <c r="R635" s="2">
        <v>725</v>
      </c>
      <c r="S635" s="2">
        <v>4</v>
      </c>
      <c r="T635" s="2" t="s">
        <v>417</v>
      </c>
      <c r="U635" s="2">
        <v>18.260078400000001</v>
      </c>
      <c r="V635" s="2">
        <v>-66.037056000000007</v>
      </c>
      <c r="W635" s="2" t="s">
        <v>528</v>
      </c>
      <c r="X635" s="2" t="s">
        <v>2824</v>
      </c>
      <c r="Y635" s="2" t="s">
        <v>536</v>
      </c>
      <c r="Z635" s="2">
        <v>14848</v>
      </c>
      <c r="AA635" s="3">
        <v>42897.727083333331</v>
      </c>
      <c r="AB635" s="2">
        <v>71295</v>
      </c>
      <c r="AC635" s="2">
        <v>1353</v>
      </c>
      <c r="AD635" s="2">
        <v>73.84</v>
      </c>
      <c r="AE635" s="2">
        <v>0.16</v>
      </c>
      <c r="AF635" s="2" t="str" cm="1">
        <f t="array" ref="AF635">_xlfn.IFS(AE635=0, "No Discount ", AE635&lt;=0.08,"Low Discount", AE635&lt;=0.16,"Medium Discount", AE635&gt;0.16, "High Discount")</f>
        <v>Medium Discount</v>
      </c>
      <c r="AG635" s="2">
        <v>174610</v>
      </c>
      <c r="AH635" s="2">
        <v>461.48</v>
      </c>
      <c r="AI635" s="2">
        <v>0.38</v>
      </c>
      <c r="AJ635" s="2" t="str" cm="1">
        <f t="array" ref="AJ635">_xlfn.IFS(AI635&lt;=0, "No Profit", AI635&lt;=0.16,"Low Profit",AI635&lt;=0.32,"Medium Profit",AI635&gt;0.32,"High Profit")</f>
        <v>High Profit</v>
      </c>
      <c r="AK635" s="2">
        <v>1</v>
      </c>
      <c r="AL635" s="2">
        <v>461.48</v>
      </c>
      <c r="AM635" s="2">
        <v>387.64</v>
      </c>
      <c r="AN635" s="2">
        <v>145.37</v>
      </c>
      <c r="AO635" s="2" t="s">
        <v>531</v>
      </c>
      <c r="AP635" s="2" t="s">
        <v>1014</v>
      </c>
      <c r="AQ635" s="2" t="s">
        <v>80</v>
      </c>
      <c r="AR635" s="2" t="s">
        <v>81</v>
      </c>
      <c r="AS635" s="2">
        <v>1353</v>
      </c>
      <c r="AT635" s="2">
        <v>66</v>
      </c>
      <c r="AU635" s="2" t="s">
        <v>1407</v>
      </c>
      <c r="AV635" s="2">
        <v>461.48</v>
      </c>
      <c r="AW635" s="2">
        <v>0</v>
      </c>
      <c r="AX635" s="3">
        <v>43080.727083333331</v>
      </c>
      <c r="AY635" s="2" t="s">
        <v>162</v>
      </c>
      <c r="AZ635" s="4">
        <v>42897</v>
      </c>
      <c r="BA635" s="5">
        <v>0.7270833333333333</v>
      </c>
      <c r="BB635" s="2">
        <v>2017</v>
      </c>
      <c r="BC635" s="2" t="s">
        <v>474</v>
      </c>
      <c r="BD635" s="2">
        <v>11</v>
      </c>
      <c r="BE635" s="4">
        <v>43080</v>
      </c>
      <c r="BF635" s="5">
        <v>0.7270833333333333</v>
      </c>
      <c r="BG635" s="2" t="str" cm="1">
        <f t="array" ref="BG635">_xlfn.IFS(BF635&lt;TIMEVALUE("06:00"),"Night", BF635&gt;=TIMEVALUE("21:00"),"Night",BF635&gt;=TIMEVALUE("17:00"),"Evening",BF635&gt;=TIMEVALUE("12:00"),"Afternoon", BF635&gt;=TIMEVALUE("06:00"),"Morning")</f>
        <v>Evening</v>
      </c>
      <c r="BH635" s="2">
        <v>2017</v>
      </c>
      <c r="BI635" s="2" t="s">
        <v>357</v>
      </c>
      <c r="BJ635" s="2">
        <v>11</v>
      </c>
    </row>
    <row r="636" spans="1:62" x14ac:dyDescent="0.3">
      <c r="A636" s="2" t="s">
        <v>62</v>
      </c>
      <c r="B636" s="2">
        <v>2</v>
      </c>
      <c r="C636" s="2">
        <v>2</v>
      </c>
      <c r="D636" s="2">
        <v>32.76</v>
      </c>
      <c r="E636" s="2">
        <v>109.19</v>
      </c>
      <c r="F636" s="2" t="s">
        <v>100</v>
      </c>
      <c r="G636" s="2" t="s">
        <v>64</v>
      </c>
      <c r="H636" s="2">
        <v>18</v>
      </c>
      <c r="I636" s="2" t="s">
        <v>863</v>
      </c>
      <c r="J636" s="2" t="s">
        <v>66</v>
      </c>
      <c r="K636" s="2" t="s">
        <v>67</v>
      </c>
      <c r="L636" s="2" t="s">
        <v>2825</v>
      </c>
      <c r="M636" s="2">
        <v>4697</v>
      </c>
      <c r="N636" s="2" t="s">
        <v>2826</v>
      </c>
      <c r="O636" s="2" t="s">
        <v>70</v>
      </c>
      <c r="P636" s="2" t="s">
        <v>71</v>
      </c>
      <c r="Q636" s="2" t="s">
        <v>2827</v>
      </c>
      <c r="R636" s="2">
        <v>725</v>
      </c>
      <c r="S636" s="2">
        <v>4</v>
      </c>
      <c r="T636" s="2" t="s">
        <v>417</v>
      </c>
      <c r="U636" s="2">
        <v>18.231971699999999</v>
      </c>
      <c r="V636" s="2">
        <v>-66.370567300000005</v>
      </c>
      <c r="W636" s="2" t="s">
        <v>528</v>
      </c>
      <c r="X636" s="2" t="s">
        <v>2828</v>
      </c>
      <c r="Y636" s="2" t="s">
        <v>530</v>
      </c>
      <c r="Z636" s="2">
        <v>4697</v>
      </c>
      <c r="AA636" s="2" t="s">
        <v>2829</v>
      </c>
      <c r="AB636" s="2">
        <v>66351</v>
      </c>
      <c r="AC636" s="2">
        <v>403</v>
      </c>
      <c r="AD636" s="2">
        <v>20.8</v>
      </c>
      <c r="AE636" s="2">
        <v>0.16</v>
      </c>
      <c r="AF636" s="2" t="str" cm="1">
        <f t="array" ref="AF636">_xlfn.IFS(AE636=0, "No Discount ", AE636&lt;=0.08,"Low Discount", AE636&lt;=0.16,"Medium Discount", AE636&gt;0.16, "High Discount")</f>
        <v>Medium Discount</v>
      </c>
      <c r="AG636" s="2">
        <v>165859</v>
      </c>
      <c r="AH636" s="2">
        <v>129.99</v>
      </c>
      <c r="AI636" s="2">
        <v>0.3</v>
      </c>
      <c r="AJ636" s="2" t="str" cm="1">
        <f t="array" ref="AJ636">_xlfn.IFS(AI636&lt;=0, "No Profit", AI636&lt;=0.16,"Low Profit",AI636&lt;=0.32,"Medium Profit",AI636&gt;0.32,"High Profit")</f>
        <v>Medium Profit</v>
      </c>
      <c r="AK636" s="2">
        <v>1</v>
      </c>
      <c r="AL636" s="2">
        <v>129.99</v>
      </c>
      <c r="AM636" s="2">
        <v>109.19</v>
      </c>
      <c r="AN636" s="2">
        <v>32.76</v>
      </c>
      <c r="AO636" s="2" t="s">
        <v>531</v>
      </c>
      <c r="AP636" s="2" t="s">
        <v>532</v>
      </c>
      <c r="AQ636" s="2" t="s">
        <v>80</v>
      </c>
      <c r="AR636" s="2" t="s">
        <v>81</v>
      </c>
      <c r="AS636" s="2">
        <v>403</v>
      </c>
      <c r="AT636" s="2">
        <v>18</v>
      </c>
      <c r="AU636" s="2" t="s">
        <v>869</v>
      </c>
      <c r="AV636" s="2">
        <v>129.99</v>
      </c>
      <c r="AW636" s="2">
        <v>0</v>
      </c>
      <c r="AX636" s="2" t="s">
        <v>2830</v>
      </c>
      <c r="AY636" s="2" t="s">
        <v>162</v>
      </c>
      <c r="AZ636" s="4">
        <v>42973</v>
      </c>
      <c r="BA636" s="5">
        <v>0.55625000000000002</v>
      </c>
      <c r="BB636" s="2">
        <v>2017</v>
      </c>
      <c r="BC636" s="2" t="s">
        <v>482</v>
      </c>
      <c r="BD636" s="2">
        <v>26</v>
      </c>
      <c r="BE636" s="4">
        <v>42975</v>
      </c>
      <c r="BF636" s="5">
        <v>0.55625000000000002</v>
      </c>
      <c r="BG636" s="2" t="str" cm="1">
        <f t="array" ref="BG636">_xlfn.IFS(BF636&lt;TIMEVALUE("06:00"),"Night", BF636&gt;=TIMEVALUE("21:00"),"Night",BF636&gt;=TIMEVALUE("17:00"),"Evening",BF636&gt;=TIMEVALUE("12:00"),"Afternoon", BF636&gt;=TIMEVALUE("06:00"),"Morning")</f>
        <v>Afternoon</v>
      </c>
      <c r="BH636" s="2">
        <v>2017</v>
      </c>
      <c r="BI636" s="2" t="s">
        <v>482</v>
      </c>
      <c r="BJ636" s="2">
        <v>28</v>
      </c>
    </row>
    <row r="637" spans="1:62" x14ac:dyDescent="0.3">
      <c r="A637" s="2" t="s">
        <v>62</v>
      </c>
      <c r="B637" s="2">
        <v>4</v>
      </c>
      <c r="C637" s="2">
        <v>2</v>
      </c>
      <c r="D637" s="2">
        <v>0</v>
      </c>
      <c r="E637" s="2">
        <v>109.19</v>
      </c>
      <c r="F637" s="2" t="s">
        <v>87</v>
      </c>
      <c r="G637" s="2" t="s">
        <v>88</v>
      </c>
      <c r="H637" s="2">
        <v>18</v>
      </c>
      <c r="I637" s="2" t="s">
        <v>863</v>
      </c>
      <c r="J637" s="2" t="s">
        <v>66</v>
      </c>
      <c r="K637" s="2" t="s">
        <v>67</v>
      </c>
      <c r="L637" s="2" t="s">
        <v>414</v>
      </c>
      <c r="M637" s="2">
        <v>3940</v>
      </c>
      <c r="N637" s="2" t="s">
        <v>425</v>
      </c>
      <c r="O637" s="2" t="s">
        <v>70</v>
      </c>
      <c r="P637" s="2" t="s">
        <v>71</v>
      </c>
      <c r="Q637" s="2" t="s">
        <v>2736</v>
      </c>
      <c r="R637" s="2">
        <v>725</v>
      </c>
      <c r="S637" s="2">
        <v>4</v>
      </c>
      <c r="T637" s="2" t="s">
        <v>417</v>
      </c>
      <c r="U637" s="2">
        <v>18.2191887</v>
      </c>
      <c r="V637" s="2">
        <v>-66.370590199999995</v>
      </c>
      <c r="W637" s="2" t="s">
        <v>528</v>
      </c>
      <c r="X637" s="2" t="s">
        <v>2737</v>
      </c>
      <c r="Y637" s="2" t="s">
        <v>536</v>
      </c>
      <c r="Z637" s="2">
        <v>3940</v>
      </c>
      <c r="AA637" s="3">
        <v>42131.34652777778</v>
      </c>
      <c r="AB637" s="2">
        <v>12698</v>
      </c>
      <c r="AC637" s="2">
        <v>403</v>
      </c>
      <c r="AD637" s="2">
        <v>20.8</v>
      </c>
      <c r="AE637" s="2">
        <v>0.16</v>
      </c>
      <c r="AF637" s="2" t="str" cm="1">
        <f t="array" ref="AF637">_xlfn.IFS(AE637=0, "No Discount ", AE637&lt;=0.08,"Low Discount", AE637&lt;=0.16,"Medium Discount", AE637&gt;0.16, "High Discount")</f>
        <v>Medium Discount</v>
      </c>
      <c r="AG637" s="2">
        <v>31769</v>
      </c>
      <c r="AH637" s="2">
        <v>129.99</v>
      </c>
      <c r="AI637" s="2">
        <v>0</v>
      </c>
      <c r="AJ637" s="2" t="str" cm="1">
        <f t="array" ref="AJ637">_xlfn.IFS(AI637&lt;=0, "No Profit", AI637&lt;=0.16,"Low Profit",AI637&lt;=0.32,"Medium Profit",AI637&gt;0.32,"High Profit")</f>
        <v>No Profit</v>
      </c>
      <c r="AK637" s="2">
        <v>1</v>
      </c>
      <c r="AL637" s="2">
        <v>129.99</v>
      </c>
      <c r="AM637" s="2">
        <v>109.19</v>
      </c>
      <c r="AN637" s="2">
        <v>0</v>
      </c>
      <c r="AO637" s="2" t="s">
        <v>531</v>
      </c>
      <c r="AP637" s="2" t="s">
        <v>1000</v>
      </c>
      <c r="AQ637" s="2" t="s">
        <v>80</v>
      </c>
      <c r="AR637" s="2" t="s">
        <v>81</v>
      </c>
      <c r="AS637" s="2">
        <v>403</v>
      </c>
      <c r="AT637" s="2">
        <v>18</v>
      </c>
      <c r="AU637" s="2" t="s">
        <v>869</v>
      </c>
      <c r="AV637" s="2">
        <v>129.99</v>
      </c>
      <c r="AW637" s="2">
        <v>0</v>
      </c>
      <c r="AX637" s="3">
        <v>42254.34652777778</v>
      </c>
      <c r="AY637" s="2" t="s">
        <v>162</v>
      </c>
      <c r="AZ637" s="4">
        <v>42131</v>
      </c>
      <c r="BA637" s="5">
        <v>0.34652777777777777</v>
      </c>
      <c r="BB637" s="2">
        <v>2015</v>
      </c>
      <c r="BC637" s="2" t="s">
        <v>443</v>
      </c>
      <c r="BD637" s="2">
        <v>7</v>
      </c>
      <c r="BE637" s="4">
        <v>42254</v>
      </c>
      <c r="BF637" s="5">
        <v>0.34652777777777777</v>
      </c>
      <c r="BG637" s="2" t="str" cm="1">
        <f t="array" ref="BG637">_xlfn.IFS(BF637&lt;TIMEVALUE("06:00"),"Night", BF637&gt;=TIMEVALUE("21:00"),"Night",BF637&gt;=TIMEVALUE("17:00"),"Evening",BF637&gt;=TIMEVALUE("12:00"),"Afternoon", BF637&gt;=TIMEVALUE("06:00"),"Morning")</f>
        <v>Morning</v>
      </c>
      <c r="BH637" s="2">
        <v>2015</v>
      </c>
      <c r="BI637" s="2" t="s">
        <v>552</v>
      </c>
      <c r="BJ637" s="2">
        <v>7</v>
      </c>
    </row>
    <row r="638" spans="1:62" x14ac:dyDescent="0.3">
      <c r="A638" s="2" t="s">
        <v>62</v>
      </c>
      <c r="B638" s="2">
        <v>4</v>
      </c>
      <c r="C638" s="2">
        <v>2</v>
      </c>
      <c r="D638" s="2">
        <v>32.369999999999997</v>
      </c>
      <c r="E638" s="2">
        <v>107.89</v>
      </c>
      <c r="F638" s="2" t="s">
        <v>87</v>
      </c>
      <c r="G638" s="2" t="s">
        <v>88</v>
      </c>
      <c r="H638" s="2">
        <v>18</v>
      </c>
      <c r="I638" s="2" t="s">
        <v>863</v>
      </c>
      <c r="J638" s="2" t="s">
        <v>66</v>
      </c>
      <c r="K638" s="2" t="s">
        <v>67</v>
      </c>
      <c r="L638" s="2" t="s">
        <v>414</v>
      </c>
      <c r="M638" s="2">
        <v>5887</v>
      </c>
      <c r="N638" s="2" t="s">
        <v>2831</v>
      </c>
      <c r="O638" s="2" t="s">
        <v>70</v>
      </c>
      <c r="P638" s="2" t="s">
        <v>71</v>
      </c>
      <c r="Q638" s="2" t="s">
        <v>2561</v>
      </c>
      <c r="R638" s="2">
        <v>725</v>
      </c>
      <c r="S638" s="2">
        <v>4</v>
      </c>
      <c r="T638" s="2" t="s">
        <v>417</v>
      </c>
      <c r="U638" s="2">
        <v>18.227489500000001</v>
      </c>
      <c r="V638" s="2">
        <v>-66.370567300000005</v>
      </c>
      <c r="W638" s="2" t="s">
        <v>528</v>
      </c>
      <c r="X638" s="2" t="s">
        <v>2832</v>
      </c>
      <c r="Y638" s="2" t="s">
        <v>1772</v>
      </c>
      <c r="Z638" s="2">
        <v>5887</v>
      </c>
      <c r="AA638" s="3">
        <v>42531.443749999999</v>
      </c>
      <c r="AB638" s="2">
        <v>44148</v>
      </c>
      <c r="AC638" s="2">
        <v>403</v>
      </c>
      <c r="AD638" s="2">
        <v>22.1</v>
      </c>
      <c r="AE638" s="2">
        <v>0.17</v>
      </c>
      <c r="AF638" s="2" t="str" cm="1">
        <f t="array" ref="AF638">_xlfn.IFS(AE638=0, "No Discount ", AE638&lt;=0.08,"Low Discount", AE638&lt;=0.16,"Medium Discount", AE638&gt;0.16, "High Discount")</f>
        <v>High Discount</v>
      </c>
      <c r="AG638" s="2">
        <v>110243</v>
      </c>
      <c r="AH638" s="2">
        <v>129.99</v>
      </c>
      <c r="AI638" s="2">
        <v>0.3</v>
      </c>
      <c r="AJ638" s="2" t="str" cm="1">
        <f t="array" ref="AJ638">_xlfn.IFS(AI638&lt;=0, "No Profit", AI638&lt;=0.16,"Low Profit",AI638&lt;=0.32,"Medium Profit",AI638&gt;0.32,"High Profit")</f>
        <v>Medium Profit</v>
      </c>
      <c r="AK638" s="2">
        <v>1</v>
      </c>
      <c r="AL638" s="2">
        <v>129.99</v>
      </c>
      <c r="AM638" s="2">
        <v>107.89</v>
      </c>
      <c r="AN638" s="2">
        <v>32.369999999999997</v>
      </c>
      <c r="AO638" s="2" t="s">
        <v>1717</v>
      </c>
      <c r="AP638" s="2" t="s">
        <v>2833</v>
      </c>
      <c r="AQ638" s="2" t="s">
        <v>80</v>
      </c>
      <c r="AR638" s="2" t="s">
        <v>81</v>
      </c>
      <c r="AS638" s="2">
        <v>403</v>
      </c>
      <c r="AT638" s="2">
        <v>18</v>
      </c>
      <c r="AU638" s="2" t="s">
        <v>869</v>
      </c>
      <c r="AV638" s="2">
        <v>129.99</v>
      </c>
      <c r="AW638" s="2">
        <v>0</v>
      </c>
      <c r="AX638" s="3">
        <v>42653.443749999999</v>
      </c>
      <c r="AY638" s="2" t="s">
        <v>162</v>
      </c>
      <c r="AZ638" s="4">
        <v>42531</v>
      </c>
      <c r="BA638" s="5">
        <v>0.44374999999999998</v>
      </c>
      <c r="BB638" s="2">
        <v>2016</v>
      </c>
      <c r="BC638" s="2" t="s">
        <v>474</v>
      </c>
      <c r="BD638" s="2">
        <v>10</v>
      </c>
      <c r="BE638" s="4">
        <v>42653</v>
      </c>
      <c r="BF638" s="5">
        <v>0.44374999999999998</v>
      </c>
      <c r="BG638" s="2" t="str" cm="1">
        <f t="array" ref="BG638">_xlfn.IFS(BF638&lt;TIMEVALUE("06:00"),"Night", BF638&gt;=TIMEVALUE("21:00"),"Night",BF638&gt;=TIMEVALUE("17:00"),"Evening",BF638&gt;=TIMEVALUE("12:00"),"Afternoon", BF638&gt;=TIMEVALUE("06:00"),"Morning")</f>
        <v>Morning</v>
      </c>
      <c r="BH638" s="2">
        <v>2016</v>
      </c>
      <c r="BI638" s="2" t="s">
        <v>434</v>
      </c>
      <c r="BJ638" s="2">
        <v>10</v>
      </c>
    </row>
    <row r="639" spans="1:62" x14ac:dyDescent="0.3">
      <c r="A639" s="2" t="s">
        <v>86</v>
      </c>
      <c r="B639" s="2">
        <v>6</v>
      </c>
      <c r="C639" s="2">
        <v>4</v>
      </c>
      <c r="D639" s="2">
        <v>127.55</v>
      </c>
      <c r="E639" s="2">
        <v>283.45</v>
      </c>
      <c r="F639" s="2" t="s">
        <v>87</v>
      </c>
      <c r="G639" s="2" t="s">
        <v>88</v>
      </c>
      <c r="H639" s="2">
        <v>17</v>
      </c>
      <c r="I639" s="2" t="s">
        <v>412</v>
      </c>
      <c r="J639" s="2" t="s">
        <v>66</v>
      </c>
      <c r="K639" s="2" t="s">
        <v>67</v>
      </c>
      <c r="L639" s="2" t="s">
        <v>703</v>
      </c>
      <c r="M639" s="2">
        <v>8524</v>
      </c>
      <c r="N639" s="2" t="s">
        <v>704</v>
      </c>
      <c r="O639" s="2" t="s">
        <v>70</v>
      </c>
      <c r="P639" s="2" t="s">
        <v>71</v>
      </c>
      <c r="Q639" s="2" t="s">
        <v>705</v>
      </c>
      <c r="R639" s="2">
        <v>725</v>
      </c>
      <c r="S639" s="2">
        <v>4</v>
      </c>
      <c r="T639" s="2" t="s">
        <v>417</v>
      </c>
      <c r="U639" s="2">
        <v>18.244960800000001</v>
      </c>
      <c r="V639" s="2">
        <v>-66.370536799999996</v>
      </c>
      <c r="W639" s="2" t="s">
        <v>582</v>
      </c>
      <c r="X639" s="2" t="s">
        <v>2834</v>
      </c>
      <c r="Y639" s="2" t="s">
        <v>638</v>
      </c>
      <c r="Z639" s="2">
        <v>8524</v>
      </c>
      <c r="AA639" s="2" t="s">
        <v>2835</v>
      </c>
      <c r="AB639" s="2">
        <v>53540</v>
      </c>
      <c r="AC639" s="2">
        <v>365</v>
      </c>
      <c r="AD639" s="2">
        <v>16.5</v>
      </c>
      <c r="AE639" s="2">
        <v>0.06</v>
      </c>
      <c r="AF639" s="2" t="str" cm="1">
        <f t="array" ref="AF639">_xlfn.IFS(AE639=0, "No Discount ", AE639&lt;=0.08,"Low Discount", AE639&lt;=0.16,"Medium Discount", AE639&gt;0.16, "High Discount")</f>
        <v>Low Discount</v>
      </c>
      <c r="AG639" s="2">
        <v>133806</v>
      </c>
      <c r="AH639" s="2">
        <v>59.99</v>
      </c>
      <c r="AI639" s="2">
        <v>0.45</v>
      </c>
      <c r="AJ639" s="2" t="str" cm="1">
        <f t="array" ref="AJ639">_xlfn.IFS(AI639&lt;=0, "No Profit", AI639&lt;=0.16,"Low Profit",AI639&lt;=0.32,"Medium Profit",AI639&gt;0.32,"High Profit")</f>
        <v>High Profit</v>
      </c>
      <c r="AK639" s="2">
        <v>5</v>
      </c>
      <c r="AL639" s="2">
        <v>299.95</v>
      </c>
      <c r="AM639" s="2">
        <v>283.45</v>
      </c>
      <c r="AN639" s="2">
        <v>127.55</v>
      </c>
      <c r="AO639" s="2" t="s">
        <v>586</v>
      </c>
      <c r="AP639" s="2" t="s">
        <v>2834</v>
      </c>
      <c r="AQ639" s="2" t="s">
        <v>155</v>
      </c>
      <c r="AR639" s="2" t="s">
        <v>81</v>
      </c>
      <c r="AS639" s="2">
        <v>365</v>
      </c>
      <c r="AT639" s="2">
        <v>17</v>
      </c>
      <c r="AU639" s="2" t="s">
        <v>421</v>
      </c>
      <c r="AV639" s="2">
        <v>59.99</v>
      </c>
      <c r="AW639" s="2">
        <v>0</v>
      </c>
      <c r="AX639" s="2" t="s">
        <v>2836</v>
      </c>
      <c r="AY639" s="2" t="s">
        <v>83</v>
      </c>
      <c r="AZ639" s="4">
        <v>42786</v>
      </c>
      <c r="BA639" s="5">
        <v>0.54513888888888884</v>
      </c>
      <c r="BB639" s="2">
        <v>2017</v>
      </c>
      <c r="BC639" s="2" t="s">
        <v>423</v>
      </c>
      <c r="BD639" s="2">
        <v>20</v>
      </c>
      <c r="BE639" s="4">
        <v>42792</v>
      </c>
      <c r="BF639" s="5">
        <v>0.54513888888888884</v>
      </c>
      <c r="BG639" s="2" t="str" cm="1">
        <f t="array" ref="BG639">_xlfn.IFS(BF639&lt;TIMEVALUE("06:00"),"Night", BF639&gt;=TIMEVALUE("21:00"),"Night",BF639&gt;=TIMEVALUE("17:00"),"Evening",BF639&gt;=TIMEVALUE("12:00"),"Afternoon", BF639&gt;=TIMEVALUE("06:00"),"Morning")</f>
        <v>Afternoon</v>
      </c>
      <c r="BH639" s="2">
        <v>2017</v>
      </c>
      <c r="BI639" s="2" t="s">
        <v>423</v>
      </c>
      <c r="BJ639" s="2">
        <v>26</v>
      </c>
    </row>
    <row r="640" spans="1:62" x14ac:dyDescent="0.3">
      <c r="A640" s="2" t="s">
        <v>86</v>
      </c>
      <c r="B640" s="2">
        <v>5</v>
      </c>
      <c r="C640" s="2">
        <v>4</v>
      </c>
      <c r="D640" s="2">
        <v>5.46</v>
      </c>
      <c r="E640" s="2">
        <v>272.95</v>
      </c>
      <c r="F640" s="2" t="s">
        <v>87</v>
      </c>
      <c r="G640" s="2" t="s">
        <v>88</v>
      </c>
      <c r="H640" s="2">
        <v>17</v>
      </c>
      <c r="I640" s="2" t="s">
        <v>412</v>
      </c>
      <c r="J640" s="2" t="s">
        <v>66</v>
      </c>
      <c r="K640" s="2" t="s">
        <v>67</v>
      </c>
      <c r="L640" s="2" t="s">
        <v>790</v>
      </c>
      <c r="M640" s="2">
        <v>4126</v>
      </c>
      <c r="N640" s="2" t="s">
        <v>791</v>
      </c>
      <c r="O640" s="2" t="s">
        <v>70</v>
      </c>
      <c r="P640" s="2" t="s">
        <v>71</v>
      </c>
      <c r="Q640" s="2" t="s">
        <v>792</v>
      </c>
      <c r="R640" s="2">
        <v>725</v>
      </c>
      <c r="S640" s="2">
        <v>4</v>
      </c>
      <c r="T640" s="2" t="s">
        <v>417</v>
      </c>
      <c r="U640" s="2">
        <v>18.229850800000001</v>
      </c>
      <c r="V640" s="2">
        <v>-66.370620700000003</v>
      </c>
      <c r="W640" s="2" t="s">
        <v>582</v>
      </c>
      <c r="X640" s="2" t="s">
        <v>793</v>
      </c>
      <c r="Y640" s="2" t="s">
        <v>794</v>
      </c>
      <c r="Z640" s="2">
        <v>4126</v>
      </c>
      <c r="AA640" s="2" t="s">
        <v>795</v>
      </c>
      <c r="AB640" s="2">
        <v>53069</v>
      </c>
      <c r="AC640" s="2">
        <v>365</v>
      </c>
      <c r="AD640" s="2">
        <v>27</v>
      </c>
      <c r="AE640" s="2">
        <v>0.09</v>
      </c>
      <c r="AF640" s="2" t="str" cm="1">
        <f t="array" ref="AF640">_xlfn.IFS(AE640=0, "No Discount ", AE640&lt;=0.08,"Low Discount", AE640&lt;=0.16,"Medium Discount", AE640&gt;0.16, "High Discount")</f>
        <v>Medium Discount</v>
      </c>
      <c r="AG640" s="2">
        <v>132641</v>
      </c>
      <c r="AH640" s="2">
        <v>59.99</v>
      </c>
      <c r="AI640" s="2">
        <v>0.02</v>
      </c>
      <c r="AJ640" s="2" t="str" cm="1">
        <f t="array" ref="AJ640">_xlfn.IFS(AI640&lt;=0, "No Profit", AI640&lt;=0.16,"Low Profit",AI640&lt;=0.32,"Medium Profit",AI640&gt;0.32,"High Profit")</f>
        <v>Low Profit</v>
      </c>
      <c r="AK640" s="2">
        <v>5</v>
      </c>
      <c r="AL640" s="2">
        <v>299.95</v>
      </c>
      <c r="AM640" s="2">
        <v>272.95</v>
      </c>
      <c r="AN640" s="2">
        <v>5.46</v>
      </c>
      <c r="AO640" s="2" t="s">
        <v>607</v>
      </c>
      <c r="AP640" s="2" t="s">
        <v>796</v>
      </c>
      <c r="AQ640" s="2" t="s">
        <v>155</v>
      </c>
      <c r="AR640" s="2" t="s">
        <v>81</v>
      </c>
      <c r="AS640" s="2">
        <v>365</v>
      </c>
      <c r="AT640" s="2">
        <v>17</v>
      </c>
      <c r="AU640" s="2" t="s">
        <v>421</v>
      </c>
      <c r="AV640" s="2">
        <v>59.99</v>
      </c>
      <c r="AW640" s="2">
        <v>0</v>
      </c>
      <c r="AX640" s="2" t="s">
        <v>797</v>
      </c>
      <c r="AY640" s="2" t="s">
        <v>83</v>
      </c>
      <c r="AZ640" s="4">
        <v>42779</v>
      </c>
      <c r="BA640" s="5">
        <v>0.67013888888888884</v>
      </c>
      <c r="BB640" s="2">
        <v>2017</v>
      </c>
      <c r="BC640" s="2" t="s">
        <v>423</v>
      </c>
      <c r="BD640" s="2">
        <v>13</v>
      </c>
      <c r="BE640" s="4">
        <v>42784</v>
      </c>
      <c r="BF640" s="5">
        <v>0.67013888888888884</v>
      </c>
      <c r="BG640" s="2" t="str" cm="1">
        <f t="array" ref="BG640">_xlfn.IFS(BF640&lt;TIMEVALUE("06:00"),"Night", BF640&gt;=TIMEVALUE("21:00"),"Night",BF640&gt;=TIMEVALUE("17:00"),"Evening",BF640&gt;=TIMEVALUE("12:00"),"Afternoon", BF640&gt;=TIMEVALUE("06:00"),"Morning")</f>
        <v>Afternoon</v>
      </c>
      <c r="BH640" s="2">
        <v>2017</v>
      </c>
      <c r="BI640" s="2" t="s">
        <v>423</v>
      </c>
      <c r="BJ640" s="2">
        <v>18</v>
      </c>
    </row>
    <row r="641" spans="1:62" x14ac:dyDescent="0.3">
      <c r="A641" s="2" t="s">
        <v>86</v>
      </c>
      <c r="B641" s="2">
        <v>6</v>
      </c>
      <c r="C641" s="2">
        <v>4</v>
      </c>
      <c r="D641" s="2">
        <v>2.7</v>
      </c>
      <c r="E641" s="2">
        <v>269.95999999999998</v>
      </c>
      <c r="F641" s="2" t="s">
        <v>87</v>
      </c>
      <c r="G641" s="2" t="s">
        <v>88</v>
      </c>
      <c r="H641" s="2">
        <v>17</v>
      </c>
      <c r="I641" s="2" t="s">
        <v>412</v>
      </c>
      <c r="J641" s="2" t="s">
        <v>66</v>
      </c>
      <c r="K641" s="2" t="s">
        <v>67</v>
      </c>
      <c r="L641" s="2" t="s">
        <v>1297</v>
      </c>
      <c r="M641" s="2">
        <v>3207</v>
      </c>
      <c r="N641" s="2" t="s">
        <v>425</v>
      </c>
      <c r="O641" s="2" t="s">
        <v>70</v>
      </c>
      <c r="P641" s="2" t="s">
        <v>71</v>
      </c>
      <c r="Q641" s="2" t="s">
        <v>2837</v>
      </c>
      <c r="R641" s="2">
        <v>725</v>
      </c>
      <c r="S641" s="2">
        <v>4</v>
      </c>
      <c r="T641" s="2" t="s">
        <v>417</v>
      </c>
      <c r="U641" s="2">
        <v>18.206239700000001</v>
      </c>
      <c r="V641" s="2">
        <v>-66.370529199999993</v>
      </c>
      <c r="W641" s="2" t="s">
        <v>582</v>
      </c>
      <c r="X641" s="2" t="s">
        <v>598</v>
      </c>
      <c r="Y641" s="2" t="s">
        <v>599</v>
      </c>
      <c r="Z641" s="2">
        <v>3207</v>
      </c>
      <c r="AA641" s="2" t="s">
        <v>2838</v>
      </c>
      <c r="AB641" s="2">
        <v>57570</v>
      </c>
      <c r="AC641" s="2">
        <v>365</v>
      </c>
      <c r="AD641" s="2">
        <v>30</v>
      </c>
      <c r="AE641" s="2">
        <v>0.1</v>
      </c>
      <c r="AF641" s="2" t="str" cm="1">
        <f t="array" ref="AF641">_xlfn.IFS(AE641=0, "No Discount ", AE641&lt;=0.08,"Low Discount", AE641&lt;=0.16,"Medium Discount", AE641&gt;0.16, "High Discount")</f>
        <v>Medium Discount</v>
      </c>
      <c r="AG641" s="2">
        <v>144015</v>
      </c>
      <c r="AH641" s="2">
        <v>59.99</v>
      </c>
      <c r="AI641" s="2">
        <v>0.01</v>
      </c>
      <c r="AJ641" s="2" t="str" cm="1">
        <f t="array" ref="AJ641">_xlfn.IFS(AI641&lt;=0, "No Profit", AI641&lt;=0.16,"Low Profit",AI641&lt;=0.32,"Medium Profit",AI641&gt;0.32,"High Profit")</f>
        <v>Low Profit</v>
      </c>
      <c r="AK641" s="2">
        <v>5</v>
      </c>
      <c r="AL641" s="2">
        <v>299.95</v>
      </c>
      <c r="AM641" s="2">
        <v>269.95999999999998</v>
      </c>
      <c r="AN641" s="2">
        <v>2.7</v>
      </c>
      <c r="AO641" s="2" t="s">
        <v>601</v>
      </c>
      <c r="AP641" s="2" t="s">
        <v>598</v>
      </c>
      <c r="AQ641" s="2" t="s">
        <v>155</v>
      </c>
      <c r="AR641" s="2" t="s">
        <v>81</v>
      </c>
      <c r="AS641" s="2">
        <v>365</v>
      </c>
      <c r="AT641" s="2">
        <v>17</v>
      </c>
      <c r="AU641" s="2" t="s">
        <v>421</v>
      </c>
      <c r="AV641" s="2">
        <v>59.99</v>
      </c>
      <c r="AW641" s="2">
        <v>0</v>
      </c>
      <c r="AX641" s="2" t="s">
        <v>2839</v>
      </c>
      <c r="AY641" s="2" t="s">
        <v>83</v>
      </c>
      <c r="AZ641" s="4">
        <v>42845</v>
      </c>
      <c r="BA641" s="5">
        <v>0.37430555555555556</v>
      </c>
      <c r="BB641" s="2">
        <v>2017</v>
      </c>
      <c r="BC641" s="2" t="s">
        <v>487</v>
      </c>
      <c r="BD641" s="2">
        <v>20</v>
      </c>
      <c r="BE641" s="4">
        <v>42851</v>
      </c>
      <c r="BF641" s="5">
        <v>0.37430555555555556</v>
      </c>
      <c r="BG641" s="2" t="str" cm="1">
        <f t="array" ref="BG641">_xlfn.IFS(BF641&lt;TIMEVALUE("06:00"),"Night", BF641&gt;=TIMEVALUE("21:00"),"Night",BF641&gt;=TIMEVALUE("17:00"),"Evening",BF641&gt;=TIMEVALUE("12:00"),"Afternoon", BF641&gt;=TIMEVALUE("06:00"),"Morning")</f>
        <v>Morning</v>
      </c>
      <c r="BH641" s="2">
        <v>2017</v>
      </c>
      <c r="BI641" s="2" t="s">
        <v>487</v>
      </c>
      <c r="BJ641" s="2">
        <v>26</v>
      </c>
    </row>
    <row r="642" spans="1:62" x14ac:dyDescent="0.3">
      <c r="A642" s="2" t="s">
        <v>86</v>
      </c>
      <c r="B642" s="2">
        <v>5</v>
      </c>
      <c r="C642" s="2">
        <v>4</v>
      </c>
      <c r="D642" s="2">
        <v>108.22</v>
      </c>
      <c r="E642" s="2">
        <v>263.95999999999998</v>
      </c>
      <c r="F642" s="2" t="s">
        <v>87</v>
      </c>
      <c r="G642" s="2" t="s">
        <v>88</v>
      </c>
      <c r="H642" s="2">
        <v>17</v>
      </c>
      <c r="I642" s="2" t="s">
        <v>412</v>
      </c>
      <c r="J642" s="2" t="s">
        <v>66</v>
      </c>
      <c r="K642" s="2" t="s">
        <v>67</v>
      </c>
      <c r="L642" s="2" t="s">
        <v>2840</v>
      </c>
      <c r="M642" s="2">
        <v>12310</v>
      </c>
      <c r="N642" s="2" t="s">
        <v>2841</v>
      </c>
      <c r="O642" s="2" t="s">
        <v>70</v>
      </c>
      <c r="P642" s="2" t="s">
        <v>71</v>
      </c>
      <c r="Q642" s="2" t="s">
        <v>2842</v>
      </c>
      <c r="R642" s="2">
        <v>725</v>
      </c>
      <c r="S642" s="2">
        <v>4</v>
      </c>
      <c r="T642" s="2" t="s">
        <v>417</v>
      </c>
      <c r="U642" s="2">
        <v>18.231676100000001</v>
      </c>
      <c r="V642" s="2">
        <v>-66.370620700000003</v>
      </c>
      <c r="W642" s="2" t="s">
        <v>582</v>
      </c>
      <c r="X642" s="2" t="s">
        <v>626</v>
      </c>
      <c r="Y642" s="2" t="s">
        <v>627</v>
      </c>
      <c r="Z642" s="2">
        <v>12310</v>
      </c>
      <c r="AA642" s="2" t="s">
        <v>2843</v>
      </c>
      <c r="AB642" s="2">
        <v>5154</v>
      </c>
      <c r="AC642" s="2">
        <v>365</v>
      </c>
      <c r="AD642" s="2">
        <v>35.99</v>
      </c>
      <c r="AE642" s="2">
        <v>0.12</v>
      </c>
      <c r="AF642" s="2" t="str" cm="1">
        <f t="array" ref="AF642">_xlfn.IFS(AE642=0, "No Discount ", AE642&lt;=0.08,"Low Discount", AE642&lt;=0.16,"Medium Discount", AE642&gt;0.16, "High Discount")</f>
        <v>Medium Discount</v>
      </c>
      <c r="AG642" s="2">
        <v>12871</v>
      </c>
      <c r="AH642" s="2">
        <v>59.99</v>
      </c>
      <c r="AI642" s="2">
        <v>0.41</v>
      </c>
      <c r="AJ642" s="2" t="str" cm="1">
        <f t="array" ref="AJ642">_xlfn.IFS(AI642&lt;=0, "No Profit", AI642&lt;=0.16,"Low Profit",AI642&lt;=0.32,"Medium Profit",AI642&gt;0.32,"High Profit")</f>
        <v>High Profit</v>
      </c>
      <c r="AK642" s="2">
        <v>5</v>
      </c>
      <c r="AL642" s="2">
        <v>299.95</v>
      </c>
      <c r="AM642" s="2">
        <v>263.95999999999998</v>
      </c>
      <c r="AN642" s="2">
        <v>108.22</v>
      </c>
      <c r="AO642" s="2" t="s">
        <v>586</v>
      </c>
      <c r="AP642" s="2" t="s">
        <v>628</v>
      </c>
      <c r="AQ642" s="2" t="s">
        <v>155</v>
      </c>
      <c r="AR642" s="2" t="s">
        <v>81</v>
      </c>
      <c r="AS642" s="2">
        <v>365</v>
      </c>
      <c r="AT642" s="2">
        <v>17</v>
      </c>
      <c r="AU642" s="2" t="s">
        <v>421</v>
      </c>
      <c r="AV642" s="2">
        <v>59.99</v>
      </c>
      <c r="AW642" s="2">
        <v>0</v>
      </c>
      <c r="AX642" s="2" t="s">
        <v>2844</v>
      </c>
      <c r="AY642" s="2" t="s">
        <v>83</v>
      </c>
      <c r="AZ642" s="4">
        <v>42080</v>
      </c>
      <c r="BA642" s="5">
        <v>0.22152777777777777</v>
      </c>
      <c r="BB642" s="2">
        <v>2015</v>
      </c>
      <c r="BC642" s="2" t="s">
        <v>85</v>
      </c>
      <c r="BD642" s="2">
        <v>17</v>
      </c>
      <c r="BE642" s="4">
        <v>42085</v>
      </c>
      <c r="BF642" s="5">
        <v>0.22152777777777777</v>
      </c>
      <c r="BG642" s="2" t="str" cm="1">
        <f t="array" ref="BG642">_xlfn.IFS(BF642&lt;TIMEVALUE("06:00"),"Night", BF642&gt;=TIMEVALUE("21:00"),"Night",BF642&gt;=TIMEVALUE("17:00"),"Evening",BF642&gt;=TIMEVALUE("12:00"),"Afternoon", BF642&gt;=TIMEVALUE("06:00"),"Morning")</f>
        <v>Night</v>
      </c>
      <c r="BH642" s="2">
        <v>2015</v>
      </c>
      <c r="BI642" s="2" t="s">
        <v>85</v>
      </c>
      <c r="BJ642" s="2">
        <v>22</v>
      </c>
    </row>
    <row r="643" spans="1:62" x14ac:dyDescent="0.3">
      <c r="A643" s="2" t="s">
        <v>86</v>
      </c>
      <c r="B643" s="2">
        <v>3</v>
      </c>
      <c r="C643" s="2">
        <v>4</v>
      </c>
      <c r="D643" s="2">
        <v>95.02</v>
      </c>
      <c r="E643" s="2">
        <v>263.95999999999998</v>
      </c>
      <c r="F643" s="2" t="s">
        <v>63</v>
      </c>
      <c r="G643" s="2" t="s">
        <v>64</v>
      </c>
      <c r="H643" s="2">
        <v>17</v>
      </c>
      <c r="I643" s="2" t="s">
        <v>412</v>
      </c>
      <c r="J643" s="2" t="s">
        <v>66</v>
      </c>
      <c r="K643" s="2" t="s">
        <v>67</v>
      </c>
      <c r="L643" s="2" t="s">
        <v>553</v>
      </c>
      <c r="M643" s="2">
        <v>1222</v>
      </c>
      <c r="N643" s="2" t="s">
        <v>1289</v>
      </c>
      <c r="O643" s="2" t="s">
        <v>70</v>
      </c>
      <c r="P643" s="2" t="s">
        <v>71</v>
      </c>
      <c r="Q643" s="2" t="s">
        <v>2626</v>
      </c>
      <c r="R643" s="2">
        <v>725</v>
      </c>
      <c r="S643" s="2">
        <v>4</v>
      </c>
      <c r="T643" s="2" t="s">
        <v>417</v>
      </c>
      <c r="U643" s="2">
        <v>18.235555699999999</v>
      </c>
      <c r="V643" s="2">
        <v>-66.370513900000006</v>
      </c>
      <c r="W643" s="2" t="s">
        <v>582</v>
      </c>
      <c r="X643" s="2" t="s">
        <v>2845</v>
      </c>
      <c r="Y643" s="2" t="s">
        <v>632</v>
      </c>
      <c r="Z643" s="2">
        <v>1222</v>
      </c>
      <c r="AA643" s="2" t="s">
        <v>2846</v>
      </c>
      <c r="AB643" s="2">
        <v>9122</v>
      </c>
      <c r="AC643" s="2">
        <v>365</v>
      </c>
      <c r="AD643" s="2">
        <v>35.99</v>
      </c>
      <c r="AE643" s="2">
        <v>0.12</v>
      </c>
      <c r="AF643" s="2" t="str" cm="1">
        <f t="array" ref="AF643">_xlfn.IFS(AE643=0, "No Discount ", AE643&lt;=0.08,"Low Discount", AE643&lt;=0.16,"Medium Discount", AE643&gt;0.16, "High Discount")</f>
        <v>Medium Discount</v>
      </c>
      <c r="AG643" s="2">
        <v>22760</v>
      </c>
      <c r="AH643" s="2">
        <v>59.99</v>
      </c>
      <c r="AI643" s="2">
        <v>0.36</v>
      </c>
      <c r="AJ643" s="2" t="str" cm="1">
        <f t="array" ref="AJ643">_xlfn.IFS(AI643&lt;=0, "No Profit", AI643&lt;=0.16,"Low Profit",AI643&lt;=0.32,"Medium Profit",AI643&gt;0.32,"High Profit")</f>
        <v>High Profit</v>
      </c>
      <c r="AK643" s="2">
        <v>5</v>
      </c>
      <c r="AL643" s="2">
        <v>299.95</v>
      </c>
      <c r="AM643" s="2">
        <v>263.95999999999998</v>
      </c>
      <c r="AN643" s="2">
        <v>95.02</v>
      </c>
      <c r="AO643" s="2" t="s">
        <v>607</v>
      </c>
      <c r="AP643" s="2" t="s">
        <v>2847</v>
      </c>
      <c r="AQ643" s="2" t="s">
        <v>155</v>
      </c>
      <c r="AR643" s="2" t="s">
        <v>81</v>
      </c>
      <c r="AS643" s="2">
        <v>365</v>
      </c>
      <c r="AT643" s="2">
        <v>17</v>
      </c>
      <c r="AU643" s="2" t="s">
        <v>421</v>
      </c>
      <c r="AV643" s="2">
        <v>59.99</v>
      </c>
      <c r="AW643" s="2">
        <v>0</v>
      </c>
      <c r="AX643" s="2" t="s">
        <v>2848</v>
      </c>
      <c r="AY643" s="2" t="s">
        <v>83</v>
      </c>
      <c r="AZ643" s="4">
        <v>42138</v>
      </c>
      <c r="BA643" s="5">
        <v>0.1451388888888889</v>
      </c>
      <c r="BB643" s="2">
        <v>2015</v>
      </c>
      <c r="BC643" s="2" t="s">
        <v>443</v>
      </c>
      <c r="BD643" s="2">
        <v>14</v>
      </c>
      <c r="BE643" s="4">
        <v>42141</v>
      </c>
      <c r="BF643" s="5">
        <v>0.1451388888888889</v>
      </c>
      <c r="BG643" s="2" t="str" cm="1">
        <f t="array" ref="BG643">_xlfn.IFS(BF643&lt;TIMEVALUE("06:00"),"Night", BF643&gt;=TIMEVALUE("21:00"),"Night",BF643&gt;=TIMEVALUE("17:00"),"Evening",BF643&gt;=TIMEVALUE("12:00"),"Afternoon", BF643&gt;=TIMEVALUE("06:00"),"Morning")</f>
        <v>Night</v>
      </c>
      <c r="BH643" s="2">
        <v>2015</v>
      </c>
      <c r="BI643" s="2" t="s">
        <v>443</v>
      </c>
      <c r="BJ643" s="2">
        <v>17</v>
      </c>
    </row>
    <row r="644" spans="1:62" x14ac:dyDescent="0.3">
      <c r="A644" s="2" t="s">
        <v>86</v>
      </c>
      <c r="B644" s="2">
        <v>3</v>
      </c>
      <c r="C644" s="2">
        <v>4</v>
      </c>
      <c r="D644" s="2">
        <v>49.06</v>
      </c>
      <c r="E644" s="2">
        <v>260.95999999999998</v>
      </c>
      <c r="F644" s="2" t="s">
        <v>63</v>
      </c>
      <c r="G644" s="2" t="s">
        <v>64</v>
      </c>
      <c r="H644" s="2">
        <v>17</v>
      </c>
      <c r="I644" s="2" t="s">
        <v>412</v>
      </c>
      <c r="J644" s="2" t="s">
        <v>66</v>
      </c>
      <c r="K644" s="2" t="s">
        <v>67</v>
      </c>
      <c r="L644" s="2" t="s">
        <v>2849</v>
      </c>
      <c r="M644" s="2">
        <v>8397</v>
      </c>
      <c r="N644" s="2" t="s">
        <v>425</v>
      </c>
      <c r="O644" s="2" t="s">
        <v>70</v>
      </c>
      <c r="P644" s="2" t="s">
        <v>71</v>
      </c>
      <c r="Q644" s="2" t="s">
        <v>2850</v>
      </c>
      <c r="R644" s="2">
        <v>725</v>
      </c>
      <c r="S644" s="2">
        <v>4</v>
      </c>
      <c r="T644" s="2" t="s">
        <v>417</v>
      </c>
      <c r="U644" s="2">
        <v>18.241050699999999</v>
      </c>
      <c r="V644" s="2">
        <v>-66.370559700000001</v>
      </c>
      <c r="W644" s="2" t="s">
        <v>582</v>
      </c>
      <c r="X644" s="2" t="s">
        <v>626</v>
      </c>
      <c r="Y644" s="2" t="s">
        <v>627</v>
      </c>
      <c r="Z644" s="2">
        <v>8397</v>
      </c>
      <c r="AA644" s="3">
        <v>42158.609027777777</v>
      </c>
      <c r="AB644" s="2">
        <v>4427</v>
      </c>
      <c r="AC644" s="2">
        <v>365</v>
      </c>
      <c r="AD644" s="2">
        <v>38.99</v>
      </c>
      <c r="AE644" s="2">
        <v>0.13</v>
      </c>
      <c r="AF644" s="2" t="str" cm="1">
        <f t="array" ref="AF644">_xlfn.IFS(AE644=0, "No Discount ", AE644&lt;=0.08,"Low Discount", AE644&lt;=0.16,"Medium Discount", AE644&gt;0.16, "High Discount")</f>
        <v>Medium Discount</v>
      </c>
      <c r="AG644" s="2">
        <v>11090</v>
      </c>
      <c r="AH644" s="2">
        <v>59.99</v>
      </c>
      <c r="AI644" s="2">
        <v>0.19</v>
      </c>
      <c r="AJ644" s="2" t="str" cm="1">
        <f t="array" ref="AJ644">_xlfn.IFS(AI644&lt;=0, "No Profit", AI644&lt;=0.16,"Low Profit",AI644&lt;=0.32,"Medium Profit",AI644&gt;0.32,"High Profit")</f>
        <v>Medium Profit</v>
      </c>
      <c r="AK644" s="2">
        <v>5</v>
      </c>
      <c r="AL644" s="2">
        <v>299.95</v>
      </c>
      <c r="AM644" s="2">
        <v>260.95999999999998</v>
      </c>
      <c r="AN644" s="2">
        <v>49.06</v>
      </c>
      <c r="AO644" s="2" t="s">
        <v>586</v>
      </c>
      <c r="AP644" s="2" t="s">
        <v>628</v>
      </c>
      <c r="AQ644" s="2" t="s">
        <v>155</v>
      </c>
      <c r="AR644" s="2" t="s">
        <v>81</v>
      </c>
      <c r="AS644" s="2">
        <v>365</v>
      </c>
      <c r="AT644" s="2">
        <v>17</v>
      </c>
      <c r="AU644" s="2" t="s">
        <v>421</v>
      </c>
      <c r="AV644" s="2">
        <v>59.99</v>
      </c>
      <c r="AW644" s="2">
        <v>0</v>
      </c>
      <c r="AX644" s="3">
        <v>42250.609027777777</v>
      </c>
      <c r="AY644" s="2" t="s">
        <v>83</v>
      </c>
      <c r="AZ644" s="4">
        <v>42158</v>
      </c>
      <c r="BA644" s="5">
        <v>0.60902777777777772</v>
      </c>
      <c r="BB644" s="2">
        <v>2015</v>
      </c>
      <c r="BC644" s="2" t="s">
        <v>474</v>
      </c>
      <c r="BD644" s="2">
        <v>3</v>
      </c>
      <c r="BE644" s="4">
        <v>42250</v>
      </c>
      <c r="BF644" s="5">
        <v>0.60902777777777772</v>
      </c>
      <c r="BG644" s="2" t="str" cm="1">
        <f t="array" ref="BG644">_xlfn.IFS(BF644&lt;TIMEVALUE("06:00"),"Night", BF644&gt;=TIMEVALUE("21:00"),"Night",BF644&gt;=TIMEVALUE("17:00"),"Evening",BF644&gt;=TIMEVALUE("12:00"),"Afternoon", BF644&gt;=TIMEVALUE("06:00"),"Morning")</f>
        <v>Afternoon</v>
      </c>
      <c r="BH644" s="2">
        <v>2015</v>
      </c>
      <c r="BI644" s="2" t="s">
        <v>552</v>
      </c>
      <c r="BJ644" s="2">
        <v>3</v>
      </c>
    </row>
    <row r="645" spans="1:62" x14ac:dyDescent="0.3">
      <c r="A645" s="2" t="s">
        <v>86</v>
      </c>
      <c r="B645" s="2">
        <v>6</v>
      </c>
      <c r="C645" s="2">
        <v>4</v>
      </c>
      <c r="D645" s="2">
        <v>71.39</v>
      </c>
      <c r="E645" s="2">
        <v>254.96</v>
      </c>
      <c r="F645" s="2" t="s">
        <v>87</v>
      </c>
      <c r="G645" s="2" t="s">
        <v>88</v>
      </c>
      <c r="H645" s="2">
        <v>17</v>
      </c>
      <c r="I645" s="2" t="s">
        <v>412</v>
      </c>
      <c r="J645" s="2" t="s">
        <v>66</v>
      </c>
      <c r="K645" s="2" t="s">
        <v>67</v>
      </c>
      <c r="L645" s="2" t="s">
        <v>2851</v>
      </c>
      <c r="M645" s="2">
        <v>6306</v>
      </c>
      <c r="N645" s="2" t="s">
        <v>1799</v>
      </c>
      <c r="O645" s="2" t="s">
        <v>70</v>
      </c>
      <c r="P645" s="2" t="s">
        <v>71</v>
      </c>
      <c r="Q645" s="2" t="s">
        <v>2852</v>
      </c>
      <c r="R645" s="2">
        <v>725</v>
      </c>
      <c r="S645" s="2">
        <v>4</v>
      </c>
      <c r="T645" s="2" t="s">
        <v>417</v>
      </c>
      <c r="U645" s="2">
        <v>18.2533855</v>
      </c>
      <c r="V645" s="2">
        <v>-66.370620700000003</v>
      </c>
      <c r="W645" s="2" t="s">
        <v>582</v>
      </c>
      <c r="X645" s="2" t="s">
        <v>748</v>
      </c>
      <c r="Y645" s="2" t="s">
        <v>749</v>
      </c>
      <c r="Z645" s="2">
        <v>6306</v>
      </c>
      <c r="AA645" s="2" t="s">
        <v>2853</v>
      </c>
      <c r="AB645" s="2">
        <v>9340</v>
      </c>
      <c r="AC645" s="2">
        <v>365</v>
      </c>
      <c r="AD645" s="2">
        <v>44.99</v>
      </c>
      <c r="AE645" s="2">
        <v>0.15</v>
      </c>
      <c r="AF645" s="2" t="str" cm="1">
        <f t="array" ref="AF645">_xlfn.IFS(AE645=0, "No Discount ", AE645&lt;=0.08,"Low Discount", AE645&lt;=0.16,"Medium Discount", AE645&gt;0.16, "High Discount")</f>
        <v>Medium Discount</v>
      </c>
      <c r="AG645" s="2">
        <v>23308</v>
      </c>
      <c r="AH645" s="2">
        <v>59.99</v>
      </c>
      <c r="AI645" s="2">
        <v>0.28000000000000003</v>
      </c>
      <c r="AJ645" s="2" t="str" cm="1">
        <f t="array" ref="AJ645">_xlfn.IFS(AI645&lt;=0, "No Profit", AI645&lt;=0.16,"Low Profit",AI645&lt;=0.32,"Medium Profit",AI645&gt;0.32,"High Profit")</f>
        <v>Medium Profit</v>
      </c>
      <c r="AK645" s="2">
        <v>5</v>
      </c>
      <c r="AL645" s="2">
        <v>299.95</v>
      </c>
      <c r="AM645" s="2">
        <v>254.96</v>
      </c>
      <c r="AN645" s="2">
        <v>71.39</v>
      </c>
      <c r="AO645" s="2" t="s">
        <v>586</v>
      </c>
      <c r="AP645" s="2" t="s">
        <v>748</v>
      </c>
      <c r="AQ645" s="2" t="s">
        <v>155</v>
      </c>
      <c r="AR645" s="2" t="s">
        <v>81</v>
      </c>
      <c r="AS645" s="2">
        <v>365</v>
      </c>
      <c r="AT645" s="2">
        <v>17</v>
      </c>
      <c r="AU645" s="2" t="s">
        <v>421</v>
      </c>
      <c r="AV645" s="2">
        <v>59.99</v>
      </c>
      <c r="AW645" s="2">
        <v>0</v>
      </c>
      <c r="AX645" s="2" t="s">
        <v>2854</v>
      </c>
      <c r="AY645" s="2" t="s">
        <v>83</v>
      </c>
      <c r="AZ645" s="4">
        <v>42141</v>
      </c>
      <c r="BA645" s="5">
        <v>0.32777777777777778</v>
      </c>
      <c r="BB645" s="2">
        <v>2015</v>
      </c>
      <c r="BC645" s="2" t="s">
        <v>443</v>
      </c>
      <c r="BD645" s="2">
        <v>17</v>
      </c>
      <c r="BE645" s="4">
        <v>42147</v>
      </c>
      <c r="BF645" s="5">
        <v>0.32777777777777778</v>
      </c>
      <c r="BG645" s="2" t="str" cm="1">
        <f t="array" ref="BG645">_xlfn.IFS(BF645&lt;TIMEVALUE("06:00"),"Night", BF645&gt;=TIMEVALUE("21:00"),"Night",BF645&gt;=TIMEVALUE("17:00"),"Evening",BF645&gt;=TIMEVALUE("12:00"),"Afternoon", BF645&gt;=TIMEVALUE("06:00"),"Morning")</f>
        <v>Morning</v>
      </c>
      <c r="BH645" s="2">
        <v>2015</v>
      </c>
      <c r="BI645" s="2" t="s">
        <v>443</v>
      </c>
      <c r="BJ645" s="2">
        <v>23</v>
      </c>
    </row>
    <row r="646" spans="1:62" x14ac:dyDescent="0.3">
      <c r="A646" s="2" t="s">
        <v>86</v>
      </c>
      <c r="B646" s="2">
        <v>2</v>
      </c>
      <c r="C646" s="2">
        <v>4</v>
      </c>
      <c r="D646" s="2">
        <v>47.87</v>
      </c>
      <c r="E646" s="2">
        <v>251.96</v>
      </c>
      <c r="F646" s="2" t="s">
        <v>63</v>
      </c>
      <c r="G646" s="2" t="s">
        <v>64</v>
      </c>
      <c r="H646" s="2">
        <v>17</v>
      </c>
      <c r="I646" s="2" t="s">
        <v>412</v>
      </c>
      <c r="J646" s="2" t="s">
        <v>66</v>
      </c>
      <c r="K646" s="2" t="s">
        <v>67</v>
      </c>
      <c r="L646" s="2" t="s">
        <v>1598</v>
      </c>
      <c r="M646" s="2">
        <v>8002</v>
      </c>
      <c r="N646" s="2" t="s">
        <v>2634</v>
      </c>
      <c r="O646" s="2" t="s">
        <v>70</v>
      </c>
      <c r="P646" s="2" t="s">
        <v>71</v>
      </c>
      <c r="Q646" s="2" t="s">
        <v>2855</v>
      </c>
      <c r="R646" s="2">
        <v>725</v>
      </c>
      <c r="S646" s="2">
        <v>4</v>
      </c>
      <c r="T646" s="2" t="s">
        <v>417</v>
      </c>
      <c r="U646" s="2">
        <v>18.269597999999998</v>
      </c>
      <c r="V646" s="2">
        <v>-66.3705444</v>
      </c>
      <c r="W646" s="2" t="s">
        <v>582</v>
      </c>
      <c r="X646" s="2" t="s">
        <v>2856</v>
      </c>
      <c r="Y646" s="2" t="s">
        <v>599</v>
      </c>
      <c r="Z646" s="2">
        <v>8002</v>
      </c>
      <c r="AA646" s="2" t="s">
        <v>2857</v>
      </c>
      <c r="AB646" s="2">
        <v>9331</v>
      </c>
      <c r="AC646" s="2">
        <v>365</v>
      </c>
      <c r="AD646" s="2">
        <v>47.99</v>
      </c>
      <c r="AE646" s="2">
        <v>0.16</v>
      </c>
      <c r="AF646" s="2" t="str" cm="1">
        <f t="array" ref="AF646">_xlfn.IFS(AE646=0, "No Discount ", AE646&lt;=0.08,"Low Discount", AE646&lt;=0.16,"Medium Discount", AE646&gt;0.16, "High Discount")</f>
        <v>Medium Discount</v>
      </c>
      <c r="AG646" s="2">
        <v>23280</v>
      </c>
      <c r="AH646" s="2">
        <v>59.99</v>
      </c>
      <c r="AI646" s="2">
        <v>0.19</v>
      </c>
      <c r="AJ646" s="2" t="str" cm="1">
        <f t="array" ref="AJ646">_xlfn.IFS(AI646&lt;=0, "No Profit", AI646&lt;=0.16,"Low Profit",AI646&lt;=0.32,"Medium Profit",AI646&gt;0.32,"High Profit")</f>
        <v>Medium Profit</v>
      </c>
      <c r="AK646" s="2">
        <v>5</v>
      </c>
      <c r="AL646" s="2">
        <v>299.95</v>
      </c>
      <c r="AM646" s="2">
        <v>251.96</v>
      </c>
      <c r="AN646" s="2">
        <v>47.87</v>
      </c>
      <c r="AO646" s="2" t="s">
        <v>601</v>
      </c>
      <c r="AP646" s="2" t="s">
        <v>2858</v>
      </c>
      <c r="AQ646" s="2" t="s">
        <v>155</v>
      </c>
      <c r="AR646" s="2" t="s">
        <v>81</v>
      </c>
      <c r="AS646" s="2">
        <v>365</v>
      </c>
      <c r="AT646" s="2">
        <v>17</v>
      </c>
      <c r="AU646" s="2" t="s">
        <v>421</v>
      </c>
      <c r="AV646" s="2">
        <v>59.99</v>
      </c>
      <c r="AW646" s="2">
        <v>0</v>
      </c>
      <c r="AX646" s="2" t="s">
        <v>2859</v>
      </c>
      <c r="AY646" s="2" t="s">
        <v>83</v>
      </c>
      <c r="AZ646" s="4">
        <v>42141</v>
      </c>
      <c r="BA646" s="5">
        <v>0.19583333333333333</v>
      </c>
      <c r="BB646" s="2">
        <v>2015</v>
      </c>
      <c r="BC646" s="2" t="s">
        <v>443</v>
      </c>
      <c r="BD646" s="2">
        <v>17</v>
      </c>
      <c r="BE646" s="4">
        <v>42143</v>
      </c>
      <c r="BF646" s="5">
        <v>0.19583333333333333</v>
      </c>
      <c r="BG646" s="2" t="str" cm="1">
        <f t="array" ref="BG646">_xlfn.IFS(BF646&lt;TIMEVALUE("06:00"),"Night", BF646&gt;=TIMEVALUE("21:00"),"Night",BF646&gt;=TIMEVALUE("17:00"),"Evening",BF646&gt;=TIMEVALUE("12:00"),"Afternoon", BF646&gt;=TIMEVALUE("06:00"),"Morning")</f>
        <v>Night</v>
      </c>
      <c r="BH646" s="2">
        <v>2015</v>
      </c>
      <c r="BI646" s="2" t="s">
        <v>443</v>
      </c>
      <c r="BJ646" s="2">
        <v>19</v>
      </c>
    </row>
    <row r="647" spans="1:62" x14ac:dyDescent="0.3">
      <c r="A647" s="2" t="s">
        <v>86</v>
      </c>
      <c r="B647" s="2">
        <v>6</v>
      </c>
      <c r="C647" s="2">
        <v>4</v>
      </c>
      <c r="D647" s="2">
        <v>28.13</v>
      </c>
      <c r="E647" s="2">
        <v>248.96</v>
      </c>
      <c r="F647" s="2" t="s">
        <v>87</v>
      </c>
      <c r="G647" s="2" t="s">
        <v>88</v>
      </c>
      <c r="H647" s="2">
        <v>17</v>
      </c>
      <c r="I647" s="2" t="s">
        <v>412</v>
      </c>
      <c r="J647" s="2" t="s">
        <v>66</v>
      </c>
      <c r="K647" s="2" t="s">
        <v>67</v>
      </c>
      <c r="L647" s="2" t="s">
        <v>917</v>
      </c>
      <c r="M647" s="2">
        <v>12382</v>
      </c>
      <c r="N647" s="2" t="s">
        <v>425</v>
      </c>
      <c r="O647" s="2" t="s">
        <v>70</v>
      </c>
      <c r="P647" s="2" t="s">
        <v>71</v>
      </c>
      <c r="Q647" s="2" t="s">
        <v>2860</v>
      </c>
      <c r="R647" s="2">
        <v>725</v>
      </c>
      <c r="S647" s="2">
        <v>4</v>
      </c>
      <c r="T647" s="2" t="s">
        <v>417</v>
      </c>
      <c r="U647" s="2">
        <v>18.2126865</v>
      </c>
      <c r="V647" s="2">
        <v>-66.370559700000001</v>
      </c>
      <c r="W647" s="2" t="s">
        <v>582</v>
      </c>
      <c r="X647" s="2" t="s">
        <v>789</v>
      </c>
      <c r="Y647" s="2" t="s">
        <v>584</v>
      </c>
      <c r="Z647" s="2">
        <v>12382</v>
      </c>
      <c r="AA647" s="3">
        <v>42740.249305555553</v>
      </c>
      <c r="AB647" s="2">
        <v>58315</v>
      </c>
      <c r="AC647" s="2">
        <v>365</v>
      </c>
      <c r="AD647" s="2">
        <v>50.99</v>
      </c>
      <c r="AE647" s="2">
        <v>0.17</v>
      </c>
      <c r="AF647" s="2" t="str" cm="1">
        <f t="array" ref="AF647">_xlfn.IFS(AE647=0, "No Discount ", AE647&lt;=0.08,"Low Discount", AE647&lt;=0.16,"Medium Discount", AE647&gt;0.16, "High Discount")</f>
        <v>High Discount</v>
      </c>
      <c r="AG647" s="2">
        <v>145934</v>
      </c>
      <c r="AH647" s="2">
        <v>59.99</v>
      </c>
      <c r="AI647" s="2">
        <v>0.11</v>
      </c>
      <c r="AJ647" s="2" t="str" cm="1">
        <f t="array" ref="AJ647">_xlfn.IFS(AI647&lt;=0, "No Profit", AI647&lt;=0.16,"Low Profit",AI647&lt;=0.32,"Medium Profit",AI647&gt;0.32,"High Profit")</f>
        <v>Low Profit</v>
      </c>
      <c r="AK647" s="2">
        <v>5</v>
      </c>
      <c r="AL647" s="2">
        <v>299.95</v>
      </c>
      <c r="AM647" s="2">
        <v>248.96</v>
      </c>
      <c r="AN647" s="2">
        <v>28.13</v>
      </c>
      <c r="AO647" s="2" t="s">
        <v>586</v>
      </c>
      <c r="AP647" s="2" t="s">
        <v>584</v>
      </c>
      <c r="AQ647" s="2" t="s">
        <v>155</v>
      </c>
      <c r="AR647" s="2" t="s">
        <v>81</v>
      </c>
      <c r="AS647" s="2">
        <v>365</v>
      </c>
      <c r="AT647" s="2">
        <v>17</v>
      </c>
      <c r="AU647" s="2" t="s">
        <v>421</v>
      </c>
      <c r="AV647" s="2">
        <v>59.99</v>
      </c>
      <c r="AW647" s="2">
        <v>0</v>
      </c>
      <c r="AX647" s="3">
        <v>42921.249305555553</v>
      </c>
      <c r="AY647" s="2" t="s">
        <v>83</v>
      </c>
      <c r="AZ647" s="4">
        <v>42740</v>
      </c>
      <c r="BA647" s="5">
        <v>0.24930555555555556</v>
      </c>
      <c r="BB647" s="2">
        <v>2017</v>
      </c>
      <c r="BC647" s="2" t="s">
        <v>84</v>
      </c>
      <c r="BD647" s="2">
        <v>5</v>
      </c>
      <c r="BE647" s="4">
        <v>42921</v>
      </c>
      <c r="BF647" s="5">
        <v>0.24930555555555556</v>
      </c>
      <c r="BG647" s="2" t="str" cm="1">
        <f t="array" ref="BG647">_xlfn.IFS(BF647&lt;TIMEVALUE("06:00"),"Night", BF647&gt;=TIMEVALUE("21:00"),"Night",BF647&gt;=TIMEVALUE("17:00"),"Evening",BF647&gt;=TIMEVALUE("12:00"),"Afternoon", BF647&gt;=TIMEVALUE("06:00"),"Morning")</f>
        <v>Night</v>
      </c>
      <c r="BH647" s="2">
        <v>2017</v>
      </c>
      <c r="BI647" s="2" t="s">
        <v>533</v>
      </c>
      <c r="BJ647" s="2">
        <v>5</v>
      </c>
    </row>
    <row r="648" spans="1:62" x14ac:dyDescent="0.3">
      <c r="A648" s="2" t="s">
        <v>86</v>
      </c>
      <c r="B648" s="2">
        <v>3</v>
      </c>
      <c r="C648" s="2">
        <v>4</v>
      </c>
      <c r="D648" s="2">
        <v>62.99</v>
      </c>
      <c r="E648" s="2">
        <v>224.96</v>
      </c>
      <c r="F648" s="2" t="s">
        <v>63</v>
      </c>
      <c r="G648" s="2" t="s">
        <v>64</v>
      </c>
      <c r="H648" s="2">
        <v>17</v>
      </c>
      <c r="I648" s="2" t="s">
        <v>412</v>
      </c>
      <c r="J648" s="2" t="s">
        <v>2861</v>
      </c>
      <c r="K648" s="2" t="s">
        <v>67</v>
      </c>
      <c r="L648" s="2" t="s">
        <v>554</v>
      </c>
      <c r="M648" s="2">
        <v>7844</v>
      </c>
      <c r="N648" s="2" t="s">
        <v>425</v>
      </c>
      <c r="O648" s="2" t="s">
        <v>70</v>
      </c>
      <c r="P648" s="2" t="s">
        <v>71</v>
      </c>
      <c r="Q648" s="2" t="s">
        <v>2862</v>
      </c>
      <c r="R648" s="2">
        <v>680</v>
      </c>
      <c r="S648" s="2">
        <v>4</v>
      </c>
      <c r="T648" s="2" t="s">
        <v>417</v>
      </c>
      <c r="U648" s="2">
        <v>18.200050399999999</v>
      </c>
      <c r="V648" s="2">
        <v>-67.140243499999997</v>
      </c>
      <c r="W648" s="2" t="s">
        <v>582</v>
      </c>
      <c r="X648" s="2" t="s">
        <v>592</v>
      </c>
      <c r="Y648" s="2" t="s">
        <v>591</v>
      </c>
      <c r="Z648" s="2">
        <v>7844</v>
      </c>
      <c r="AA648" s="3">
        <v>42919.61041666667</v>
      </c>
      <c r="AB648" s="2">
        <v>54572</v>
      </c>
      <c r="AC648" s="2">
        <v>365</v>
      </c>
      <c r="AD648" s="2">
        <v>74.989999999999995</v>
      </c>
      <c r="AE648" s="2">
        <v>0.25</v>
      </c>
      <c r="AF648" s="2" t="str" cm="1">
        <f t="array" ref="AF648">_xlfn.IFS(AE648=0, "No Discount ", AE648&lt;=0.08,"Low Discount", AE648&lt;=0.16,"Medium Discount", AE648&gt;0.16, "High Discount")</f>
        <v>High Discount</v>
      </c>
      <c r="AG648" s="2">
        <v>136489</v>
      </c>
      <c r="AH648" s="2">
        <v>59.99</v>
      </c>
      <c r="AI648" s="2">
        <v>0.28000000000000003</v>
      </c>
      <c r="AJ648" s="2" t="str" cm="1">
        <f t="array" ref="AJ648">_xlfn.IFS(AI648&lt;=0, "No Profit", AI648&lt;=0.16,"Low Profit",AI648&lt;=0.32,"Medium Profit",AI648&gt;0.32,"High Profit")</f>
        <v>Medium Profit</v>
      </c>
      <c r="AK648" s="2">
        <v>5</v>
      </c>
      <c r="AL648" s="2">
        <v>299.95</v>
      </c>
      <c r="AM648" s="2">
        <v>224.96</v>
      </c>
      <c r="AN648" s="2">
        <v>62.99</v>
      </c>
      <c r="AO648" s="2" t="s">
        <v>586</v>
      </c>
      <c r="AP648" s="2" t="s">
        <v>592</v>
      </c>
      <c r="AQ648" s="2" t="s">
        <v>155</v>
      </c>
      <c r="AR648" s="2" t="s">
        <v>81</v>
      </c>
      <c r="AS648" s="2">
        <v>365</v>
      </c>
      <c r="AT648" s="2">
        <v>17</v>
      </c>
      <c r="AU648" s="2" t="s">
        <v>421</v>
      </c>
      <c r="AV648" s="2">
        <v>59.99</v>
      </c>
      <c r="AW648" s="2">
        <v>0</v>
      </c>
      <c r="AX648" s="3">
        <v>43011.61041666667</v>
      </c>
      <c r="AY648" s="2" t="s">
        <v>83</v>
      </c>
      <c r="AZ648" s="4">
        <v>42919</v>
      </c>
      <c r="BA648" s="5">
        <v>0.61041666666666672</v>
      </c>
      <c r="BB648" s="2">
        <v>2017</v>
      </c>
      <c r="BC648" s="2" t="s">
        <v>533</v>
      </c>
      <c r="BD648" s="2">
        <v>3</v>
      </c>
      <c r="BE648" s="4">
        <v>43011</v>
      </c>
      <c r="BF648" s="5">
        <v>0.61041666666666672</v>
      </c>
      <c r="BG648" s="2" t="str" cm="1">
        <f t="array" ref="BG648">_xlfn.IFS(BF648&lt;TIMEVALUE("06:00"),"Night", BF648&gt;=TIMEVALUE("21:00"),"Night",BF648&gt;=TIMEVALUE("17:00"),"Evening",BF648&gt;=TIMEVALUE("12:00"),"Afternoon", BF648&gt;=TIMEVALUE("06:00"),"Morning")</f>
        <v>Afternoon</v>
      </c>
      <c r="BH648" s="2">
        <v>2017</v>
      </c>
      <c r="BI648" s="2" t="s">
        <v>434</v>
      </c>
      <c r="BJ648" s="2">
        <v>3</v>
      </c>
    </row>
    <row r="649" spans="1:62" x14ac:dyDescent="0.3">
      <c r="A649" s="2" t="s">
        <v>86</v>
      </c>
      <c r="B649" s="2">
        <v>2</v>
      </c>
      <c r="C649" s="2">
        <v>4</v>
      </c>
      <c r="D649" s="2">
        <v>59.99</v>
      </c>
      <c r="E649" s="2">
        <v>199.95</v>
      </c>
      <c r="F649" s="2" t="s">
        <v>63</v>
      </c>
      <c r="G649" s="2" t="s">
        <v>64</v>
      </c>
      <c r="H649" s="2">
        <v>29</v>
      </c>
      <c r="I649" s="2" t="s">
        <v>424</v>
      </c>
      <c r="J649" s="2" t="s">
        <v>66</v>
      </c>
      <c r="K649" s="2" t="s">
        <v>67</v>
      </c>
      <c r="L649" s="2" t="s">
        <v>917</v>
      </c>
      <c r="M649" s="2">
        <v>12291</v>
      </c>
      <c r="N649" s="2" t="s">
        <v>2863</v>
      </c>
      <c r="O649" s="2" t="s">
        <v>70</v>
      </c>
      <c r="P649" s="2" t="s">
        <v>71</v>
      </c>
      <c r="Q649" s="2" t="s">
        <v>2864</v>
      </c>
      <c r="R649" s="2">
        <v>725</v>
      </c>
      <c r="S649" s="2">
        <v>5</v>
      </c>
      <c r="T649" s="2" t="s">
        <v>427</v>
      </c>
      <c r="U649" s="2">
        <v>18.207321199999999</v>
      </c>
      <c r="V649" s="2">
        <v>-66.370506300000002</v>
      </c>
      <c r="W649" s="2" t="s">
        <v>582</v>
      </c>
      <c r="X649" s="2" t="s">
        <v>2865</v>
      </c>
      <c r="Y649" s="2" t="s">
        <v>684</v>
      </c>
      <c r="Z649" s="2">
        <v>12291</v>
      </c>
      <c r="AA649" s="2" t="s">
        <v>2866</v>
      </c>
      <c r="AB649" s="2">
        <v>51746</v>
      </c>
      <c r="AC649" s="2">
        <v>627</v>
      </c>
      <c r="AD649" s="2">
        <v>0</v>
      </c>
      <c r="AE649" s="2">
        <v>0</v>
      </c>
      <c r="AF649" s="2" t="str" cm="1">
        <f t="array" ref="AF649">_xlfn.IFS(AE649=0, "No Discount ", AE649&lt;=0.08,"Low Discount", AE649&lt;=0.16,"Medium Discount", AE649&gt;0.16, "High Discount")</f>
        <v xml:space="preserve">No Discount </v>
      </c>
      <c r="AG649" s="2">
        <v>129285</v>
      </c>
      <c r="AH649" s="2">
        <v>39.99</v>
      </c>
      <c r="AI649" s="2">
        <v>0.3</v>
      </c>
      <c r="AJ649" s="2" t="str" cm="1">
        <f t="array" ref="AJ649">_xlfn.IFS(AI649&lt;=0, "No Profit", AI649&lt;=0.16,"Low Profit",AI649&lt;=0.32,"Medium Profit",AI649&gt;0.32,"High Profit")</f>
        <v>Medium Profit</v>
      </c>
      <c r="AK649" s="2">
        <v>5</v>
      </c>
      <c r="AL649" s="2">
        <v>199.95</v>
      </c>
      <c r="AM649" s="2">
        <v>199.95</v>
      </c>
      <c r="AN649" s="2">
        <v>59.99</v>
      </c>
      <c r="AO649" s="2" t="s">
        <v>601</v>
      </c>
      <c r="AP649" s="2" t="s">
        <v>2865</v>
      </c>
      <c r="AQ649" s="2" t="s">
        <v>155</v>
      </c>
      <c r="AR649" s="2" t="s">
        <v>81</v>
      </c>
      <c r="AS649" s="2">
        <v>627</v>
      </c>
      <c r="AT649" s="2">
        <v>29</v>
      </c>
      <c r="AU649" s="2" t="s">
        <v>432</v>
      </c>
      <c r="AV649" s="2">
        <v>39.99</v>
      </c>
      <c r="AW649" s="2">
        <v>0</v>
      </c>
      <c r="AX649" s="2" t="s">
        <v>2867</v>
      </c>
      <c r="AY649" s="2" t="s">
        <v>83</v>
      </c>
      <c r="AZ649" s="4">
        <v>42760</v>
      </c>
      <c r="BA649" s="5">
        <v>0.35694444444444445</v>
      </c>
      <c r="BB649" s="2">
        <v>2017</v>
      </c>
      <c r="BC649" s="2" t="s">
        <v>84</v>
      </c>
      <c r="BD649" s="2">
        <v>25</v>
      </c>
      <c r="BE649" s="4">
        <v>42762</v>
      </c>
      <c r="BF649" s="5">
        <v>0.35694444444444445</v>
      </c>
      <c r="BG649" s="2" t="str" cm="1">
        <f t="array" ref="BG649">_xlfn.IFS(BF649&lt;TIMEVALUE("06:00"),"Night", BF649&gt;=TIMEVALUE("21:00"),"Night",BF649&gt;=TIMEVALUE("17:00"),"Evening",BF649&gt;=TIMEVALUE("12:00"),"Afternoon", BF649&gt;=TIMEVALUE("06:00"),"Morning")</f>
        <v>Morning</v>
      </c>
      <c r="BH649" s="2">
        <v>2017</v>
      </c>
      <c r="BI649" s="2" t="s">
        <v>84</v>
      </c>
      <c r="BJ649" s="2">
        <v>27</v>
      </c>
    </row>
    <row r="650" spans="1:62" x14ac:dyDescent="0.3">
      <c r="A650" s="2" t="s">
        <v>86</v>
      </c>
      <c r="B650" s="2">
        <v>5</v>
      </c>
      <c r="C650" s="2">
        <v>4</v>
      </c>
      <c r="D650" s="2">
        <v>90.75</v>
      </c>
      <c r="E650" s="2">
        <v>250</v>
      </c>
      <c r="F650" s="2" t="s">
        <v>87</v>
      </c>
      <c r="G650" s="2" t="s">
        <v>88</v>
      </c>
      <c r="H650" s="2">
        <v>24</v>
      </c>
      <c r="I650" s="2" t="s">
        <v>435</v>
      </c>
      <c r="J650" s="2" t="s">
        <v>66</v>
      </c>
      <c r="K650" s="2" t="s">
        <v>67</v>
      </c>
      <c r="L650" s="2" t="s">
        <v>414</v>
      </c>
      <c r="M650" s="2">
        <v>6523</v>
      </c>
      <c r="N650" s="2" t="s">
        <v>425</v>
      </c>
      <c r="O650" s="2" t="s">
        <v>70</v>
      </c>
      <c r="P650" s="2" t="s">
        <v>71</v>
      </c>
      <c r="Q650" s="2" t="s">
        <v>2868</v>
      </c>
      <c r="R650" s="2">
        <v>725</v>
      </c>
      <c r="S650" s="2">
        <v>5</v>
      </c>
      <c r="T650" s="2" t="s">
        <v>427</v>
      </c>
      <c r="U650" s="2">
        <v>18.2830124</v>
      </c>
      <c r="V650" s="2">
        <v>-66.3705444</v>
      </c>
      <c r="W650" s="2" t="s">
        <v>582</v>
      </c>
      <c r="X650" s="2" t="s">
        <v>626</v>
      </c>
      <c r="Y650" s="2" t="s">
        <v>627</v>
      </c>
      <c r="Z650" s="2">
        <v>6523</v>
      </c>
      <c r="AA650" s="3">
        <v>42097.302777777775</v>
      </c>
      <c r="AB650" s="2">
        <v>4269</v>
      </c>
      <c r="AC650" s="2">
        <v>502</v>
      </c>
      <c r="AD650" s="2">
        <v>0</v>
      </c>
      <c r="AE650" s="2">
        <v>0</v>
      </c>
      <c r="AF650" s="2" t="str" cm="1">
        <f t="array" ref="AF650">_xlfn.IFS(AE650=0, "No Discount ", AE650&lt;=0.08,"Low Discount", AE650&lt;=0.16,"Medium Discount", AE650&gt;0.16, "High Discount")</f>
        <v xml:space="preserve">No Discount </v>
      </c>
      <c r="AG650" s="2">
        <v>10673</v>
      </c>
      <c r="AH650" s="2">
        <v>50</v>
      </c>
      <c r="AI650" s="2">
        <v>0.36</v>
      </c>
      <c r="AJ650" s="2" t="str" cm="1">
        <f t="array" ref="AJ650">_xlfn.IFS(AI650&lt;=0, "No Profit", AI650&lt;=0.16,"Low Profit",AI650&lt;=0.32,"Medium Profit",AI650&gt;0.32,"High Profit")</f>
        <v>High Profit</v>
      </c>
      <c r="AK650" s="2">
        <v>5</v>
      </c>
      <c r="AL650" s="2">
        <v>250</v>
      </c>
      <c r="AM650" s="2">
        <v>250</v>
      </c>
      <c r="AN650" s="2">
        <v>90.75</v>
      </c>
      <c r="AO650" s="2" t="s">
        <v>586</v>
      </c>
      <c r="AP650" s="2" t="s">
        <v>628</v>
      </c>
      <c r="AQ650" s="2" t="s">
        <v>155</v>
      </c>
      <c r="AR650" s="2" t="s">
        <v>81</v>
      </c>
      <c r="AS650" s="2">
        <v>502</v>
      </c>
      <c r="AT650" s="2">
        <v>24</v>
      </c>
      <c r="AU650" s="2" t="s">
        <v>442</v>
      </c>
      <c r="AV650" s="2">
        <v>50</v>
      </c>
      <c r="AW650" s="2">
        <v>0</v>
      </c>
      <c r="AX650" s="3">
        <v>42250.302777777775</v>
      </c>
      <c r="AY650" s="2" t="s">
        <v>83</v>
      </c>
      <c r="AZ650" s="4">
        <v>42097</v>
      </c>
      <c r="BA650" s="5">
        <v>0.30277777777777776</v>
      </c>
      <c r="BB650" s="2">
        <v>2015</v>
      </c>
      <c r="BC650" s="2" t="s">
        <v>487</v>
      </c>
      <c r="BD650" s="2">
        <v>3</v>
      </c>
      <c r="BE650" s="4">
        <v>42250</v>
      </c>
      <c r="BF650" s="5">
        <v>0.30277777777777776</v>
      </c>
      <c r="BG650" s="2" t="str" cm="1">
        <f t="array" ref="BG650">_xlfn.IFS(BF650&lt;TIMEVALUE("06:00"),"Night", BF650&gt;=TIMEVALUE("21:00"),"Night",BF650&gt;=TIMEVALUE("17:00"),"Evening",BF650&gt;=TIMEVALUE("12:00"),"Afternoon", BF650&gt;=TIMEVALUE("06:00"),"Morning")</f>
        <v>Morning</v>
      </c>
      <c r="BH650" s="2">
        <v>2015</v>
      </c>
      <c r="BI650" s="2" t="s">
        <v>552</v>
      </c>
      <c r="BJ650" s="2">
        <v>3</v>
      </c>
    </row>
    <row r="651" spans="1:62" x14ac:dyDescent="0.3">
      <c r="A651" s="2" t="s">
        <v>86</v>
      </c>
      <c r="B651" s="2">
        <v>2</v>
      </c>
      <c r="C651" s="2">
        <v>4</v>
      </c>
      <c r="D651" s="2">
        <v>34.99</v>
      </c>
      <c r="E651" s="2">
        <v>199.95</v>
      </c>
      <c r="F651" s="2" t="s">
        <v>63</v>
      </c>
      <c r="G651" s="2" t="s">
        <v>64</v>
      </c>
      <c r="H651" s="2">
        <v>29</v>
      </c>
      <c r="I651" s="2" t="s">
        <v>424</v>
      </c>
      <c r="J651" s="2" t="s">
        <v>66</v>
      </c>
      <c r="K651" s="2" t="s">
        <v>67</v>
      </c>
      <c r="L651" s="2" t="s">
        <v>414</v>
      </c>
      <c r="M651" s="2">
        <v>4078</v>
      </c>
      <c r="N651" s="2" t="s">
        <v>1976</v>
      </c>
      <c r="O651" s="2" t="s">
        <v>70</v>
      </c>
      <c r="P651" s="2" t="s">
        <v>71</v>
      </c>
      <c r="Q651" s="2" t="s">
        <v>2659</v>
      </c>
      <c r="R651" s="2">
        <v>725</v>
      </c>
      <c r="S651" s="2">
        <v>5</v>
      </c>
      <c r="T651" s="2" t="s">
        <v>427</v>
      </c>
      <c r="U651" s="2">
        <v>18.2055264</v>
      </c>
      <c r="V651" s="2">
        <v>-66.370628400000001</v>
      </c>
      <c r="W651" s="2" t="s">
        <v>582</v>
      </c>
      <c r="X651" s="2" t="s">
        <v>2869</v>
      </c>
      <c r="Y651" s="2" t="s">
        <v>632</v>
      </c>
      <c r="Z651" s="2">
        <v>4078</v>
      </c>
      <c r="AA651" s="2" t="s">
        <v>2870</v>
      </c>
      <c r="AB651" s="2">
        <v>61346</v>
      </c>
      <c r="AC651" s="2">
        <v>627</v>
      </c>
      <c r="AD651" s="2">
        <v>0</v>
      </c>
      <c r="AE651" s="2">
        <v>0</v>
      </c>
      <c r="AF651" s="2" t="str" cm="1">
        <f t="array" ref="AF651">_xlfn.IFS(AE651=0, "No Discount ", AE651&lt;=0.08,"Low Discount", AE651&lt;=0.16,"Medium Discount", AE651&gt;0.16, "High Discount")</f>
        <v xml:space="preserve">No Discount </v>
      </c>
      <c r="AG651" s="2">
        <v>153470</v>
      </c>
      <c r="AH651" s="2">
        <v>39.99</v>
      </c>
      <c r="AI651" s="2">
        <v>0.18</v>
      </c>
      <c r="AJ651" s="2" t="str" cm="1">
        <f t="array" ref="AJ651">_xlfn.IFS(AI651&lt;=0, "No Profit", AI651&lt;=0.16,"Low Profit",AI651&lt;=0.32,"Medium Profit",AI651&gt;0.32,"High Profit")</f>
        <v>Medium Profit</v>
      </c>
      <c r="AK651" s="2">
        <v>5</v>
      </c>
      <c r="AL651" s="2">
        <v>199.95</v>
      </c>
      <c r="AM651" s="2">
        <v>199.95</v>
      </c>
      <c r="AN651" s="2">
        <v>34.99</v>
      </c>
      <c r="AO651" s="2" t="s">
        <v>607</v>
      </c>
      <c r="AP651" s="2" t="s">
        <v>1835</v>
      </c>
      <c r="AQ651" s="2" t="s">
        <v>155</v>
      </c>
      <c r="AR651" s="2" t="s">
        <v>81</v>
      </c>
      <c r="AS651" s="2">
        <v>627</v>
      </c>
      <c r="AT651" s="2">
        <v>29</v>
      </c>
      <c r="AU651" s="2" t="s">
        <v>432</v>
      </c>
      <c r="AV651" s="2">
        <v>39.99</v>
      </c>
      <c r="AW651" s="2">
        <v>0</v>
      </c>
      <c r="AX651" s="2" t="s">
        <v>2871</v>
      </c>
      <c r="AY651" s="2" t="s">
        <v>83</v>
      </c>
      <c r="AZ651" s="4">
        <v>42900</v>
      </c>
      <c r="BA651" s="5">
        <v>0.49513888888888891</v>
      </c>
      <c r="BB651" s="2">
        <v>2017</v>
      </c>
      <c r="BC651" s="2" t="s">
        <v>474</v>
      </c>
      <c r="BD651" s="2">
        <v>14</v>
      </c>
      <c r="BE651" s="4">
        <v>42902</v>
      </c>
      <c r="BF651" s="5">
        <v>0.49513888888888891</v>
      </c>
      <c r="BG651" s="2" t="str" cm="1">
        <f t="array" ref="BG651">_xlfn.IFS(BF651&lt;TIMEVALUE("06:00"),"Night", BF651&gt;=TIMEVALUE("21:00"),"Night",BF651&gt;=TIMEVALUE("17:00"),"Evening",BF651&gt;=TIMEVALUE("12:00"),"Afternoon", BF651&gt;=TIMEVALUE("06:00"),"Morning")</f>
        <v>Morning</v>
      </c>
      <c r="BH651" s="2">
        <v>2017</v>
      </c>
      <c r="BI651" s="2" t="s">
        <v>474</v>
      </c>
      <c r="BJ651" s="2">
        <v>16</v>
      </c>
    </row>
    <row r="652" spans="1:62" x14ac:dyDescent="0.3">
      <c r="A652" s="2" t="s">
        <v>86</v>
      </c>
      <c r="B652" s="2">
        <v>5</v>
      </c>
      <c r="C652" s="2">
        <v>4</v>
      </c>
      <c r="D652" s="2">
        <v>24.75</v>
      </c>
      <c r="E652" s="2">
        <v>247.5</v>
      </c>
      <c r="F652" s="2" t="s">
        <v>87</v>
      </c>
      <c r="G652" s="2" t="s">
        <v>88</v>
      </c>
      <c r="H652" s="2">
        <v>24</v>
      </c>
      <c r="I652" s="2" t="s">
        <v>435</v>
      </c>
      <c r="J652" s="2" t="s">
        <v>66</v>
      </c>
      <c r="K652" s="2" t="s">
        <v>67</v>
      </c>
      <c r="L652" s="2" t="s">
        <v>414</v>
      </c>
      <c r="M652" s="2">
        <v>4867</v>
      </c>
      <c r="N652" s="2" t="s">
        <v>425</v>
      </c>
      <c r="O652" s="2" t="s">
        <v>70</v>
      </c>
      <c r="P652" s="2" t="s">
        <v>71</v>
      </c>
      <c r="Q652" s="2" t="s">
        <v>2872</v>
      </c>
      <c r="R652" s="2">
        <v>725</v>
      </c>
      <c r="S652" s="2">
        <v>5</v>
      </c>
      <c r="T652" s="2" t="s">
        <v>427</v>
      </c>
      <c r="U652" s="2">
        <v>18.222559</v>
      </c>
      <c r="V652" s="2">
        <v>-66.3706131</v>
      </c>
      <c r="W652" s="2" t="s">
        <v>582</v>
      </c>
      <c r="X652" s="2" t="s">
        <v>2856</v>
      </c>
      <c r="Y652" s="2" t="s">
        <v>599</v>
      </c>
      <c r="Z652" s="2">
        <v>4867</v>
      </c>
      <c r="AA652" s="2" t="s">
        <v>2873</v>
      </c>
      <c r="AB652" s="2">
        <v>1999</v>
      </c>
      <c r="AC652" s="2">
        <v>502</v>
      </c>
      <c r="AD652" s="2">
        <v>2.5</v>
      </c>
      <c r="AE652" s="2">
        <v>0.01</v>
      </c>
      <c r="AF652" s="2" t="str" cm="1">
        <f t="array" ref="AF652">_xlfn.IFS(AE652=0, "No Discount ", AE652&lt;=0.08,"Low Discount", AE652&lt;=0.16,"Medium Discount", AE652&gt;0.16, "High Discount")</f>
        <v>Low Discount</v>
      </c>
      <c r="AG652" s="2">
        <v>5000</v>
      </c>
      <c r="AH652" s="2">
        <v>50</v>
      </c>
      <c r="AI652" s="2">
        <v>0.1</v>
      </c>
      <c r="AJ652" s="2" t="str" cm="1">
        <f t="array" ref="AJ652">_xlfn.IFS(AI652&lt;=0, "No Profit", AI652&lt;=0.16,"Low Profit",AI652&lt;=0.32,"Medium Profit",AI652&gt;0.32,"High Profit")</f>
        <v>Low Profit</v>
      </c>
      <c r="AK652" s="2">
        <v>5</v>
      </c>
      <c r="AL652" s="2">
        <v>250</v>
      </c>
      <c r="AM652" s="2">
        <v>247.5</v>
      </c>
      <c r="AN652" s="2">
        <v>24.75</v>
      </c>
      <c r="AO652" s="2" t="s">
        <v>601</v>
      </c>
      <c r="AP652" s="2" t="s">
        <v>2858</v>
      </c>
      <c r="AQ652" s="2" t="s">
        <v>155</v>
      </c>
      <c r="AR652" s="2" t="s">
        <v>81</v>
      </c>
      <c r="AS652" s="2">
        <v>502</v>
      </c>
      <c r="AT652" s="2">
        <v>24</v>
      </c>
      <c r="AU652" s="2" t="s">
        <v>442</v>
      </c>
      <c r="AV652" s="2">
        <v>50</v>
      </c>
      <c r="AW652" s="2">
        <v>0</v>
      </c>
      <c r="AX652" s="3">
        <v>42096.165972222225</v>
      </c>
      <c r="AY652" s="2" t="s">
        <v>83</v>
      </c>
      <c r="AZ652" s="4">
        <v>42034</v>
      </c>
      <c r="BA652" s="5">
        <v>0.16597222222222222</v>
      </c>
      <c r="BB652" s="2">
        <v>2015</v>
      </c>
      <c r="BC652" s="2" t="s">
        <v>84</v>
      </c>
      <c r="BD652" s="2">
        <v>30</v>
      </c>
      <c r="BE652" s="4">
        <v>42096</v>
      </c>
      <c r="BF652" s="5">
        <v>0.16597222222222222</v>
      </c>
      <c r="BG652" s="2" t="str" cm="1">
        <f t="array" ref="BG652">_xlfn.IFS(BF652&lt;TIMEVALUE("06:00"),"Night", BF652&gt;=TIMEVALUE("21:00"),"Night",BF652&gt;=TIMEVALUE("17:00"),"Evening",BF652&gt;=TIMEVALUE("12:00"),"Afternoon", BF652&gt;=TIMEVALUE("06:00"),"Morning")</f>
        <v>Night</v>
      </c>
      <c r="BH652" s="2">
        <v>2015</v>
      </c>
      <c r="BI652" s="2" t="s">
        <v>487</v>
      </c>
      <c r="BJ652" s="2">
        <v>2</v>
      </c>
    </row>
    <row r="653" spans="1:62" x14ac:dyDescent="0.3">
      <c r="A653" s="2" t="s">
        <v>86</v>
      </c>
      <c r="B653" s="2">
        <v>2</v>
      </c>
      <c r="C653" s="2">
        <v>4</v>
      </c>
      <c r="D653" s="2">
        <v>39.15</v>
      </c>
      <c r="E653" s="2">
        <v>346.5</v>
      </c>
      <c r="F653" s="2" t="s">
        <v>63</v>
      </c>
      <c r="G653" s="2" t="s">
        <v>64</v>
      </c>
      <c r="H653" s="2">
        <v>26</v>
      </c>
      <c r="I653" s="2" t="s">
        <v>1132</v>
      </c>
      <c r="J653" s="2" t="s">
        <v>66</v>
      </c>
      <c r="K653" s="2" t="s">
        <v>67</v>
      </c>
      <c r="L653" s="2" t="s">
        <v>414</v>
      </c>
      <c r="M653" s="2">
        <v>5301</v>
      </c>
      <c r="N653" s="2" t="s">
        <v>1517</v>
      </c>
      <c r="O653" s="2" t="s">
        <v>70</v>
      </c>
      <c r="P653" s="2" t="s">
        <v>71</v>
      </c>
      <c r="Q653" s="2" t="s">
        <v>2874</v>
      </c>
      <c r="R653" s="2">
        <v>725</v>
      </c>
      <c r="S653" s="2">
        <v>5</v>
      </c>
      <c r="T653" s="2" t="s">
        <v>427</v>
      </c>
      <c r="U653" s="2">
        <v>18.275159800000001</v>
      </c>
      <c r="V653" s="2">
        <v>-66.370529199999993</v>
      </c>
      <c r="W653" s="2" t="s">
        <v>582</v>
      </c>
      <c r="X653" s="2" t="s">
        <v>2875</v>
      </c>
      <c r="Y653" s="2" t="s">
        <v>638</v>
      </c>
      <c r="Z653" s="2">
        <v>5301</v>
      </c>
      <c r="AA653" s="2" t="s">
        <v>2876</v>
      </c>
      <c r="AB653" s="2">
        <v>53576</v>
      </c>
      <c r="AC653" s="2">
        <v>565</v>
      </c>
      <c r="AD653" s="2">
        <v>3.5</v>
      </c>
      <c r="AE653" s="2">
        <v>0.01</v>
      </c>
      <c r="AF653" s="2" t="str" cm="1">
        <f t="array" ref="AF653">_xlfn.IFS(AE653=0, "No Discount ", AE653&lt;=0.08,"Low Discount", AE653&lt;=0.16,"Medium Discount", AE653&gt;0.16, "High Discount")</f>
        <v>Low Discount</v>
      </c>
      <c r="AG653" s="2">
        <v>133897</v>
      </c>
      <c r="AH653" s="2">
        <v>70</v>
      </c>
      <c r="AI653" s="2">
        <v>0.11</v>
      </c>
      <c r="AJ653" s="2" t="str" cm="1">
        <f t="array" ref="AJ653">_xlfn.IFS(AI653&lt;=0, "No Profit", AI653&lt;=0.16,"Low Profit",AI653&lt;=0.32,"Medium Profit",AI653&gt;0.32,"High Profit")</f>
        <v>Low Profit</v>
      </c>
      <c r="AK653" s="2">
        <v>5</v>
      </c>
      <c r="AL653" s="2">
        <v>350</v>
      </c>
      <c r="AM653" s="2">
        <v>346.5</v>
      </c>
      <c r="AN653" s="2">
        <v>39.15</v>
      </c>
      <c r="AO653" s="2" t="s">
        <v>586</v>
      </c>
      <c r="AP653" s="2" t="s">
        <v>1823</v>
      </c>
      <c r="AQ653" s="2" t="s">
        <v>155</v>
      </c>
      <c r="AR653" s="2" t="s">
        <v>81</v>
      </c>
      <c r="AS653" s="2">
        <v>565</v>
      </c>
      <c r="AT653" s="2">
        <v>26</v>
      </c>
      <c r="AU653" s="2" t="s">
        <v>1871</v>
      </c>
      <c r="AV653" s="2">
        <v>70</v>
      </c>
      <c r="AW653" s="2">
        <v>0</v>
      </c>
      <c r="AX653" s="2" t="s">
        <v>2877</v>
      </c>
      <c r="AY653" s="2" t="s">
        <v>83</v>
      </c>
      <c r="AZ653" s="4">
        <v>42787</v>
      </c>
      <c r="BA653" s="5">
        <v>7.0833333333333331E-2</v>
      </c>
      <c r="BB653" s="2">
        <v>2017</v>
      </c>
      <c r="BC653" s="2" t="s">
        <v>423</v>
      </c>
      <c r="BD653" s="2">
        <v>21</v>
      </c>
      <c r="BE653" s="4">
        <v>42789</v>
      </c>
      <c r="BF653" s="5">
        <v>7.0833333333333331E-2</v>
      </c>
      <c r="BG653" s="2" t="str" cm="1">
        <f t="array" ref="BG653">_xlfn.IFS(BF653&lt;TIMEVALUE("06:00"),"Night", BF653&gt;=TIMEVALUE("21:00"),"Night",BF653&gt;=TIMEVALUE("17:00"),"Evening",BF653&gt;=TIMEVALUE("12:00"),"Afternoon", BF653&gt;=TIMEVALUE("06:00"),"Morning")</f>
        <v>Night</v>
      </c>
      <c r="BH653" s="2">
        <v>2017</v>
      </c>
      <c r="BI653" s="2" t="s">
        <v>423</v>
      </c>
      <c r="BJ653" s="2">
        <v>23</v>
      </c>
    </row>
    <row r="654" spans="1:62" x14ac:dyDescent="0.3">
      <c r="A654" s="2" t="s">
        <v>86</v>
      </c>
      <c r="B654" s="2">
        <v>3</v>
      </c>
      <c r="C654" s="2">
        <v>4</v>
      </c>
      <c r="D654" s="2">
        <v>-58.31</v>
      </c>
      <c r="E654" s="2">
        <v>245</v>
      </c>
      <c r="F654" s="2" t="s">
        <v>63</v>
      </c>
      <c r="G654" s="2" t="s">
        <v>64</v>
      </c>
      <c r="H654" s="2">
        <v>24</v>
      </c>
      <c r="I654" s="2" t="s">
        <v>435</v>
      </c>
      <c r="J654" s="2" t="s">
        <v>66</v>
      </c>
      <c r="K654" s="2" t="s">
        <v>67</v>
      </c>
      <c r="L654" s="2" t="s">
        <v>414</v>
      </c>
      <c r="M654" s="2">
        <v>4784</v>
      </c>
      <c r="N654" s="2" t="s">
        <v>1162</v>
      </c>
      <c r="O654" s="2" t="s">
        <v>70</v>
      </c>
      <c r="P654" s="2" t="s">
        <v>71</v>
      </c>
      <c r="Q654" s="2" t="s">
        <v>2878</v>
      </c>
      <c r="R654" s="2">
        <v>725</v>
      </c>
      <c r="S654" s="2">
        <v>5</v>
      </c>
      <c r="T654" s="2" t="s">
        <v>427</v>
      </c>
      <c r="U654" s="2">
        <v>18.273084600000001</v>
      </c>
      <c r="V654" s="2">
        <v>-66.370605499999996</v>
      </c>
      <c r="W654" s="2" t="s">
        <v>582</v>
      </c>
      <c r="X654" s="2" t="s">
        <v>1837</v>
      </c>
      <c r="Y654" s="2" t="s">
        <v>638</v>
      </c>
      <c r="Z654" s="2">
        <v>4784</v>
      </c>
      <c r="AA654" s="2" t="s">
        <v>2879</v>
      </c>
      <c r="AB654" s="2">
        <v>57152</v>
      </c>
      <c r="AC654" s="2">
        <v>502</v>
      </c>
      <c r="AD654" s="2">
        <v>5</v>
      </c>
      <c r="AE654" s="2">
        <v>0.02</v>
      </c>
      <c r="AF654" s="2" t="str" cm="1">
        <f t="array" ref="AF654">_xlfn.IFS(AE654=0, "No Discount ", AE654&lt;=0.08,"Low Discount", AE654&lt;=0.16,"Medium Discount", AE654&gt;0.16, "High Discount")</f>
        <v>Low Discount</v>
      </c>
      <c r="AG654" s="2">
        <v>142954</v>
      </c>
      <c r="AH654" s="2">
        <v>50</v>
      </c>
      <c r="AI654" s="2">
        <v>-0.24</v>
      </c>
      <c r="AJ654" s="2" t="str" cm="1">
        <f t="array" ref="AJ654">_xlfn.IFS(AI654&lt;=0, "No Profit", AI654&lt;=0.16,"Low Profit",AI654&lt;=0.32,"Medium Profit",AI654&gt;0.32,"High Profit")</f>
        <v>No Profit</v>
      </c>
      <c r="AK654" s="2">
        <v>5</v>
      </c>
      <c r="AL654" s="2">
        <v>250</v>
      </c>
      <c r="AM654" s="2">
        <v>245</v>
      </c>
      <c r="AN654" s="2">
        <v>-58.31</v>
      </c>
      <c r="AO654" s="2" t="s">
        <v>586</v>
      </c>
      <c r="AP654" s="2" t="s">
        <v>1838</v>
      </c>
      <c r="AQ654" s="2" t="s">
        <v>155</v>
      </c>
      <c r="AR654" s="2" t="s">
        <v>81</v>
      </c>
      <c r="AS654" s="2">
        <v>502</v>
      </c>
      <c r="AT654" s="2">
        <v>24</v>
      </c>
      <c r="AU654" s="2" t="s">
        <v>442</v>
      </c>
      <c r="AV654" s="2">
        <v>50</v>
      </c>
      <c r="AW654" s="2">
        <v>0</v>
      </c>
      <c r="AX654" s="2" t="s">
        <v>2880</v>
      </c>
      <c r="AY654" s="2" t="s">
        <v>83</v>
      </c>
      <c r="AZ654" s="4">
        <v>42839</v>
      </c>
      <c r="BA654" s="5">
        <v>0.2722222222222222</v>
      </c>
      <c r="BB654" s="2">
        <v>2017</v>
      </c>
      <c r="BC654" s="2" t="s">
        <v>487</v>
      </c>
      <c r="BD654" s="2">
        <v>14</v>
      </c>
      <c r="BE654" s="4">
        <v>42842</v>
      </c>
      <c r="BF654" s="5">
        <v>0.2722222222222222</v>
      </c>
      <c r="BG654" s="2" t="str" cm="1">
        <f t="array" ref="BG654">_xlfn.IFS(BF654&lt;TIMEVALUE("06:00"),"Night", BF654&gt;=TIMEVALUE("21:00"),"Night",BF654&gt;=TIMEVALUE("17:00"),"Evening",BF654&gt;=TIMEVALUE("12:00"),"Afternoon", BF654&gt;=TIMEVALUE("06:00"),"Morning")</f>
        <v>Morning</v>
      </c>
      <c r="BH654" s="2">
        <v>2017</v>
      </c>
      <c r="BI654" s="2" t="s">
        <v>487</v>
      </c>
      <c r="BJ654" s="2">
        <v>17</v>
      </c>
    </row>
    <row r="655" spans="1:62" x14ac:dyDescent="0.3">
      <c r="A655" s="2" t="s">
        <v>86</v>
      </c>
      <c r="B655" s="2">
        <v>5</v>
      </c>
      <c r="C655" s="2">
        <v>4</v>
      </c>
      <c r="D655" s="2">
        <v>42.88</v>
      </c>
      <c r="E655" s="2">
        <v>122.5</v>
      </c>
      <c r="F655" s="2" t="s">
        <v>87</v>
      </c>
      <c r="G655" s="2" t="s">
        <v>88</v>
      </c>
      <c r="H655" s="2">
        <v>26</v>
      </c>
      <c r="I655" s="2" t="s">
        <v>1132</v>
      </c>
      <c r="J655" s="2" t="s">
        <v>66</v>
      </c>
      <c r="K655" s="2" t="s">
        <v>67</v>
      </c>
      <c r="L655" s="2" t="s">
        <v>414</v>
      </c>
      <c r="M655" s="2">
        <v>8348</v>
      </c>
      <c r="N655" s="2" t="s">
        <v>2751</v>
      </c>
      <c r="O655" s="2" t="s">
        <v>70</v>
      </c>
      <c r="P655" s="2" t="s">
        <v>71</v>
      </c>
      <c r="Q655" s="2" t="s">
        <v>2752</v>
      </c>
      <c r="R655" s="2">
        <v>725</v>
      </c>
      <c r="S655" s="2">
        <v>5</v>
      </c>
      <c r="T655" s="2" t="s">
        <v>427</v>
      </c>
      <c r="U655" s="2">
        <v>18.2436638</v>
      </c>
      <c r="V655" s="2">
        <v>-66.370590199999995</v>
      </c>
      <c r="W655" s="2" t="s">
        <v>582</v>
      </c>
      <c r="X655" s="2" t="s">
        <v>2881</v>
      </c>
      <c r="Y655" s="2" t="s">
        <v>735</v>
      </c>
      <c r="Z655" s="2">
        <v>8348</v>
      </c>
      <c r="AA655" s="2" t="s">
        <v>2882</v>
      </c>
      <c r="AB655" s="2">
        <v>51674</v>
      </c>
      <c r="AC655" s="2">
        <v>567</v>
      </c>
      <c r="AD655" s="2">
        <v>2.5</v>
      </c>
      <c r="AE655" s="2">
        <v>0.02</v>
      </c>
      <c r="AF655" s="2" t="str" cm="1">
        <f t="array" ref="AF655">_xlfn.IFS(AE655=0, "No Discount ", AE655&lt;=0.08,"Low Discount", AE655&lt;=0.16,"Medium Discount", AE655&gt;0.16, "High Discount")</f>
        <v>Low Discount</v>
      </c>
      <c r="AG655" s="2">
        <v>129114</v>
      </c>
      <c r="AH655" s="2">
        <v>25</v>
      </c>
      <c r="AI655" s="2">
        <v>0.35</v>
      </c>
      <c r="AJ655" s="2" t="str" cm="1">
        <f t="array" ref="AJ655">_xlfn.IFS(AI655&lt;=0, "No Profit", AI655&lt;=0.16,"Low Profit",AI655&lt;=0.32,"Medium Profit",AI655&gt;0.32,"High Profit")</f>
        <v>High Profit</v>
      </c>
      <c r="AK655" s="2">
        <v>5</v>
      </c>
      <c r="AL655" s="2">
        <v>125</v>
      </c>
      <c r="AM655" s="2">
        <v>122.5</v>
      </c>
      <c r="AN655" s="2">
        <v>42.88</v>
      </c>
      <c r="AO655" s="2" t="s">
        <v>607</v>
      </c>
      <c r="AP655" s="2" t="s">
        <v>2881</v>
      </c>
      <c r="AQ655" s="2" t="s">
        <v>155</v>
      </c>
      <c r="AR655" s="2" t="s">
        <v>81</v>
      </c>
      <c r="AS655" s="2">
        <v>567</v>
      </c>
      <c r="AT655" s="2">
        <v>26</v>
      </c>
      <c r="AU655" s="2" t="s">
        <v>1133</v>
      </c>
      <c r="AV655" s="2">
        <v>25</v>
      </c>
      <c r="AW655" s="2">
        <v>0</v>
      </c>
      <c r="AX655" s="2" t="s">
        <v>2883</v>
      </c>
      <c r="AY655" s="2" t="s">
        <v>83</v>
      </c>
      <c r="AZ655" s="4">
        <v>42759</v>
      </c>
      <c r="BA655" s="5">
        <v>0.30625000000000002</v>
      </c>
      <c r="BB655" s="2">
        <v>2017</v>
      </c>
      <c r="BC655" s="2" t="s">
        <v>84</v>
      </c>
      <c r="BD655" s="2">
        <v>24</v>
      </c>
      <c r="BE655" s="4">
        <v>42764</v>
      </c>
      <c r="BF655" s="5">
        <v>0.30625000000000002</v>
      </c>
      <c r="BG655" s="2" t="str" cm="1">
        <f t="array" ref="BG655">_xlfn.IFS(BF655&lt;TIMEVALUE("06:00"),"Night", BF655&gt;=TIMEVALUE("21:00"),"Night",BF655&gt;=TIMEVALUE("17:00"),"Evening",BF655&gt;=TIMEVALUE("12:00"),"Afternoon", BF655&gt;=TIMEVALUE("06:00"),"Morning")</f>
        <v>Morning</v>
      </c>
      <c r="BH655" s="2">
        <v>2017</v>
      </c>
      <c r="BI655" s="2" t="s">
        <v>84</v>
      </c>
      <c r="BJ655" s="2">
        <v>29</v>
      </c>
    </row>
    <row r="656" spans="1:62" x14ac:dyDescent="0.3">
      <c r="A656" s="2" t="s">
        <v>86</v>
      </c>
      <c r="B656" s="2">
        <v>2</v>
      </c>
      <c r="C656" s="2">
        <v>4</v>
      </c>
      <c r="D656" s="2">
        <v>-36.840000000000003</v>
      </c>
      <c r="E656" s="2">
        <v>195.95</v>
      </c>
      <c r="F656" s="2" t="s">
        <v>63</v>
      </c>
      <c r="G656" s="2" t="s">
        <v>64</v>
      </c>
      <c r="H656" s="2">
        <v>29</v>
      </c>
      <c r="I656" s="2" t="s">
        <v>424</v>
      </c>
      <c r="J656" s="2" t="s">
        <v>66</v>
      </c>
      <c r="K656" s="2" t="s">
        <v>67</v>
      </c>
      <c r="L656" s="2" t="s">
        <v>580</v>
      </c>
      <c r="M656" s="2">
        <v>7446</v>
      </c>
      <c r="N656" s="2" t="s">
        <v>1162</v>
      </c>
      <c r="O656" s="2" t="s">
        <v>70</v>
      </c>
      <c r="P656" s="2" t="s">
        <v>71</v>
      </c>
      <c r="Q656" s="2" t="s">
        <v>2884</v>
      </c>
      <c r="R656" s="2">
        <v>725</v>
      </c>
      <c r="S656" s="2">
        <v>5</v>
      </c>
      <c r="T656" s="2" t="s">
        <v>427</v>
      </c>
      <c r="U656" s="2">
        <v>18.2331219</v>
      </c>
      <c r="V656" s="2">
        <v>-66.370590199999995</v>
      </c>
      <c r="W656" s="2" t="s">
        <v>582</v>
      </c>
      <c r="X656" s="2" t="s">
        <v>658</v>
      </c>
      <c r="Y656" s="2" t="s">
        <v>632</v>
      </c>
      <c r="Z656" s="2">
        <v>7446</v>
      </c>
      <c r="AA656" s="2" t="s">
        <v>2885</v>
      </c>
      <c r="AB656" s="2">
        <v>55336</v>
      </c>
      <c r="AC656" s="2">
        <v>627</v>
      </c>
      <c r="AD656" s="2">
        <v>4</v>
      </c>
      <c r="AE656" s="2">
        <v>0.02</v>
      </c>
      <c r="AF656" s="2" t="str" cm="1">
        <f t="array" ref="AF656">_xlfn.IFS(AE656=0, "No Discount ", AE656&lt;=0.08,"Low Discount", AE656&lt;=0.16,"Medium Discount", AE656&gt;0.16, "High Discount")</f>
        <v>Low Discount</v>
      </c>
      <c r="AG656" s="2">
        <v>138382</v>
      </c>
      <c r="AH656" s="2">
        <v>39.99</v>
      </c>
      <c r="AI656" s="2">
        <v>-0.19</v>
      </c>
      <c r="AJ656" s="2" t="str" cm="1">
        <f t="array" ref="AJ656">_xlfn.IFS(AI656&lt;=0, "No Profit", AI656&lt;=0.16,"Low Profit",AI656&lt;=0.32,"Medium Profit",AI656&gt;0.32,"High Profit")</f>
        <v>No Profit</v>
      </c>
      <c r="AK656" s="2">
        <v>5</v>
      </c>
      <c r="AL656" s="2">
        <v>199.95</v>
      </c>
      <c r="AM656" s="2">
        <v>195.95</v>
      </c>
      <c r="AN656" s="2">
        <v>-36.840000000000003</v>
      </c>
      <c r="AO656" s="2" t="s">
        <v>607</v>
      </c>
      <c r="AP656" s="2" t="s">
        <v>658</v>
      </c>
      <c r="AQ656" s="2" t="s">
        <v>155</v>
      </c>
      <c r="AR656" s="2" t="s">
        <v>81</v>
      </c>
      <c r="AS656" s="2">
        <v>627</v>
      </c>
      <c r="AT656" s="2">
        <v>29</v>
      </c>
      <c r="AU656" s="2" t="s">
        <v>432</v>
      </c>
      <c r="AV656" s="2">
        <v>39.99</v>
      </c>
      <c r="AW656" s="2">
        <v>0</v>
      </c>
      <c r="AX656" s="2" t="s">
        <v>2886</v>
      </c>
      <c r="AY656" s="2" t="s">
        <v>83</v>
      </c>
      <c r="AZ656" s="4">
        <v>42812</v>
      </c>
      <c r="BA656" s="5">
        <v>0.76249999999999996</v>
      </c>
      <c r="BB656" s="2">
        <v>2017</v>
      </c>
      <c r="BC656" s="2" t="s">
        <v>85</v>
      </c>
      <c r="BD656" s="2">
        <v>18</v>
      </c>
      <c r="BE656" s="4">
        <v>42814</v>
      </c>
      <c r="BF656" s="5">
        <v>0.76249999999999996</v>
      </c>
      <c r="BG656" s="2" t="str" cm="1">
        <f t="array" ref="BG656">_xlfn.IFS(BF656&lt;TIMEVALUE("06:00"),"Night", BF656&gt;=TIMEVALUE("21:00"),"Night",BF656&gt;=TIMEVALUE("17:00"),"Evening",BF656&gt;=TIMEVALUE("12:00"),"Afternoon", BF656&gt;=TIMEVALUE("06:00"),"Morning")</f>
        <v>Evening</v>
      </c>
      <c r="BH656" s="2">
        <v>2017</v>
      </c>
      <c r="BI656" s="2" t="s">
        <v>85</v>
      </c>
      <c r="BJ656" s="2">
        <v>20</v>
      </c>
    </row>
    <row r="657" spans="1:62" x14ac:dyDescent="0.3">
      <c r="A657" s="2" t="s">
        <v>86</v>
      </c>
      <c r="B657" s="2">
        <v>6</v>
      </c>
      <c r="C657" s="2">
        <v>4</v>
      </c>
      <c r="D657" s="2">
        <v>7.45</v>
      </c>
      <c r="E657" s="2">
        <v>195.95</v>
      </c>
      <c r="F657" s="2" t="s">
        <v>87</v>
      </c>
      <c r="G657" s="2" t="s">
        <v>88</v>
      </c>
      <c r="H657" s="2">
        <v>29</v>
      </c>
      <c r="I657" s="2" t="s">
        <v>424</v>
      </c>
      <c r="J657" s="2" t="s">
        <v>66</v>
      </c>
      <c r="K657" s="2" t="s">
        <v>67</v>
      </c>
      <c r="L657" s="2" t="s">
        <v>414</v>
      </c>
      <c r="M657" s="2">
        <v>11455</v>
      </c>
      <c r="N657" s="2" t="s">
        <v>1905</v>
      </c>
      <c r="O657" s="2" t="s">
        <v>70</v>
      </c>
      <c r="P657" s="2" t="s">
        <v>71</v>
      </c>
      <c r="Q657" s="2" t="s">
        <v>2887</v>
      </c>
      <c r="R657" s="2">
        <v>725</v>
      </c>
      <c r="S657" s="2">
        <v>5</v>
      </c>
      <c r="T657" s="2" t="s">
        <v>427</v>
      </c>
      <c r="U657" s="2">
        <v>18.251514400000001</v>
      </c>
      <c r="V657" s="2">
        <v>-66.370620700000003</v>
      </c>
      <c r="W657" s="2" t="s">
        <v>582</v>
      </c>
      <c r="X657" s="2" t="s">
        <v>2888</v>
      </c>
      <c r="Y657" s="2" t="s">
        <v>632</v>
      </c>
      <c r="Z657" s="2">
        <v>11455</v>
      </c>
      <c r="AA657" s="2" t="s">
        <v>2889</v>
      </c>
      <c r="AB657" s="2">
        <v>53810</v>
      </c>
      <c r="AC657" s="2">
        <v>627</v>
      </c>
      <c r="AD657" s="2">
        <v>4</v>
      </c>
      <c r="AE657" s="2">
        <v>0.02</v>
      </c>
      <c r="AF657" s="2" t="str" cm="1">
        <f t="array" ref="AF657">_xlfn.IFS(AE657=0, "No Discount ", AE657&lt;=0.08,"Low Discount", AE657&lt;=0.16,"Medium Discount", AE657&gt;0.16, "High Discount")</f>
        <v>Low Discount</v>
      </c>
      <c r="AG657" s="2">
        <v>134532</v>
      </c>
      <c r="AH657" s="2">
        <v>39.99</v>
      </c>
      <c r="AI657" s="2">
        <v>0.04</v>
      </c>
      <c r="AJ657" s="2" t="str" cm="1">
        <f t="array" ref="AJ657">_xlfn.IFS(AI657&lt;=0, "No Profit", AI657&lt;=0.16,"Low Profit",AI657&lt;=0.32,"Medium Profit",AI657&gt;0.32,"High Profit")</f>
        <v>Low Profit</v>
      </c>
      <c r="AK657" s="2">
        <v>5</v>
      </c>
      <c r="AL657" s="2">
        <v>199.95</v>
      </c>
      <c r="AM657" s="2">
        <v>195.95</v>
      </c>
      <c r="AN657" s="2">
        <v>7.45</v>
      </c>
      <c r="AO657" s="2" t="s">
        <v>607</v>
      </c>
      <c r="AP657" s="2" t="s">
        <v>1835</v>
      </c>
      <c r="AQ657" s="2" t="s">
        <v>155</v>
      </c>
      <c r="AR657" s="2" t="s">
        <v>81</v>
      </c>
      <c r="AS657" s="2">
        <v>627</v>
      </c>
      <c r="AT657" s="2">
        <v>29</v>
      </c>
      <c r="AU657" s="2" t="s">
        <v>432</v>
      </c>
      <c r="AV657" s="2">
        <v>39.99</v>
      </c>
      <c r="AW657" s="2">
        <v>0</v>
      </c>
      <c r="AX657" s="3">
        <v>42769.486805555556</v>
      </c>
      <c r="AY657" s="2" t="s">
        <v>83</v>
      </c>
      <c r="AZ657" s="4">
        <v>42790</v>
      </c>
      <c r="BA657" s="5">
        <v>0.48680555555555555</v>
      </c>
      <c r="BB657" s="2">
        <v>2017</v>
      </c>
      <c r="BC657" s="2" t="s">
        <v>423</v>
      </c>
      <c r="BD657" s="2">
        <v>24</v>
      </c>
      <c r="BE657" s="4">
        <v>42769</v>
      </c>
      <c r="BF657" s="5">
        <v>0.48680555555555555</v>
      </c>
      <c r="BG657" s="2" t="str" cm="1">
        <f t="array" ref="BG657">_xlfn.IFS(BF657&lt;TIMEVALUE("06:00"),"Night", BF657&gt;=TIMEVALUE("21:00"),"Night",BF657&gt;=TIMEVALUE("17:00"),"Evening",BF657&gt;=TIMEVALUE("12:00"),"Afternoon", BF657&gt;=TIMEVALUE("06:00"),"Morning")</f>
        <v>Morning</v>
      </c>
      <c r="BH657" s="2">
        <v>2017</v>
      </c>
      <c r="BI657" s="2" t="s">
        <v>423</v>
      </c>
      <c r="BJ657" s="2">
        <v>3</v>
      </c>
    </row>
    <row r="658" spans="1:62" x14ac:dyDescent="0.3">
      <c r="A658" s="2" t="s">
        <v>86</v>
      </c>
      <c r="B658" s="2">
        <v>2</v>
      </c>
      <c r="C658" s="2">
        <v>4</v>
      </c>
      <c r="D658" s="2">
        <v>48</v>
      </c>
      <c r="E658" s="2">
        <v>240</v>
      </c>
      <c r="F658" s="2" t="s">
        <v>63</v>
      </c>
      <c r="G658" s="2" t="s">
        <v>64</v>
      </c>
      <c r="H658" s="2">
        <v>24</v>
      </c>
      <c r="I658" s="2" t="s">
        <v>435</v>
      </c>
      <c r="J658" s="2" t="s">
        <v>66</v>
      </c>
      <c r="K658" s="2" t="s">
        <v>67</v>
      </c>
      <c r="L658" s="2" t="s">
        <v>489</v>
      </c>
      <c r="M658" s="2">
        <v>5364</v>
      </c>
      <c r="N658" s="2" t="s">
        <v>2890</v>
      </c>
      <c r="O658" s="2" t="s">
        <v>70</v>
      </c>
      <c r="P658" s="2" t="s">
        <v>71</v>
      </c>
      <c r="Q658" s="2" t="s">
        <v>2891</v>
      </c>
      <c r="R658" s="2">
        <v>725</v>
      </c>
      <c r="S658" s="2">
        <v>5</v>
      </c>
      <c r="T658" s="2" t="s">
        <v>427</v>
      </c>
      <c r="U658" s="2">
        <v>18.257333800000001</v>
      </c>
      <c r="V658" s="2">
        <v>-66.3706131</v>
      </c>
      <c r="W658" s="2" t="s">
        <v>582</v>
      </c>
      <c r="X658" s="2" t="s">
        <v>637</v>
      </c>
      <c r="Y658" s="2" t="s">
        <v>638</v>
      </c>
      <c r="Z658" s="2">
        <v>5364</v>
      </c>
      <c r="AA658" s="2" t="s">
        <v>2892</v>
      </c>
      <c r="AB658" s="2">
        <v>59301</v>
      </c>
      <c r="AC658" s="2">
        <v>502</v>
      </c>
      <c r="AD658" s="2">
        <v>10</v>
      </c>
      <c r="AE658" s="2">
        <v>0.04</v>
      </c>
      <c r="AF658" s="2" t="str" cm="1">
        <f t="array" ref="AF658">_xlfn.IFS(AE658=0, "No Discount ", AE658&lt;=0.08,"Low Discount", AE658&lt;=0.16,"Medium Discount", AE658&gt;0.16, "High Discount")</f>
        <v>Low Discount</v>
      </c>
      <c r="AG658" s="2">
        <v>148446</v>
      </c>
      <c r="AH658" s="2">
        <v>50</v>
      </c>
      <c r="AI658" s="2">
        <v>0.2</v>
      </c>
      <c r="AJ658" s="2" t="str" cm="1">
        <f t="array" ref="AJ658">_xlfn.IFS(AI658&lt;=0, "No Profit", AI658&lt;=0.16,"Low Profit",AI658&lt;=0.32,"Medium Profit",AI658&gt;0.32,"High Profit")</f>
        <v>Medium Profit</v>
      </c>
      <c r="AK658" s="2">
        <v>5</v>
      </c>
      <c r="AL658" s="2">
        <v>250</v>
      </c>
      <c r="AM658" s="2">
        <v>240</v>
      </c>
      <c r="AN658" s="2">
        <v>48</v>
      </c>
      <c r="AO658" s="2" t="s">
        <v>586</v>
      </c>
      <c r="AP658" s="2" t="s">
        <v>640</v>
      </c>
      <c r="AQ658" s="2" t="s">
        <v>155</v>
      </c>
      <c r="AR658" s="2" t="s">
        <v>81</v>
      </c>
      <c r="AS658" s="2">
        <v>502</v>
      </c>
      <c r="AT658" s="2">
        <v>24</v>
      </c>
      <c r="AU658" s="2" t="s">
        <v>442</v>
      </c>
      <c r="AV658" s="2">
        <v>50</v>
      </c>
      <c r="AW658" s="2">
        <v>0</v>
      </c>
      <c r="AX658" s="2" t="s">
        <v>2893</v>
      </c>
      <c r="AY658" s="2" t="s">
        <v>83</v>
      </c>
      <c r="AZ658" s="4">
        <v>42870</v>
      </c>
      <c r="BA658" s="5">
        <v>0.64236111111111116</v>
      </c>
      <c r="BB658" s="2">
        <v>2017</v>
      </c>
      <c r="BC658" s="2" t="s">
        <v>443</v>
      </c>
      <c r="BD658" s="2">
        <v>15</v>
      </c>
      <c r="BE658" s="4">
        <v>42872</v>
      </c>
      <c r="BF658" s="5">
        <v>0.64236111111111116</v>
      </c>
      <c r="BG658" s="2" t="str" cm="1">
        <f t="array" ref="BG658">_xlfn.IFS(BF658&lt;TIMEVALUE("06:00"),"Night", BF658&gt;=TIMEVALUE("21:00"),"Night",BF658&gt;=TIMEVALUE("17:00"),"Evening",BF658&gt;=TIMEVALUE("12:00"),"Afternoon", BF658&gt;=TIMEVALUE("06:00"),"Morning")</f>
        <v>Afternoon</v>
      </c>
      <c r="BH658" s="2">
        <v>2017</v>
      </c>
      <c r="BI658" s="2" t="s">
        <v>443</v>
      </c>
      <c r="BJ658" s="2">
        <v>17</v>
      </c>
    </row>
    <row r="659" spans="1:62" x14ac:dyDescent="0.3">
      <c r="A659" s="2" t="s">
        <v>86</v>
      </c>
      <c r="B659" s="2">
        <v>6</v>
      </c>
      <c r="C659" s="2">
        <v>4</v>
      </c>
      <c r="D659" s="2">
        <v>-52.08</v>
      </c>
      <c r="E659" s="2">
        <v>240</v>
      </c>
      <c r="F659" s="2" t="s">
        <v>87</v>
      </c>
      <c r="G659" s="2" t="s">
        <v>88</v>
      </c>
      <c r="H659" s="2">
        <v>24</v>
      </c>
      <c r="I659" s="2" t="s">
        <v>435</v>
      </c>
      <c r="J659" s="2" t="s">
        <v>66</v>
      </c>
      <c r="K659" s="2" t="s">
        <v>67</v>
      </c>
      <c r="L659" s="2" t="s">
        <v>414</v>
      </c>
      <c r="M659" s="2">
        <v>259</v>
      </c>
      <c r="N659" s="2" t="s">
        <v>2894</v>
      </c>
      <c r="O659" s="2" t="s">
        <v>70</v>
      </c>
      <c r="P659" s="2" t="s">
        <v>71</v>
      </c>
      <c r="Q659" s="2" t="s">
        <v>2895</v>
      </c>
      <c r="R659" s="2">
        <v>725</v>
      </c>
      <c r="S659" s="2">
        <v>5</v>
      </c>
      <c r="T659" s="2" t="s">
        <v>427</v>
      </c>
      <c r="U659" s="2">
        <v>18.359394099999999</v>
      </c>
      <c r="V659" s="2">
        <v>-66.077514699999995</v>
      </c>
      <c r="W659" s="2" t="s">
        <v>582</v>
      </c>
      <c r="X659" s="2" t="s">
        <v>626</v>
      </c>
      <c r="Y659" s="2" t="s">
        <v>627</v>
      </c>
      <c r="Z659" s="2">
        <v>259</v>
      </c>
      <c r="AA659" s="3">
        <v>42068.751388888886</v>
      </c>
      <c r="AB659" s="2">
        <v>8410</v>
      </c>
      <c r="AC659" s="2">
        <v>502</v>
      </c>
      <c r="AD659" s="2">
        <v>10</v>
      </c>
      <c r="AE659" s="2">
        <v>0.04</v>
      </c>
      <c r="AF659" s="2" t="str" cm="1">
        <f t="array" ref="AF659">_xlfn.IFS(AE659=0, "No Discount ", AE659&lt;=0.08,"Low Discount", AE659&lt;=0.16,"Medium Discount", AE659&gt;0.16, "High Discount")</f>
        <v>Low Discount</v>
      </c>
      <c r="AG659" s="2">
        <v>20995</v>
      </c>
      <c r="AH659" s="2">
        <v>50</v>
      </c>
      <c r="AI659" s="2">
        <v>-0.22</v>
      </c>
      <c r="AJ659" s="2" t="str" cm="1">
        <f t="array" ref="AJ659">_xlfn.IFS(AI659&lt;=0, "No Profit", AI659&lt;=0.16,"Low Profit",AI659&lt;=0.32,"Medium Profit",AI659&gt;0.32,"High Profit")</f>
        <v>No Profit</v>
      </c>
      <c r="AK659" s="2">
        <v>5</v>
      </c>
      <c r="AL659" s="2">
        <v>250</v>
      </c>
      <c r="AM659" s="2">
        <v>240</v>
      </c>
      <c r="AN659" s="2">
        <v>-52.08</v>
      </c>
      <c r="AO659" s="2" t="s">
        <v>586</v>
      </c>
      <c r="AP659" s="2" t="s">
        <v>628</v>
      </c>
      <c r="AQ659" s="2" t="s">
        <v>155</v>
      </c>
      <c r="AR659" s="2" t="s">
        <v>81</v>
      </c>
      <c r="AS659" s="2">
        <v>502</v>
      </c>
      <c r="AT659" s="2">
        <v>24</v>
      </c>
      <c r="AU659" s="2" t="s">
        <v>442</v>
      </c>
      <c r="AV659" s="2">
        <v>50</v>
      </c>
      <c r="AW659" s="2">
        <v>0</v>
      </c>
      <c r="AX659" s="3">
        <v>42252.751388888886</v>
      </c>
      <c r="AY659" s="2" t="s">
        <v>83</v>
      </c>
      <c r="AZ659" s="4">
        <v>42068</v>
      </c>
      <c r="BA659" s="5">
        <v>0.75138888888888888</v>
      </c>
      <c r="BB659" s="2">
        <v>2015</v>
      </c>
      <c r="BC659" s="2" t="s">
        <v>85</v>
      </c>
      <c r="BD659" s="2">
        <v>5</v>
      </c>
      <c r="BE659" s="4">
        <v>42252</v>
      </c>
      <c r="BF659" s="5">
        <v>0.75138888888888888</v>
      </c>
      <c r="BG659" s="2" t="str" cm="1">
        <f t="array" ref="BG659">_xlfn.IFS(BF659&lt;TIMEVALUE("06:00"),"Night", BF659&gt;=TIMEVALUE("21:00"),"Night",BF659&gt;=TIMEVALUE("17:00"),"Evening",BF659&gt;=TIMEVALUE("12:00"),"Afternoon", BF659&gt;=TIMEVALUE("06:00"),"Morning")</f>
        <v>Evening</v>
      </c>
      <c r="BH659" s="2">
        <v>2015</v>
      </c>
      <c r="BI659" s="2" t="s">
        <v>552</v>
      </c>
      <c r="BJ659" s="2">
        <v>5</v>
      </c>
    </row>
    <row r="660" spans="1:62" x14ac:dyDescent="0.3">
      <c r="A660" s="2" t="s">
        <v>86</v>
      </c>
      <c r="B660" s="2">
        <v>4</v>
      </c>
      <c r="C660" s="2">
        <v>4</v>
      </c>
      <c r="D660" s="2">
        <v>78</v>
      </c>
      <c r="E660" s="2">
        <v>240</v>
      </c>
      <c r="F660" s="2" t="s">
        <v>100</v>
      </c>
      <c r="G660" s="2" t="s">
        <v>64</v>
      </c>
      <c r="H660" s="2">
        <v>24</v>
      </c>
      <c r="I660" s="2" t="s">
        <v>435</v>
      </c>
      <c r="J660" s="2" t="s">
        <v>66</v>
      </c>
      <c r="K660" s="2" t="s">
        <v>67</v>
      </c>
      <c r="L660" s="2" t="s">
        <v>2896</v>
      </c>
      <c r="M660" s="2">
        <v>11290</v>
      </c>
      <c r="N660" s="2" t="s">
        <v>425</v>
      </c>
      <c r="O660" s="2" t="s">
        <v>70</v>
      </c>
      <c r="P660" s="2" t="s">
        <v>71</v>
      </c>
      <c r="Q660" s="2" t="s">
        <v>2897</v>
      </c>
      <c r="R660" s="2">
        <v>725</v>
      </c>
      <c r="S660" s="2">
        <v>5</v>
      </c>
      <c r="T660" s="2" t="s">
        <v>427</v>
      </c>
      <c r="U660" s="2">
        <v>18.226198199999999</v>
      </c>
      <c r="V660" s="2">
        <v>-66.3705444</v>
      </c>
      <c r="W660" s="2" t="s">
        <v>582</v>
      </c>
      <c r="X660" s="2" t="s">
        <v>2898</v>
      </c>
      <c r="Y660" s="2" t="s">
        <v>638</v>
      </c>
      <c r="Z660" s="2">
        <v>11290</v>
      </c>
      <c r="AA660" s="2" t="s">
        <v>2899</v>
      </c>
      <c r="AB660" s="2">
        <v>8123</v>
      </c>
      <c r="AC660" s="2">
        <v>502</v>
      </c>
      <c r="AD660" s="2">
        <v>10</v>
      </c>
      <c r="AE660" s="2">
        <v>0.04</v>
      </c>
      <c r="AF660" s="2" t="str" cm="1">
        <f t="array" ref="AF660">_xlfn.IFS(AE660=0, "No Discount ", AE660&lt;=0.08,"Low Discount", AE660&lt;=0.16,"Medium Discount", AE660&gt;0.16, "High Discount")</f>
        <v>Low Discount</v>
      </c>
      <c r="AG660" s="2">
        <v>20277</v>
      </c>
      <c r="AH660" s="2">
        <v>50</v>
      </c>
      <c r="AI660" s="2">
        <v>0.33</v>
      </c>
      <c r="AJ660" s="2" t="str" cm="1">
        <f t="array" ref="AJ660">_xlfn.IFS(AI660&lt;=0, "No Profit", AI660&lt;=0.16,"Low Profit",AI660&lt;=0.32,"Medium Profit",AI660&gt;0.32,"High Profit")</f>
        <v>High Profit</v>
      </c>
      <c r="AK660" s="2">
        <v>5</v>
      </c>
      <c r="AL660" s="2">
        <v>250</v>
      </c>
      <c r="AM660" s="2">
        <v>240</v>
      </c>
      <c r="AN660" s="2">
        <v>78</v>
      </c>
      <c r="AO660" s="2" t="s">
        <v>586</v>
      </c>
      <c r="AP660" s="2" t="s">
        <v>2900</v>
      </c>
      <c r="AQ660" s="2" t="s">
        <v>155</v>
      </c>
      <c r="AR660" s="2" t="s">
        <v>81</v>
      </c>
      <c r="AS660" s="2">
        <v>502</v>
      </c>
      <c r="AT660" s="2">
        <v>24</v>
      </c>
      <c r="AU660" s="2" t="s">
        <v>442</v>
      </c>
      <c r="AV660" s="2">
        <v>50</v>
      </c>
      <c r="AW660" s="2">
        <v>0</v>
      </c>
      <c r="AX660" s="3">
        <v>42068.561805555553</v>
      </c>
      <c r="AY660" s="2" t="s">
        <v>83</v>
      </c>
      <c r="AZ660" s="4">
        <v>42123</v>
      </c>
      <c r="BA660" s="5">
        <v>0.56180555555555556</v>
      </c>
      <c r="BB660" s="2">
        <v>2015</v>
      </c>
      <c r="BC660" s="2" t="s">
        <v>487</v>
      </c>
      <c r="BD660" s="2">
        <v>29</v>
      </c>
      <c r="BE660" s="4">
        <v>42068</v>
      </c>
      <c r="BF660" s="5">
        <v>0.56180555555555556</v>
      </c>
      <c r="BG660" s="2" t="str" cm="1">
        <f t="array" ref="BG660">_xlfn.IFS(BF660&lt;TIMEVALUE("06:00"),"Night", BF660&gt;=TIMEVALUE("21:00"),"Night",BF660&gt;=TIMEVALUE("17:00"),"Evening",BF660&gt;=TIMEVALUE("12:00"),"Afternoon", BF660&gt;=TIMEVALUE("06:00"),"Morning")</f>
        <v>Afternoon</v>
      </c>
      <c r="BH660" s="2">
        <v>2015</v>
      </c>
      <c r="BI660" s="2" t="s">
        <v>85</v>
      </c>
      <c r="BJ660" s="2">
        <v>5</v>
      </c>
    </row>
    <row r="661" spans="1:62" x14ac:dyDescent="0.3">
      <c r="A661" s="2" t="s">
        <v>86</v>
      </c>
      <c r="B661" s="2">
        <v>3</v>
      </c>
      <c r="C661" s="2">
        <v>4</v>
      </c>
      <c r="D661" s="2">
        <v>116.38</v>
      </c>
      <c r="E661" s="2">
        <v>237.5</v>
      </c>
      <c r="F661" s="2" t="s">
        <v>63</v>
      </c>
      <c r="G661" s="2" t="s">
        <v>64</v>
      </c>
      <c r="H661" s="2">
        <v>24</v>
      </c>
      <c r="I661" s="2" t="s">
        <v>435</v>
      </c>
      <c r="J661" s="2" t="s">
        <v>2332</v>
      </c>
      <c r="K661" s="2" t="s">
        <v>67</v>
      </c>
      <c r="L661" s="2" t="s">
        <v>1677</v>
      </c>
      <c r="M661" s="2">
        <v>8517</v>
      </c>
      <c r="N661" s="2" t="s">
        <v>425</v>
      </c>
      <c r="O661" s="2" t="s">
        <v>70</v>
      </c>
      <c r="P661" s="2" t="s">
        <v>71</v>
      </c>
      <c r="Q661" s="2" t="s">
        <v>2901</v>
      </c>
      <c r="R661" s="2">
        <v>791</v>
      </c>
      <c r="S661" s="2">
        <v>5</v>
      </c>
      <c r="T661" s="2" t="s">
        <v>427</v>
      </c>
      <c r="U661" s="2">
        <v>18.1501503</v>
      </c>
      <c r="V661" s="2">
        <v>-65.825950599999999</v>
      </c>
      <c r="W661" s="2" t="s">
        <v>582</v>
      </c>
      <c r="X661" s="2" t="s">
        <v>2902</v>
      </c>
      <c r="Y661" s="2" t="s">
        <v>2903</v>
      </c>
      <c r="Z661" s="2">
        <v>8517</v>
      </c>
      <c r="AA661" s="3">
        <v>42800.123611111114</v>
      </c>
      <c r="AB661" s="2">
        <v>60567</v>
      </c>
      <c r="AC661" s="2">
        <v>502</v>
      </c>
      <c r="AD661" s="2">
        <v>12.5</v>
      </c>
      <c r="AE661" s="2">
        <v>0.05</v>
      </c>
      <c r="AF661" s="2" t="str" cm="1">
        <f t="array" ref="AF661">_xlfn.IFS(AE661=0, "No Discount ", AE661&lt;=0.08,"Low Discount", AE661&lt;=0.16,"Medium Discount", AE661&gt;0.16, "High Discount")</f>
        <v>Low Discount</v>
      </c>
      <c r="AG661" s="2">
        <v>151598</v>
      </c>
      <c r="AH661" s="2">
        <v>50</v>
      </c>
      <c r="AI661" s="2">
        <v>0.49</v>
      </c>
      <c r="AJ661" s="2" t="str" cm="1">
        <f t="array" ref="AJ661">_xlfn.IFS(AI661&lt;=0, "No Profit", AI661&lt;=0.16,"Low Profit",AI661&lt;=0.32,"Medium Profit",AI661&gt;0.32,"High Profit")</f>
        <v>High Profit</v>
      </c>
      <c r="AK661" s="2">
        <v>5</v>
      </c>
      <c r="AL661" s="2">
        <v>250</v>
      </c>
      <c r="AM661" s="2">
        <v>237.5</v>
      </c>
      <c r="AN661" s="2">
        <v>116.38</v>
      </c>
      <c r="AO661" s="2" t="s">
        <v>607</v>
      </c>
      <c r="AP661" s="2" t="s">
        <v>2902</v>
      </c>
      <c r="AQ661" s="2" t="s">
        <v>155</v>
      </c>
      <c r="AR661" s="2" t="s">
        <v>81</v>
      </c>
      <c r="AS661" s="2">
        <v>502</v>
      </c>
      <c r="AT661" s="2">
        <v>24</v>
      </c>
      <c r="AU661" s="2" t="s">
        <v>442</v>
      </c>
      <c r="AV661" s="2">
        <v>50</v>
      </c>
      <c r="AW661" s="2">
        <v>0</v>
      </c>
      <c r="AX661" s="3">
        <v>42892.123611111114</v>
      </c>
      <c r="AY661" s="2" t="s">
        <v>83</v>
      </c>
      <c r="AZ661" s="4">
        <v>42800</v>
      </c>
      <c r="BA661" s="5">
        <v>0.12361111111111112</v>
      </c>
      <c r="BB661" s="2">
        <v>2017</v>
      </c>
      <c r="BC661" s="2" t="s">
        <v>85</v>
      </c>
      <c r="BD661" s="2">
        <v>6</v>
      </c>
      <c r="BE661" s="4">
        <v>42892</v>
      </c>
      <c r="BF661" s="5">
        <v>0.12361111111111112</v>
      </c>
      <c r="BG661" s="2" t="str" cm="1">
        <f t="array" ref="BG661">_xlfn.IFS(BF661&lt;TIMEVALUE("06:00"),"Night", BF661&gt;=TIMEVALUE("21:00"),"Night",BF661&gt;=TIMEVALUE("17:00"),"Evening",BF661&gt;=TIMEVALUE("12:00"),"Afternoon", BF661&gt;=TIMEVALUE("06:00"),"Morning")</f>
        <v>Night</v>
      </c>
      <c r="BH661" s="2">
        <v>2017</v>
      </c>
      <c r="BI661" s="2" t="s">
        <v>474</v>
      </c>
      <c r="BJ661" s="2">
        <v>6</v>
      </c>
    </row>
    <row r="662" spans="1:62" x14ac:dyDescent="0.3">
      <c r="A662" s="2" t="s">
        <v>86</v>
      </c>
      <c r="B662" s="2">
        <v>4</v>
      </c>
      <c r="C662" s="2">
        <v>4</v>
      </c>
      <c r="D662" s="2">
        <v>42.53</v>
      </c>
      <c r="E662" s="2">
        <v>236.25</v>
      </c>
      <c r="F662" s="2" t="s">
        <v>100</v>
      </c>
      <c r="G662" s="2" t="s">
        <v>64</v>
      </c>
      <c r="H662" s="2">
        <v>24</v>
      </c>
      <c r="I662" s="2" t="s">
        <v>435</v>
      </c>
      <c r="J662" s="2" t="s">
        <v>66</v>
      </c>
      <c r="K662" s="2" t="s">
        <v>67</v>
      </c>
      <c r="L662" s="2" t="s">
        <v>786</v>
      </c>
      <c r="M662" s="2">
        <v>7701</v>
      </c>
      <c r="N662" s="2" t="s">
        <v>787</v>
      </c>
      <c r="O662" s="2" t="s">
        <v>70</v>
      </c>
      <c r="P662" s="2" t="s">
        <v>71</v>
      </c>
      <c r="Q662" s="2" t="s">
        <v>788</v>
      </c>
      <c r="R662" s="2">
        <v>725</v>
      </c>
      <c r="S662" s="2">
        <v>5</v>
      </c>
      <c r="T662" s="2" t="s">
        <v>427</v>
      </c>
      <c r="U662" s="2">
        <v>18.2528915</v>
      </c>
      <c r="V662" s="2">
        <v>-66.370582600000006</v>
      </c>
      <c r="W662" s="2" t="s">
        <v>582</v>
      </c>
      <c r="X662" s="2" t="s">
        <v>789</v>
      </c>
      <c r="Y662" s="2" t="s">
        <v>584</v>
      </c>
      <c r="Z662" s="2">
        <v>7701</v>
      </c>
      <c r="AA662" s="3">
        <v>42037.143750000003</v>
      </c>
      <c r="AB662" s="2">
        <v>2203</v>
      </c>
      <c r="AC662" s="2">
        <v>502</v>
      </c>
      <c r="AD662" s="2">
        <v>13.75</v>
      </c>
      <c r="AE662" s="2">
        <v>0.06</v>
      </c>
      <c r="AF662" s="2" t="str" cm="1">
        <f t="array" ref="AF662">_xlfn.IFS(AE662=0, "No Discount ", AE662&lt;=0.08,"Low Discount", AE662&lt;=0.16,"Medium Discount", AE662&gt;0.16, "High Discount")</f>
        <v>Low Discount</v>
      </c>
      <c r="AG662" s="2">
        <v>5523</v>
      </c>
      <c r="AH662" s="2">
        <v>50</v>
      </c>
      <c r="AI662" s="2">
        <v>0.18</v>
      </c>
      <c r="AJ662" s="2" t="str" cm="1">
        <f t="array" ref="AJ662">_xlfn.IFS(AI662&lt;=0, "No Profit", AI662&lt;=0.16,"Low Profit",AI662&lt;=0.32,"Medium Profit",AI662&gt;0.32,"High Profit")</f>
        <v>Medium Profit</v>
      </c>
      <c r="AK662" s="2">
        <v>5</v>
      </c>
      <c r="AL662" s="2">
        <v>250</v>
      </c>
      <c r="AM662" s="2">
        <v>236.25</v>
      </c>
      <c r="AN662" s="2">
        <v>42.53</v>
      </c>
      <c r="AO662" s="2" t="s">
        <v>586</v>
      </c>
      <c r="AP662" s="2" t="s">
        <v>584</v>
      </c>
      <c r="AQ662" s="2" t="s">
        <v>155</v>
      </c>
      <c r="AR662" s="2" t="s">
        <v>81</v>
      </c>
      <c r="AS662" s="2">
        <v>502</v>
      </c>
      <c r="AT662" s="2">
        <v>24</v>
      </c>
      <c r="AU662" s="2" t="s">
        <v>442</v>
      </c>
      <c r="AV662" s="2">
        <v>50</v>
      </c>
      <c r="AW662" s="2">
        <v>0</v>
      </c>
      <c r="AX662" s="3">
        <v>42157.143750000003</v>
      </c>
      <c r="AY662" s="2" t="s">
        <v>83</v>
      </c>
      <c r="AZ662" s="4">
        <v>42037</v>
      </c>
      <c r="BA662" s="5">
        <v>0.14374999999999999</v>
      </c>
      <c r="BB662" s="2">
        <v>2015</v>
      </c>
      <c r="BC662" s="2" t="s">
        <v>423</v>
      </c>
      <c r="BD662" s="2">
        <v>2</v>
      </c>
      <c r="BE662" s="4">
        <v>42157</v>
      </c>
      <c r="BF662" s="5">
        <v>0.14374999999999999</v>
      </c>
      <c r="BG662" s="2" t="str" cm="1">
        <f t="array" ref="BG662">_xlfn.IFS(BF662&lt;TIMEVALUE("06:00"),"Night", BF662&gt;=TIMEVALUE("21:00"),"Night",BF662&gt;=TIMEVALUE("17:00"),"Evening",BF662&gt;=TIMEVALUE("12:00"),"Afternoon", BF662&gt;=TIMEVALUE("06:00"),"Morning")</f>
        <v>Night</v>
      </c>
      <c r="BH662" s="2">
        <v>2015</v>
      </c>
      <c r="BI662" s="2" t="s">
        <v>474</v>
      </c>
      <c r="BJ662" s="2">
        <v>2</v>
      </c>
    </row>
    <row r="663" spans="1:62" x14ac:dyDescent="0.3">
      <c r="A663" s="2" t="s">
        <v>86</v>
      </c>
      <c r="B663" s="2">
        <v>3</v>
      </c>
      <c r="C663" s="2">
        <v>4</v>
      </c>
      <c r="D663" s="2">
        <v>62.98</v>
      </c>
      <c r="E663" s="2">
        <v>179.96</v>
      </c>
      <c r="F663" s="2" t="s">
        <v>63</v>
      </c>
      <c r="G663" s="2" t="s">
        <v>64</v>
      </c>
      <c r="H663" s="2">
        <v>26</v>
      </c>
      <c r="I663" s="2" t="s">
        <v>1132</v>
      </c>
      <c r="J663" s="2" t="s">
        <v>66</v>
      </c>
      <c r="K663" s="2" t="s">
        <v>67</v>
      </c>
      <c r="L663" s="2" t="s">
        <v>1742</v>
      </c>
      <c r="M663" s="2">
        <v>7407</v>
      </c>
      <c r="N663" s="2" t="s">
        <v>232</v>
      </c>
      <c r="O663" s="2" t="s">
        <v>70</v>
      </c>
      <c r="P663" s="2" t="s">
        <v>71</v>
      </c>
      <c r="Q663" s="2" t="s">
        <v>2904</v>
      </c>
      <c r="R663" s="2">
        <v>725</v>
      </c>
      <c r="S663" s="2">
        <v>5</v>
      </c>
      <c r="T663" s="2" t="s">
        <v>427</v>
      </c>
      <c r="U663" s="2">
        <v>18.2906227</v>
      </c>
      <c r="V663" s="2">
        <v>-66.3706131</v>
      </c>
      <c r="W663" s="2" t="s">
        <v>582</v>
      </c>
      <c r="X663" s="2" t="s">
        <v>2905</v>
      </c>
      <c r="Y663" s="2" t="s">
        <v>749</v>
      </c>
      <c r="Z663" s="2">
        <v>7407</v>
      </c>
      <c r="AA663" s="2" t="s">
        <v>2906</v>
      </c>
      <c r="AB663" s="2">
        <v>3527</v>
      </c>
      <c r="AC663" s="2">
        <v>572</v>
      </c>
      <c r="AD663" s="2">
        <v>20</v>
      </c>
      <c r="AE663" s="2">
        <v>0.1</v>
      </c>
      <c r="AF663" s="2" t="str" cm="1">
        <f t="array" ref="AF663">_xlfn.IFS(AE663=0, "No Discount ", AE663&lt;=0.08,"Low Discount", AE663&lt;=0.16,"Medium Discount", AE663&gt;0.16, "High Discount")</f>
        <v>Medium Discount</v>
      </c>
      <c r="AG663" s="2">
        <v>8768</v>
      </c>
      <c r="AH663" s="2">
        <v>39.99</v>
      </c>
      <c r="AI663" s="2">
        <v>0.35</v>
      </c>
      <c r="AJ663" s="2" t="str" cm="1">
        <f t="array" ref="AJ663">_xlfn.IFS(AI663&lt;=0, "No Profit", AI663&lt;=0.16,"Low Profit",AI663&lt;=0.32,"Medium Profit",AI663&gt;0.32,"High Profit")</f>
        <v>High Profit</v>
      </c>
      <c r="AK663" s="2">
        <v>5</v>
      </c>
      <c r="AL663" s="2">
        <v>199.95</v>
      </c>
      <c r="AM663" s="2">
        <v>179.96</v>
      </c>
      <c r="AN663" s="2">
        <v>62.98</v>
      </c>
      <c r="AO663" s="2" t="s">
        <v>586</v>
      </c>
      <c r="AP663" s="2" t="s">
        <v>2905</v>
      </c>
      <c r="AQ663" s="2" t="s">
        <v>155</v>
      </c>
      <c r="AR663" s="2" t="s">
        <v>81</v>
      </c>
      <c r="AS663" s="2">
        <v>572</v>
      </c>
      <c r="AT663" s="2">
        <v>26</v>
      </c>
      <c r="AU663" s="2" t="s">
        <v>1936</v>
      </c>
      <c r="AV663" s="2">
        <v>39.99</v>
      </c>
      <c r="AW663" s="2">
        <v>0</v>
      </c>
      <c r="AX663" s="2" t="s">
        <v>2907</v>
      </c>
      <c r="AY663" s="2" t="s">
        <v>83</v>
      </c>
      <c r="AZ663" s="4">
        <v>42056</v>
      </c>
      <c r="BA663" s="5">
        <v>0.47083333333333333</v>
      </c>
      <c r="BB663" s="2">
        <v>2015</v>
      </c>
      <c r="BC663" s="2" t="s">
        <v>423</v>
      </c>
      <c r="BD663" s="2">
        <v>21</v>
      </c>
      <c r="BE663" s="4">
        <v>42059</v>
      </c>
      <c r="BF663" s="5">
        <v>0.47083333333333333</v>
      </c>
      <c r="BG663" s="2" t="str" cm="1">
        <f t="array" ref="BG663">_xlfn.IFS(BF663&lt;TIMEVALUE("06:00"),"Night", BF663&gt;=TIMEVALUE("21:00"),"Night",BF663&gt;=TIMEVALUE("17:00"),"Evening",BF663&gt;=TIMEVALUE("12:00"),"Afternoon", BF663&gt;=TIMEVALUE("06:00"),"Morning")</f>
        <v>Morning</v>
      </c>
      <c r="BH663" s="2">
        <v>2015</v>
      </c>
      <c r="BI663" s="2" t="s">
        <v>423</v>
      </c>
      <c r="BJ663" s="2">
        <v>24</v>
      </c>
    </row>
    <row r="664" spans="1:62" x14ac:dyDescent="0.3">
      <c r="A664" s="2" t="s">
        <v>86</v>
      </c>
      <c r="B664" s="2">
        <v>4</v>
      </c>
      <c r="C664" s="2">
        <v>4</v>
      </c>
      <c r="D664" s="2">
        <v>58.8</v>
      </c>
      <c r="E664" s="2">
        <v>173.96</v>
      </c>
      <c r="F664" s="2" t="s">
        <v>100</v>
      </c>
      <c r="G664" s="2" t="s">
        <v>64</v>
      </c>
      <c r="H664" s="2">
        <v>29</v>
      </c>
      <c r="I664" s="2" t="s">
        <v>424</v>
      </c>
      <c r="J664" s="2" t="s">
        <v>66</v>
      </c>
      <c r="K664" s="2" t="s">
        <v>67</v>
      </c>
      <c r="L664" s="2" t="s">
        <v>1607</v>
      </c>
      <c r="M664" s="2">
        <v>5965</v>
      </c>
      <c r="N664" s="2" t="s">
        <v>1002</v>
      </c>
      <c r="O664" s="2" t="s">
        <v>70</v>
      </c>
      <c r="P664" s="2" t="s">
        <v>71</v>
      </c>
      <c r="Q664" s="2" t="s">
        <v>2908</v>
      </c>
      <c r="R664" s="2">
        <v>725</v>
      </c>
      <c r="S664" s="2">
        <v>5</v>
      </c>
      <c r="T664" s="2" t="s">
        <v>427</v>
      </c>
      <c r="U664" s="2">
        <v>18.2395706</v>
      </c>
      <c r="V664" s="2">
        <v>-66.3706131</v>
      </c>
      <c r="W664" s="2" t="s">
        <v>582</v>
      </c>
      <c r="X664" s="2" t="s">
        <v>2909</v>
      </c>
      <c r="Y664" s="2" t="s">
        <v>591</v>
      </c>
      <c r="Z664" s="2">
        <v>5965</v>
      </c>
      <c r="AA664" s="3">
        <v>42126.428472222222</v>
      </c>
      <c r="AB664" s="2">
        <v>2428</v>
      </c>
      <c r="AC664" s="2">
        <v>627</v>
      </c>
      <c r="AD664" s="2">
        <v>25.99</v>
      </c>
      <c r="AE664" s="2">
        <v>0.13</v>
      </c>
      <c r="AF664" s="2" t="str" cm="1">
        <f t="array" ref="AF664">_xlfn.IFS(AE664=0, "No Discount ", AE664&lt;=0.08,"Low Discount", AE664&lt;=0.16,"Medium Discount", AE664&gt;0.16, "High Discount")</f>
        <v>Medium Discount</v>
      </c>
      <c r="AG664" s="2">
        <v>6064</v>
      </c>
      <c r="AH664" s="2">
        <v>39.99</v>
      </c>
      <c r="AI664" s="2">
        <v>0.34</v>
      </c>
      <c r="AJ664" s="2" t="str" cm="1">
        <f t="array" ref="AJ664">_xlfn.IFS(AI664&lt;=0, "No Profit", AI664&lt;=0.16,"Low Profit",AI664&lt;=0.32,"Medium Profit",AI664&gt;0.32,"High Profit")</f>
        <v>High Profit</v>
      </c>
      <c r="AK664" s="2">
        <v>5</v>
      </c>
      <c r="AL664" s="2">
        <v>199.95</v>
      </c>
      <c r="AM664" s="2">
        <v>173.96</v>
      </c>
      <c r="AN664" s="2">
        <v>58.8</v>
      </c>
      <c r="AO664" s="2" t="s">
        <v>586</v>
      </c>
      <c r="AP664" s="2" t="s">
        <v>592</v>
      </c>
      <c r="AQ664" s="2" t="s">
        <v>155</v>
      </c>
      <c r="AR664" s="2" t="s">
        <v>81</v>
      </c>
      <c r="AS664" s="2">
        <v>627</v>
      </c>
      <c r="AT664" s="2">
        <v>29</v>
      </c>
      <c r="AU664" s="2" t="s">
        <v>432</v>
      </c>
      <c r="AV664" s="2">
        <v>39.99</v>
      </c>
      <c r="AW664" s="2">
        <v>0</v>
      </c>
      <c r="AX664" s="3">
        <v>42249.428472222222</v>
      </c>
      <c r="AY664" s="2" t="s">
        <v>83</v>
      </c>
      <c r="AZ664" s="4">
        <v>42126</v>
      </c>
      <c r="BA664" s="5">
        <v>0.4284722222222222</v>
      </c>
      <c r="BB664" s="2">
        <v>2015</v>
      </c>
      <c r="BC664" s="2" t="s">
        <v>443</v>
      </c>
      <c r="BD664" s="2">
        <v>2</v>
      </c>
      <c r="BE664" s="4">
        <v>42249</v>
      </c>
      <c r="BF664" s="5">
        <v>0.4284722222222222</v>
      </c>
      <c r="BG664" s="2" t="str" cm="1">
        <f t="array" ref="BG664">_xlfn.IFS(BF664&lt;TIMEVALUE("06:00"),"Night", BF664&gt;=TIMEVALUE("21:00"),"Night",BF664&gt;=TIMEVALUE("17:00"),"Evening",BF664&gt;=TIMEVALUE("12:00"),"Afternoon", BF664&gt;=TIMEVALUE("06:00"),"Morning")</f>
        <v>Morning</v>
      </c>
      <c r="BH664" s="2">
        <v>2015</v>
      </c>
      <c r="BI664" s="2" t="s">
        <v>552</v>
      </c>
      <c r="BJ664" s="2">
        <v>2</v>
      </c>
    </row>
    <row r="665" spans="1:62" x14ac:dyDescent="0.3">
      <c r="A665" s="2" t="s">
        <v>86</v>
      </c>
      <c r="B665" s="2">
        <v>5</v>
      </c>
      <c r="C665" s="2">
        <v>4</v>
      </c>
      <c r="D665" s="2">
        <v>-40.46</v>
      </c>
      <c r="E665" s="2">
        <v>217.5</v>
      </c>
      <c r="F665" s="2" t="s">
        <v>87</v>
      </c>
      <c r="G665" s="2" t="s">
        <v>88</v>
      </c>
      <c r="H665" s="2">
        <v>24</v>
      </c>
      <c r="I665" s="2" t="s">
        <v>435</v>
      </c>
      <c r="J665" s="2" t="s">
        <v>66</v>
      </c>
      <c r="K665" s="2" t="s">
        <v>67</v>
      </c>
      <c r="L665" s="2" t="s">
        <v>1364</v>
      </c>
      <c r="M665" s="2">
        <v>8677</v>
      </c>
      <c r="N665" s="2" t="s">
        <v>2910</v>
      </c>
      <c r="O665" s="2" t="s">
        <v>70</v>
      </c>
      <c r="P665" s="2" t="s">
        <v>71</v>
      </c>
      <c r="Q665" s="2" t="s">
        <v>2911</v>
      </c>
      <c r="R665" s="2">
        <v>725</v>
      </c>
      <c r="S665" s="2">
        <v>5</v>
      </c>
      <c r="T665" s="2" t="s">
        <v>427</v>
      </c>
      <c r="U665" s="2">
        <v>18.262592300000001</v>
      </c>
      <c r="V665" s="2">
        <v>-66.370628400000001</v>
      </c>
      <c r="W665" s="2" t="s">
        <v>582</v>
      </c>
      <c r="X665" s="2" t="s">
        <v>768</v>
      </c>
      <c r="Y665" s="2" t="s">
        <v>584</v>
      </c>
      <c r="Z665" s="2">
        <v>8677</v>
      </c>
      <c r="AA665" s="2" t="s">
        <v>2912</v>
      </c>
      <c r="AB665" s="2">
        <v>55174</v>
      </c>
      <c r="AC665" s="2">
        <v>502</v>
      </c>
      <c r="AD665" s="2">
        <v>32.5</v>
      </c>
      <c r="AE665" s="2">
        <v>0.13</v>
      </c>
      <c r="AF665" s="2" t="str" cm="1">
        <f t="array" ref="AF665">_xlfn.IFS(AE665=0, "No Discount ", AE665&lt;=0.08,"Low Discount", AE665&lt;=0.16,"Medium Discount", AE665&gt;0.16, "High Discount")</f>
        <v>Medium Discount</v>
      </c>
      <c r="AG665" s="2">
        <v>137981</v>
      </c>
      <c r="AH665" s="2">
        <v>50</v>
      </c>
      <c r="AI665" s="2">
        <v>-0.19</v>
      </c>
      <c r="AJ665" s="2" t="str" cm="1">
        <f t="array" ref="AJ665">_xlfn.IFS(AI665&lt;=0, "No Profit", AI665&lt;=0.16,"Low Profit",AI665&lt;=0.32,"Medium Profit",AI665&gt;0.32,"High Profit")</f>
        <v>No Profit</v>
      </c>
      <c r="AK665" s="2">
        <v>5</v>
      </c>
      <c r="AL665" s="2">
        <v>250</v>
      </c>
      <c r="AM665" s="2">
        <v>217.5</v>
      </c>
      <c r="AN665" s="2">
        <v>-40.46</v>
      </c>
      <c r="AO665" s="2" t="s">
        <v>586</v>
      </c>
      <c r="AP665" s="2" t="s">
        <v>584</v>
      </c>
      <c r="AQ665" s="2" t="s">
        <v>155</v>
      </c>
      <c r="AR665" s="2" t="s">
        <v>81</v>
      </c>
      <c r="AS665" s="2">
        <v>502</v>
      </c>
      <c r="AT665" s="2">
        <v>24</v>
      </c>
      <c r="AU665" s="2" t="s">
        <v>442</v>
      </c>
      <c r="AV665" s="2">
        <v>50</v>
      </c>
      <c r="AW665" s="2">
        <v>0</v>
      </c>
      <c r="AX665" s="2" t="s">
        <v>2913</v>
      </c>
      <c r="AY665" s="2" t="s">
        <v>83</v>
      </c>
      <c r="AZ665" s="4">
        <v>42810</v>
      </c>
      <c r="BA665" s="5">
        <v>0.39791666666666664</v>
      </c>
      <c r="BB665" s="2">
        <v>2017</v>
      </c>
      <c r="BC665" s="2" t="s">
        <v>85</v>
      </c>
      <c r="BD665" s="2">
        <v>16</v>
      </c>
      <c r="BE665" s="4">
        <v>42815</v>
      </c>
      <c r="BF665" s="5">
        <v>0.39791666666666664</v>
      </c>
      <c r="BG665" s="2" t="str" cm="1">
        <f t="array" ref="BG665">_xlfn.IFS(BF665&lt;TIMEVALUE("06:00"),"Night", BF665&gt;=TIMEVALUE("21:00"),"Night",BF665&gt;=TIMEVALUE("17:00"),"Evening",BF665&gt;=TIMEVALUE("12:00"),"Afternoon", BF665&gt;=TIMEVALUE("06:00"),"Morning")</f>
        <v>Morning</v>
      </c>
      <c r="BH665" s="2">
        <v>2017</v>
      </c>
      <c r="BI665" s="2" t="s">
        <v>85</v>
      </c>
      <c r="BJ665" s="2">
        <v>21</v>
      </c>
    </row>
    <row r="666" spans="1:62" x14ac:dyDescent="0.3">
      <c r="A666" s="2" t="s">
        <v>86</v>
      </c>
      <c r="B666" s="2">
        <v>3</v>
      </c>
      <c r="C666" s="2">
        <v>4</v>
      </c>
      <c r="D666" s="2">
        <v>38.28</v>
      </c>
      <c r="E666" s="2">
        <v>217.5</v>
      </c>
      <c r="F666" s="2" t="s">
        <v>63</v>
      </c>
      <c r="G666" s="2" t="s">
        <v>64</v>
      </c>
      <c r="H666" s="2">
        <v>24</v>
      </c>
      <c r="I666" s="2" t="s">
        <v>435</v>
      </c>
      <c r="J666" s="2" t="s">
        <v>66</v>
      </c>
      <c r="K666" s="2" t="s">
        <v>67</v>
      </c>
      <c r="L666" s="2" t="s">
        <v>553</v>
      </c>
      <c r="M666" s="2">
        <v>10093</v>
      </c>
      <c r="N666" s="2" t="s">
        <v>2914</v>
      </c>
      <c r="O666" s="2" t="s">
        <v>70</v>
      </c>
      <c r="P666" s="2" t="s">
        <v>71</v>
      </c>
      <c r="Q666" s="2" t="s">
        <v>2915</v>
      </c>
      <c r="R666" s="2">
        <v>725</v>
      </c>
      <c r="S666" s="2">
        <v>5</v>
      </c>
      <c r="T666" s="2" t="s">
        <v>427</v>
      </c>
      <c r="U666" s="2">
        <v>18.231683700000001</v>
      </c>
      <c r="V666" s="2">
        <v>-66.370597799999999</v>
      </c>
      <c r="W666" s="2" t="s">
        <v>582</v>
      </c>
      <c r="X666" s="2" t="s">
        <v>2916</v>
      </c>
      <c r="Y666" s="2" t="s">
        <v>632</v>
      </c>
      <c r="Z666" s="2">
        <v>10093</v>
      </c>
      <c r="AA666" s="3">
        <v>43073.520138888889</v>
      </c>
      <c r="AB666" s="2">
        <v>57032</v>
      </c>
      <c r="AC666" s="2">
        <v>502</v>
      </c>
      <c r="AD666" s="2">
        <v>32.5</v>
      </c>
      <c r="AE666" s="2">
        <v>0.13</v>
      </c>
      <c r="AF666" s="2" t="str" cm="1">
        <f t="array" ref="AF666">_xlfn.IFS(AE666=0, "No Discount ", AE666&lt;=0.08,"Low Discount", AE666&lt;=0.16,"Medium Discount", AE666&gt;0.16, "High Discount")</f>
        <v>Medium Discount</v>
      </c>
      <c r="AG666" s="2">
        <v>142664</v>
      </c>
      <c r="AH666" s="2">
        <v>50</v>
      </c>
      <c r="AI666" s="2">
        <v>0.18</v>
      </c>
      <c r="AJ666" s="2" t="str" cm="1">
        <f t="array" ref="AJ666">_xlfn.IFS(AI666&lt;=0, "No Profit", AI666&lt;=0.16,"Low Profit",AI666&lt;=0.32,"Medium Profit",AI666&gt;0.32,"High Profit")</f>
        <v>Medium Profit</v>
      </c>
      <c r="AK666" s="2">
        <v>5</v>
      </c>
      <c r="AL666" s="2">
        <v>250</v>
      </c>
      <c r="AM666" s="2">
        <v>217.5</v>
      </c>
      <c r="AN666" s="2">
        <v>38.28</v>
      </c>
      <c r="AO666" s="2" t="s">
        <v>607</v>
      </c>
      <c r="AP666" s="2" t="s">
        <v>658</v>
      </c>
      <c r="AQ666" s="2" t="s">
        <v>155</v>
      </c>
      <c r="AR666" s="2" t="s">
        <v>81</v>
      </c>
      <c r="AS666" s="2">
        <v>502</v>
      </c>
      <c r="AT666" s="2">
        <v>24</v>
      </c>
      <c r="AU666" s="2" t="s">
        <v>442</v>
      </c>
      <c r="AV666" s="2">
        <v>50</v>
      </c>
      <c r="AW666" s="2">
        <v>0</v>
      </c>
      <c r="AX666" s="2" t="s">
        <v>2917</v>
      </c>
      <c r="AY666" s="2" t="s">
        <v>83</v>
      </c>
      <c r="AZ666" s="4">
        <v>43073</v>
      </c>
      <c r="BA666" s="5">
        <v>0.52013888888888893</v>
      </c>
      <c r="BB666" s="2">
        <v>2017</v>
      </c>
      <c r="BC666" s="2" t="s">
        <v>357</v>
      </c>
      <c r="BD666" s="2">
        <v>4</v>
      </c>
      <c r="BE666" s="4">
        <v>42840</v>
      </c>
      <c r="BF666" s="5">
        <v>0.52013888888888893</v>
      </c>
      <c r="BG666" s="2" t="str" cm="1">
        <f t="array" ref="BG666">_xlfn.IFS(BF666&lt;TIMEVALUE("06:00"),"Night", BF666&gt;=TIMEVALUE("21:00"),"Night",BF666&gt;=TIMEVALUE("17:00"),"Evening",BF666&gt;=TIMEVALUE("12:00"),"Afternoon", BF666&gt;=TIMEVALUE("06:00"),"Morning")</f>
        <v>Afternoon</v>
      </c>
      <c r="BH666" s="2">
        <v>2017</v>
      </c>
      <c r="BI666" s="2" t="s">
        <v>487</v>
      </c>
      <c r="BJ666" s="2">
        <v>15</v>
      </c>
    </row>
    <row r="667" spans="1:62" x14ac:dyDescent="0.3">
      <c r="A667" s="2" t="s">
        <v>86</v>
      </c>
      <c r="B667" s="2">
        <v>4</v>
      </c>
      <c r="C667" s="2">
        <v>4</v>
      </c>
      <c r="D667" s="2">
        <v>27.19</v>
      </c>
      <c r="E667" s="2">
        <v>217.5</v>
      </c>
      <c r="F667" s="2" t="s">
        <v>100</v>
      </c>
      <c r="G667" s="2" t="s">
        <v>64</v>
      </c>
      <c r="H667" s="2">
        <v>24</v>
      </c>
      <c r="I667" s="2" t="s">
        <v>435</v>
      </c>
      <c r="J667" s="2" t="s">
        <v>66</v>
      </c>
      <c r="K667" s="2" t="s">
        <v>67</v>
      </c>
      <c r="L667" s="2" t="s">
        <v>2918</v>
      </c>
      <c r="M667" s="2">
        <v>12119</v>
      </c>
      <c r="N667" s="2" t="s">
        <v>2919</v>
      </c>
      <c r="O667" s="2" t="s">
        <v>70</v>
      </c>
      <c r="P667" s="2" t="s">
        <v>71</v>
      </c>
      <c r="Q667" s="2" t="s">
        <v>2920</v>
      </c>
      <c r="R667" s="2">
        <v>725</v>
      </c>
      <c r="S667" s="2">
        <v>5</v>
      </c>
      <c r="T667" s="2" t="s">
        <v>427</v>
      </c>
      <c r="U667" s="2">
        <v>18.2150116</v>
      </c>
      <c r="V667" s="2">
        <v>-66.370636000000005</v>
      </c>
      <c r="W667" s="2" t="s">
        <v>582</v>
      </c>
      <c r="X667" s="2" t="s">
        <v>2921</v>
      </c>
      <c r="Y667" s="2" t="s">
        <v>632</v>
      </c>
      <c r="Z667" s="2">
        <v>12119</v>
      </c>
      <c r="AA667" s="2" t="s">
        <v>2922</v>
      </c>
      <c r="AB667" s="2">
        <v>10113</v>
      </c>
      <c r="AC667" s="2">
        <v>502</v>
      </c>
      <c r="AD667" s="2">
        <v>32.5</v>
      </c>
      <c r="AE667" s="2">
        <v>0.13</v>
      </c>
      <c r="AF667" s="2" t="str" cm="1">
        <f t="array" ref="AF667">_xlfn.IFS(AE667=0, "No Discount ", AE667&lt;=0.08,"Low Discount", AE667&lt;=0.16,"Medium Discount", AE667&gt;0.16, "High Discount")</f>
        <v>Medium Discount</v>
      </c>
      <c r="AG667" s="2">
        <v>25272</v>
      </c>
      <c r="AH667" s="2">
        <v>50</v>
      </c>
      <c r="AI667" s="2">
        <v>0.13</v>
      </c>
      <c r="AJ667" s="2" t="str" cm="1">
        <f t="array" ref="AJ667">_xlfn.IFS(AI667&lt;=0, "No Profit", AI667&lt;=0.16,"Low Profit",AI667&lt;=0.32,"Medium Profit",AI667&gt;0.32,"High Profit")</f>
        <v>Low Profit</v>
      </c>
      <c r="AK667" s="2">
        <v>5</v>
      </c>
      <c r="AL667" s="2">
        <v>250</v>
      </c>
      <c r="AM667" s="2">
        <v>217.5</v>
      </c>
      <c r="AN667" s="2">
        <v>27.19</v>
      </c>
      <c r="AO667" s="2" t="s">
        <v>607</v>
      </c>
      <c r="AP667" s="2" t="s">
        <v>1835</v>
      </c>
      <c r="AQ667" s="2" t="s">
        <v>155</v>
      </c>
      <c r="AR667" s="2" t="s">
        <v>81</v>
      </c>
      <c r="AS667" s="2">
        <v>502</v>
      </c>
      <c r="AT667" s="2">
        <v>24</v>
      </c>
      <c r="AU667" s="2" t="s">
        <v>442</v>
      </c>
      <c r="AV667" s="2">
        <v>50</v>
      </c>
      <c r="AW667" s="2">
        <v>0</v>
      </c>
      <c r="AX667" s="3">
        <v>42010.611805555556</v>
      </c>
      <c r="AY667" s="2" t="s">
        <v>83</v>
      </c>
      <c r="AZ667" s="4">
        <v>42152</v>
      </c>
      <c r="BA667" s="5">
        <v>0.6118055555555556</v>
      </c>
      <c r="BB667" s="2">
        <v>2015</v>
      </c>
      <c r="BC667" s="2" t="s">
        <v>443</v>
      </c>
      <c r="BD667" s="2">
        <v>28</v>
      </c>
      <c r="BE667" s="4">
        <v>42010</v>
      </c>
      <c r="BF667" s="5">
        <v>0.6118055555555556</v>
      </c>
      <c r="BG667" s="2" t="str" cm="1">
        <f t="array" ref="BG667">_xlfn.IFS(BF667&lt;TIMEVALUE("06:00"),"Night", BF667&gt;=TIMEVALUE("21:00"),"Night",BF667&gt;=TIMEVALUE("17:00"),"Evening",BF667&gt;=TIMEVALUE("12:00"),"Afternoon", BF667&gt;=TIMEVALUE("06:00"),"Morning")</f>
        <v>Afternoon</v>
      </c>
      <c r="BH667" s="2">
        <v>2015</v>
      </c>
      <c r="BI667" s="2" t="s">
        <v>84</v>
      </c>
      <c r="BJ667" s="2">
        <v>6</v>
      </c>
    </row>
    <row r="668" spans="1:62" x14ac:dyDescent="0.3">
      <c r="A668" s="2" t="s">
        <v>86</v>
      </c>
      <c r="B668" s="2">
        <v>6</v>
      </c>
      <c r="C668" s="2">
        <v>4</v>
      </c>
      <c r="D668" s="2">
        <v>-31.88</v>
      </c>
      <c r="E668" s="2">
        <v>212.5</v>
      </c>
      <c r="F668" s="2" t="s">
        <v>87</v>
      </c>
      <c r="G668" s="2" t="s">
        <v>88</v>
      </c>
      <c r="H668" s="2">
        <v>24</v>
      </c>
      <c r="I668" s="2" t="s">
        <v>435</v>
      </c>
      <c r="J668" s="2" t="s">
        <v>66</v>
      </c>
      <c r="K668" s="2" t="s">
        <v>67</v>
      </c>
      <c r="L668" s="2" t="s">
        <v>414</v>
      </c>
      <c r="M668" s="2">
        <v>8274</v>
      </c>
      <c r="N668" s="2" t="s">
        <v>2923</v>
      </c>
      <c r="O668" s="2" t="s">
        <v>70</v>
      </c>
      <c r="P668" s="2" t="s">
        <v>71</v>
      </c>
      <c r="Q668" s="2" t="s">
        <v>2924</v>
      </c>
      <c r="R668" s="2">
        <v>725</v>
      </c>
      <c r="S668" s="2">
        <v>5</v>
      </c>
      <c r="T668" s="2" t="s">
        <v>427</v>
      </c>
      <c r="U668" s="2">
        <v>18.270422</v>
      </c>
      <c r="V668" s="2">
        <v>-66.3705444</v>
      </c>
      <c r="W668" s="2" t="s">
        <v>582</v>
      </c>
      <c r="X668" s="2" t="s">
        <v>2925</v>
      </c>
      <c r="Y668" s="2" t="s">
        <v>638</v>
      </c>
      <c r="Z668" s="2">
        <v>8274</v>
      </c>
      <c r="AA668" s="3">
        <v>42737.714583333334</v>
      </c>
      <c r="AB668" s="2">
        <v>52250</v>
      </c>
      <c r="AC668" s="2">
        <v>502</v>
      </c>
      <c r="AD668" s="2">
        <v>37.5</v>
      </c>
      <c r="AE668" s="2">
        <v>0.15</v>
      </c>
      <c r="AF668" s="2" t="str" cm="1">
        <f t="array" ref="AF668">_xlfn.IFS(AE668=0, "No Discount ", AE668&lt;=0.08,"Low Discount", AE668&lt;=0.16,"Medium Discount", AE668&gt;0.16, "High Discount")</f>
        <v>Medium Discount</v>
      </c>
      <c r="AG668" s="2">
        <v>130535</v>
      </c>
      <c r="AH668" s="2">
        <v>50</v>
      </c>
      <c r="AI668" s="2">
        <v>-0.15</v>
      </c>
      <c r="AJ668" s="2" t="str" cm="1">
        <f t="array" ref="AJ668">_xlfn.IFS(AI668&lt;=0, "No Profit", AI668&lt;=0.16,"Low Profit",AI668&lt;=0.32,"Medium Profit",AI668&gt;0.32,"High Profit")</f>
        <v>No Profit</v>
      </c>
      <c r="AK668" s="2">
        <v>5</v>
      </c>
      <c r="AL668" s="2">
        <v>250</v>
      </c>
      <c r="AM668" s="2">
        <v>212.5</v>
      </c>
      <c r="AN668" s="2">
        <v>-31.88</v>
      </c>
      <c r="AO668" s="2" t="s">
        <v>586</v>
      </c>
      <c r="AP668" s="2" t="s">
        <v>2926</v>
      </c>
      <c r="AQ668" s="2" t="s">
        <v>155</v>
      </c>
      <c r="AR668" s="2" t="s">
        <v>81</v>
      </c>
      <c r="AS668" s="2">
        <v>502</v>
      </c>
      <c r="AT668" s="2">
        <v>24</v>
      </c>
      <c r="AU668" s="2" t="s">
        <v>442</v>
      </c>
      <c r="AV668" s="2">
        <v>50</v>
      </c>
      <c r="AW668" s="2">
        <v>0</v>
      </c>
      <c r="AX668" s="3">
        <v>42918.714583333334</v>
      </c>
      <c r="AY668" s="2" t="s">
        <v>83</v>
      </c>
      <c r="AZ668" s="4">
        <v>42737</v>
      </c>
      <c r="BA668" s="5">
        <v>0.71458333333333335</v>
      </c>
      <c r="BB668" s="2">
        <v>2017</v>
      </c>
      <c r="BC668" s="2" t="s">
        <v>84</v>
      </c>
      <c r="BD668" s="2">
        <v>2</v>
      </c>
      <c r="BE668" s="4">
        <v>42918</v>
      </c>
      <c r="BF668" s="5">
        <v>0.71458333333333335</v>
      </c>
      <c r="BG668" s="2" t="str" cm="1">
        <f t="array" ref="BG668">_xlfn.IFS(BF668&lt;TIMEVALUE("06:00"),"Night", BF668&gt;=TIMEVALUE("21:00"),"Night",BF668&gt;=TIMEVALUE("17:00"),"Evening",BF668&gt;=TIMEVALUE("12:00"),"Afternoon", BF668&gt;=TIMEVALUE("06:00"),"Morning")</f>
        <v>Evening</v>
      </c>
      <c r="BH668" s="2">
        <v>2017</v>
      </c>
      <c r="BI668" s="2" t="s">
        <v>533</v>
      </c>
      <c r="BJ668" s="2">
        <v>2</v>
      </c>
    </row>
    <row r="669" spans="1:62" x14ac:dyDescent="0.3">
      <c r="A669" s="2" t="s">
        <v>86</v>
      </c>
      <c r="B669" s="2">
        <v>2</v>
      </c>
      <c r="C669" s="2">
        <v>4</v>
      </c>
      <c r="D669" s="2">
        <v>59.5</v>
      </c>
      <c r="E669" s="2">
        <v>212.5</v>
      </c>
      <c r="F669" s="2" t="s">
        <v>63</v>
      </c>
      <c r="G669" s="2" t="s">
        <v>64</v>
      </c>
      <c r="H669" s="2">
        <v>24</v>
      </c>
      <c r="I669" s="2" t="s">
        <v>435</v>
      </c>
      <c r="J669" s="2" t="s">
        <v>66</v>
      </c>
      <c r="K669" s="2" t="s">
        <v>67</v>
      </c>
      <c r="L669" s="2" t="s">
        <v>414</v>
      </c>
      <c r="M669" s="2">
        <v>2291</v>
      </c>
      <c r="N669" s="2" t="s">
        <v>2927</v>
      </c>
      <c r="O669" s="2" t="s">
        <v>70</v>
      </c>
      <c r="P669" s="2" t="s">
        <v>71</v>
      </c>
      <c r="Q669" s="2" t="s">
        <v>2928</v>
      </c>
      <c r="R669" s="2">
        <v>725</v>
      </c>
      <c r="S669" s="2">
        <v>5</v>
      </c>
      <c r="T669" s="2" t="s">
        <v>427</v>
      </c>
      <c r="U669" s="2">
        <v>18.209571799999999</v>
      </c>
      <c r="V669" s="2">
        <v>-66.370575000000002</v>
      </c>
      <c r="W669" s="2" t="s">
        <v>582</v>
      </c>
      <c r="X669" s="2" t="s">
        <v>2929</v>
      </c>
      <c r="Y669" s="2" t="s">
        <v>638</v>
      </c>
      <c r="Z669" s="2">
        <v>2291</v>
      </c>
      <c r="AA669" s="3">
        <v>42282.992361111108</v>
      </c>
      <c r="AB669" s="2">
        <v>8906</v>
      </c>
      <c r="AC669" s="2">
        <v>502</v>
      </c>
      <c r="AD669" s="2">
        <v>37.5</v>
      </c>
      <c r="AE669" s="2">
        <v>0.15</v>
      </c>
      <c r="AF669" s="2" t="str" cm="1">
        <f t="array" ref="AF669">_xlfn.IFS(AE669=0, "No Discount ", AE669&lt;=0.08,"Low Discount", AE669&lt;=0.16,"Medium Discount", AE669&gt;0.16, "High Discount")</f>
        <v>Medium Discount</v>
      </c>
      <c r="AG669" s="2">
        <v>22214</v>
      </c>
      <c r="AH669" s="2">
        <v>50</v>
      </c>
      <c r="AI669" s="2">
        <v>0.28000000000000003</v>
      </c>
      <c r="AJ669" s="2" t="str" cm="1">
        <f t="array" ref="AJ669">_xlfn.IFS(AI669&lt;=0, "No Profit", AI669&lt;=0.16,"Low Profit",AI669&lt;=0.32,"Medium Profit",AI669&gt;0.32,"High Profit")</f>
        <v>Medium Profit</v>
      </c>
      <c r="AK669" s="2">
        <v>5</v>
      </c>
      <c r="AL669" s="2">
        <v>250</v>
      </c>
      <c r="AM669" s="2">
        <v>212.5</v>
      </c>
      <c r="AN669" s="2">
        <v>59.5</v>
      </c>
      <c r="AO669" s="2" t="s">
        <v>586</v>
      </c>
      <c r="AP669" s="2" t="s">
        <v>2930</v>
      </c>
      <c r="AQ669" s="2" t="s">
        <v>155</v>
      </c>
      <c r="AR669" s="2" t="s">
        <v>81</v>
      </c>
      <c r="AS669" s="2">
        <v>502</v>
      </c>
      <c r="AT669" s="2">
        <v>24</v>
      </c>
      <c r="AU669" s="2" t="s">
        <v>442</v>
      </c>
      <c r="AV669" s="2">
        <v>50</v>
      </c>
      <c r="AW669" s="2">
        <v>0</v>
      </c>
      <c r="AX669" s="3">
        <v>42343.992361111108</v>
      </c>
      <c r="AY669" s="2" t="s">
        <v>83</v>
      </c>
      <c r="AZ669" s="4">
        <v>42282</v>
      </c>
      <c r="BA669" s="5">
        <v>0.99236111111111114</v>
      </c>
      <c r="BB669" s="2">
        <v>2015</v>
      </c>
      <c r="BC669" s="2" t="s">
        <v>434</v>
      </c>
      <c r="BD669" s="2">
        <v>5</v>
      </c>
      <c r="BE669" s="4">
        <v>42343</v>
      </c>
      <c r="BF669" s="5">
        <v>0.99236111111111114</v>
      </c>
      <c r="BG669" s="2" t="str" cm="1">
        <f t="array" ref="BG669">_xlfn.IFS(BF669&lt;TIMEVALUE("06:00"),"Night", BF669&gt;=TIMEVALUE("21:00"),"Night",BF669&gt;=TIMEVALUE("17:00"),"Evening",BF669&gt;=TIMEVALUE("12:00"),"Afternoon", BF669&gt;=TIMEVALUE("06:00"),"Morning")</f>
        <v>Night</v>
      </c>
      <c r="BH669" s="2">
        <v>2015</v>
      </c>
      <c r="BI669" s="2" t="s">
        <v>357</v>
      </c>
      <c r="BJ669" s="2">
        <v>5</v>
      </c>
    </row>
    <row r="670" spans="1:62" x14ac:dyDescent="0.3">
      <c r="A670" s="2" t="s">
        <v>86</v>
      </c>
      <c r="B670" s="2">
        <v>2</v>
      </c>
      <c r="C670" s="2">
        <v>4</v>
      </c>
      <c r="D670" s="2">
        <v>13.26</v>
      </c>
      <c r="E670" s="2">
        <v>169.96</v>
      </c>
      <c r="F670" s="2" t="s">
        <v>63</v>
      </c>
      <c r="G670" s="2" t="s">
        <v>64</v>
      </c>
      <c r="H670" s="2">
        <v>29</v>
      </c>
      <c r="I670" s="2" t="s">
        <v>424</v>
      </c>
      <c r="J670" s="2" t="s">
        <v>66</v>
      </c>
      <c r="K670" s="2" t="s">
        <v>67</v>
      </c>
      <c r="L670" s="2" t="s">
        <v>2630</v>
      </c>
      <c r="M670" s="2">
        <v>11310</v>
      </c>
      <c r="N670" s="2" t="s">
        <v>1162</v>
      </c>
      <c r="O670" s="2" t="s">
        <v>70</v>
      </c>
      <c r="P670" s="2" t="s">
        <v>71</v>
      </c>
      <c r="Q670" s="2" t="s">
        <v>2931</v>
      </c>
      <c r="R670" s="2">
        <v>725</v>
      </c>
      <c r="S670" s="2">
        <v>5</v>
      </c>
      <c r="T670" s="2" t="s">
        <v>427</v>
      </c>
      <c r="U670" s="2">
        <v>18.202093099999999</v>
      </c>
      <c r="V670" s="2">
        <v>-66.370582600000006</v>
      </c>
      <c r="W670" s="2" t="s">
        <v>582</v>
      </c>
      <c r="X670" s="2" t="s">
        <v>2932</v>
      </c>
      <c r="Y670" s="2" t="s">
        <v>632</v>
      </c>
      <c r="Z670" s="2">
        <v>11310</v>
      </c>
      <c r="AA670" s="2" t="s">
        <v>2933</v>
      </c>
      <c r="AB670" s="2">
        <v>1386</v>
      </c>
      <c r="AC670" s="2">
        <v>627</v>
      </c>
      <c r="AD670" s="2">
        <v>29.99</v>
      </c>
      <c r="AE670" s="2">
        <v>0.15</v>
      </c>
      <c r="AF670" s="2" t="str" cm="1">
        <f t="array" ref="AF670">_xlfn.IFS(AE670=0, "No Discount ", AE670&lt;=0.08,"Low Discount", AE670&lt;=0.16,"Medium Discount", AE670&gt;0.16, "High Discount")</f>
        <v>Medium Discount</v>
      </c>
      <c r="AG670" s="2">
        <v>3424</v>
      </c>
      <c r="AH670" s="2">
        <v>39.99</v>
      </c>
      <c r="AI670" s="2">
        <v>0.08</v>
      </c>
      <c r="AJ670" s="2" t="str" cm="1">
        <f t="array" ref="AJ670">_xlfn.IFS(AI670&lt;=0, "No Profit", AI670&lt;=0.16,"Low Profit",AI670&lt;=0.32,"Medium Profit",AI670&gt;0.32,"High Profit")</f>
        <v>Low Profit</v>
      </c>
      <c r="AK670" s="2">
        <v>5</v>
      </c>
      <c r="AL670" s="2">
        <v>199.95</v>
      </c>
      <c r="AM670" s="2">
        <v>169.96</v>
      </c>
      <c r="AN670" s="2">
        <v>13.26</v>
      </c>
      <c r="AO670" s="2" t="s">
        <v>607</v>
      </c>
      <c r="AP670" s="2" t="s">
        <v>658</v>
      </c>
      <c r="AQ670" s="2" t="s">
        <v>155</v>
      </c>
      <c r="AR670" s="2" t="s">
        <v>81</v>
      </c>
      <c r="AS670" s="2">
        <v>627</v>
      </c>
      <c r="AT670" s="2">
        <v>29</v>
      </c>
      <c r="AU670" s="2" t="s">
        <v>432</v>
      </c>
      <c r="AV670" s="2">
        <v>39.99</v>
      </c>
      <c r="AW670" s="2">
        <v>0</v>
      </c>
      <c r="AX670" s="2" t="s">
        <v>2934</v>
      </c>
      <c r="AY670" s="2" t="s">
        <v>83</v>
      </c>
      <c r="AZ670" s="4">
        <v>42025</v>
      </c>
      <c r="BA670" s="5">
        <v>0.21736111111111112</v>
      </c>
      <c r="BB670" s="2">
        <v>2015</v>
      </c>
      <c r="BC670" s="2" t="s">
        <v>84</v>
      </c>
      <c r="BD670" s="2">
        <v>21</v>
      </c>
      <c r="BE670" s="4">
        <v>42027</v>
      </c>
      <c r="BF670" s="5">
        <v>0.21736111111111112</v>
      </c>
      <c r="BG670" s="2" t="str" cm="1">
        <f t="array" ref="BG670">_xlfn.IFS(BF670&lt;TIMEVALUE("06:00"),"Night", BF670&gt;=TIMEVALUE("21:00"),"Night",BF670&gt;=TIMEVALUE("17:00"),"Evening",BF670&gt;=TIMEVALUE("12:00"),"Afternoon", BF670&gt;=TIMEVALUE("06:00"),"Morning")</f>
        <v>Night</v>
      </c>
      <c r="BH670" s="2">
        <v>2015</v>
      </c>
      <c r="BI670" s="2" t="s">
        <v>84</v>
      </c>
      <c r="BJ670" s="2">
        <v>23</v>
      </c>
    </row>
    <row r="671" spans="1:62" x14ac:dyDescent="0.3">
      <c r="A671" s="2" t="s">
        <v>86</v>
      </c>
      <c r="B671" s="2">
        <v>2</v>
      </c>
      <c r="C671" s="2">
        <v>4</v>
      </c>
      <c r="D671" s="2">
        <v>33.590000000000003</v>
      </c>
      <c r="E671" s="2">
        <v>167.96</v>
      </c>
      <c r="F671" s="2" t="s">
        <v>63</v>
      </c>
      <c r="G671" s="2" t="s">
        <v>64</v>
      </c>
      <c r="H671" s="2">
        <v>29</v>
      </c>
      <c r="I671" s="2" t="s">
        <v>424</v>
      </c>
      <c r="J671" s="2" t="s">
        <v>66</v>
      </c>
      <c r="K671" s="2" t="s">
        <v>67</v>
      </c>
      <c r="L671" s="2" t="s">
        <v>2372</v>
      </c>
      <c r="M671" s="2">
        <v>155</v>
      </c>
      <c r="N671" s="2" t="s">
        <v>2935</v>
      </c>
      <c r="O671" s="2" t="s">
        <v>70</v>
      </c>
      <c r="P671" s="2" t="s">
        <v>71</v>
      </c>
      <c r="Q671" s="2" t="s">
        <v>2936</v>
      </c>
      <c r="R671" s="2">
        <v>725</v>
      </c>
      <c r="S671" s="2">
        <v>5</v>
      </c>
      <c r="T671" s="2" t="s">
        <v>427</v>
      </c>
      <c r="U671" s="2">
        <v>18.2475548</v>
      </c>
      <c r="V671" s="2">
        <v>-66.025268600000004</v>
      </c>
      <c r="W671" s="2" t="s">
        <v>582</v>
      </c>
      <c r="X671" s="2" t="s">
        <v>2937</v>
      </c>
      <c r="Y671" s="2" t="s">
        <v>632</v>
      </c>
      <c r="Z671" s="2">
        <v>155</v>
      </c>
      <c r="AA671" s="2" t="s">
        <v>2938</v>
      </c>
      <c r="AB671" s="2">
        <v>59226</v>
      </c>
      <c r="AC671" s="2">
        <v>627</v>
      </c>
      <c r="AD671" s="2">
        <v>31.99</v>
      </c>
      <c r="AE671" s="2">
        <v>0.16</v>
      </c>
      <c r="AF671" s="2" t="str" cm="1">
        <f t="array" ref="AF671">_xlfn.IFS(AE671=0, "No Discount ", AE671&lt;=0.08,"Low Discount", AE671&lt;=0.16,"Medium Discount", AE671&gt;0.16, "High Discount")</f>
        <v>Medium Discount</v>
      </c>
      <c r="AG671" s="2">
        <v>148243</v>
      </c>
      <c r="AH671" s="2">
        <v>39.99</v>
      </c>
      <c r="AI671" s="2">
        <v>0.2</v>
      </c>
      <c r="AJ671" s="2" t="str" cm="1">
        <f t="array" ref="AJ671">_xlfn.IFS(AI671&lt;=0, "No Profit", AI671&lt;=0.16,"Low Profit",AI671&lt;=0.32,"Medium Profit",AI671&gt;0.32,"High Profit")</f>
        <v>Medium Profit</v>
      </c>
      <c r="AK671" s="2">
        <v>5</v>
      </c>
      <c r="AL671" s="2">
        <v>199.95</v>
      </c>
      <c r="AM671" s="2">
        <v>167.96</v>
      </c>
      <c r="AN671" s="2">
        <v>33.590000000000003</v>
      </c>
      <c r="AO671" s="2" t="s">
        <v>607</v>
      </c>
      <c r="AP671" s="2" t="s">
        <v>658</v>
      </c>
      <c r="AQ671" s="2" t="s">
        <v>155</v>
      </c>
      <c r="AR671" s="2" t="s">
        <v>81</v>
      </c>
      <c r="AS671" s="2">
        <v>627</v>
      </c>
      <c r="AT671" s="2">
        <v>29</v>
      </c>
      <c r="AU671" s="2" t="s">
        <v>432</v>
      </c>
      <c r="AV671" s="2">
        <v>39.99</v>
      </c>
      <c r="AW671" s="2">
        <v>0</v>
      </c>
      <c r="AX671" s="2" t="s">
        <v>2939</v>
      </c>
      <c r="AY671" s="2" t="s">
        <v>83</v>
      </c>
      <c r="AZ671" s="4">
        <v>42869</v>
      </c>
      <c r="BA671" s="5">
        <v>0.54791666666666672</v>
      </c>
      <c r="BB671" s="2">
        <v>2017</v>
      </c>
      <c r="BC671" s="2" t="s">
        <v>443</v>
      </c>
      <c r="BD671" s="2">
        <v>14</v>
      </c>
      <c r="BE671" s="4">
        <v>42871</v>
      </c>
      <c r="BF671" s="5">
        <v>0.54791666666666672</v>
      </c>
      <c r="BG671" s="2" t="str" cm="1">
        <f t="array" ref="BG671">_xlfn.IFS(BF671&lt;TIMEVALUE("06:00"),"Night", BF671&gt;=TIMEVALUE("21:00"),"Night",BF671&gt;=TIMEVALUE("17:00"),"Evening",BF671&gt;=TIMEVALUE("12:00"),"Afternoon", BF671&gt;=TIMEVALUE("06:00"),"Morning")</f>
        <v>Afternoon</v>
      </c>
      <c r="BH671" s="2">
        <v>2017</v>
      </c>
      <c r="BI671" s="2" t="s">
        <v>443</v>
      </c>
      <c r="BJ671" s="2">
        <v>16</v>
      </c>
    </row>
    <row r="672" spans="1:62" x14ac:dyDescent="0.3">
      <c r="A672" s="2" t="s">
        <v>86</v>
      </c>
      <c r="B672" s="2">
        <v>3</v>
      </c>
      <c r="C672" s="2">
        <v>4</v>
      </c>
      <c r="D672" s="2">
        <v>60.9</v>
      </c>
      <c r="E672" s="2">
        <v>210</v>
      </c>
      <c r="F672" s="2" t="s">
        <v>63</v>
      </c>
      <c r="G672" s="2" t="s">
        <v>64</v>
      </c>
      <c r="H672" s="2">
        <v>24</v>
      </c>
      <c r="I672" s="2" t="s">
        <v>435</v>
      </c>
      <c r="J672" s="2" t="s">
        <v>66</v>
      </c>
      <c r="K672" s="2" t="s">
        <v>67</v>
      </c>
      <c r="L672" s="2" t="s">
        <v>414</v>
      </c>
      <c r="M672" s="2">
        <v>4998</v>
      </c>
      <c r="N672" s="2" t="s">
        <v>425</v>
      </c>
      <c r="O672" s="2" t="s">
        <v>70</v>
      </c>
      <c r="P672" s="2" t="s">
        <v>71</v>
      </c>
      <c r="Q672" s="2" t="s">
        <v>2940</v>
      </c>
      <c r="R672" s="2">
        <v>725</v>
      </c>
      <c r="S672" s="2">
        <v>5</v>
      </c>
      <c r="T672" s="2" t="s">
        <v>427</v>
      </c>
      <c r="U672" s="2">
        <v>18.260362600000001</v>
      </c>
      <c r="V672" s="2">
        <v>-66.370506300000002</v>
      </c>
      <c r="W672" s="2" t="s">
        <v>582</v>
      </c>
      <c r="X672" s="2" t="s">
        <v>2941</v>
      </c>
      <c r="Y672" s="2" t="s">
        <v>605</v>
      </c>
      <c r="Z672" s="2">
        <v>4998</v>
      </c>
      <c r="AA672" s="3">
        <v>42282.130555555559</v>
      </c>
      <c r="AB672" s="2">
        <v>8847</v>
      </c>
      <c r="AC672" s="2">
        <v>502</v>
      </c>
      <c r="AD672" s="2">
        <v>40</v>
      </c>
      <c r="AE672" s="2">
        <v>0.16</v>
      </c>
      <c r="AF672" s="2" t="str" cm="1">
        <f t="array" ref="AF672">_xlfn.IFS(AE672=0, "No Discount ", AE672&lt;=0.08,"Low Discount", AE672&lt;=0.16,"Medium Discount", AE672&gt;0.16, "High Discount")</f>
        <v>Medium Discount</v>
      </c>
      <c r="AG672" s="2">
        <v>22094</v>
      </c>
      <c r="AH672" s="2">
        <v>50</v>
      </c>
      <c r="AI672" s="2">
        <v>0.28999999999999998</v>
      </c>
      <c r="AJ672" s="2" t="str" cm="1">
        <f t="array" ref="AJ672">_xlfn.IFS(AI672&lt;=0, "No Profit", AI672&lt;=0.16,"Low Profit",AI672&lt;=0.32,"Medium Profit",AI672&gt;0.32,"High Profit")</f>
        <v>Medium Profit</v>
      </c>
      <c r="AK672" s="2">
        <v>5</v>
      </c>
      <c r="AL672" s="2">
        <v>250</v>
      </c>
      <c r="AM672" s="2">
        <v>210</v>
      </c>
      <c r="AN672" s="2">
        <v>60.9</v>
      </c>
      <c r="AO672" s="2" t="s">
        <v>607</v>
      </c>
      <c r="AP672" s="2" t="s">
        <v>2942</v>
      </c>
      <c r="AQ672" s="2" t="s">
        <v>155</v>
      </c>
      <c r="AR672" s="2" t="s">
        <v>81</v>
      </c>
      <c r="AS672" s="2">
        <v>502</v>
      </c>
      <c r="AT672" s="2">
        <v>24</v>
      </c>
      <c r="AU672" s="2" t="s">
        <v>442</v>
      </c>
      <c r="AV672" s="2">
        <v>50</v>
      </c>
      <c r="AW672" s="2">
        <v>0</v>
      </c>
      <c r="AX672" s="2" t="s">
        <v>2943</v>
      </c>
      <c r="AY672" s="2" t="s">
        <v>83</v>
      </c>
      <c r="AZ672" s="4">
        <v>42282</v>
      </c>
      <c r="BA672" s="5">
        <v>0.13055555555555556</v>
      </c>
      <c r="BB672" s="2">
        <v>2015</v>
      </c>
      <c r="BC672" s="2" t="s">
        <v>434</v>
      </c>
      <c r="BD672" s="2">
        <v>5</v>
      </c>
      <c r="BE672" s="4">
        <v>42137</v>
      </c>
      <c r="BF672" s="5">
        <v>0.13055555555555556</v>
      </c>
      <c r="BG672" s="2" t="str" cm="1">
        <f t="array" ref="BG672">_xlfn.IFS(BF672&lt;TIMEVALUE("06:00"),"Night", BF672&gt;=TIMEVALUE("21:00"),"Night",BF672&gt;=TIMEVALUE("17:00"),"Evening",BF672&gt;=TIMEVALUE("12:00"),"Afternoon", BF672&gt;=TIMEVALUE("06:00"),"Morning")</f>
        <v>Night</v>
      </c>
      <c r="BH672" s="2">
        <v>2015</v>
      </c>
      <c r="BI672" s="2" t="s">
        <v>443</v>
      </c>
      <c r="BJ672" s="2">
        <v>13</v>
      </c>
    </row>
    <row r="673" spans="1:62" x14ac:dyDescent="0.3">
      <c r="A673" s="2" t="s">
        <v>86</v>
      </c>
      <c r="B673" s="2">
        <v>5</v>
      </c>
      <c r="C673" s="2">
        <v>4</v>
      </c>
      <c r="D673" s="2">
        <v>-245.94</v>
      </c>
      <c r="E673" s="2">
        <v>163.96</v>
      </c>
      <c r="F673" s="2" t="s">
        <v>87</v>
      </c>
      <c r="G673" s="2" t="s">
        <v>88</v>
      </c>
      <c r="H673" s="2">
        <v>29</v>
      </c>
      <c r="I673" s="2" t="s">
        <v>424</v>
      </c>
      <c r="J673" s="2" t="s">
        <v>66</v>
      </c>
      <c r="K673" s="2" t="s">
        <v>67</v>
      </c>
      <c r="L673" s="2" t="s">
        <v>580</v>
      </c>
      <c r="M673" s="2">
        <v>7720</v>
      </c>
      <c r="N673" s="2" t="s">
        <v>1168</v>
      </c>
      <c r="O673" s="2" t="s">
        <v>70</v>
      </c>
      <c r="P673" s="2" t="s">
        <v>71</v>
      </c>
      <c r="Q673" s="2" t="s">
        <v>2944</v>
      </c>
      <c r="R673" s="2">
        <v>725</v>
      </c>
      <c r="S673" s="2">
        <v>5</v>
      </c>
      <c r="T673" s="2" t="s">
        <v>427</v>
      </c>
      <c r="U673" s="2">
        <v>18.2193127</v>
      </c>
      <c r="V673" s="2">
        <v>-66.370590199999995</v>
      </c>
      <c r="W673" s="2" t="s">
        <v>582</v>
      </c>
      <c r="X673" s="2" t="s">
        <v>1826</v>
      </c>
      <c r="Y673" s="2" t="s">
        <v>632</v>
      </c>
      <c r="Z673" s="2">
        <v>7720</v>
      </c>
      <c r="AA673" s="2" t="s">
        <v>2945</v>
      </c>
      <c r="AB673" s="2">
        <v>57929</v>
      </c>
      <c r="AC673" s="2">
        <v>627</v>
      </c>
      <c r="AD673" s="2">
        <v>35.99</v>
      </c>
      <c r="AE673" s="2">
        <v>0.18</v>
      </c>
      <c r="AF673" s="2" t="str" cm="1">
        <f t="array" ref="AF673">_xlfn.IFS(AE673=0, "No Discount ", AE673&lt;=0.08,"Low Discount", AE673&lt;=0.16,"Medium Discount", AE673&gt;0.16, "High Discount")</f>
        <v>High Discount</v>
      </c>
      <c r="AG673" s="2">
        <v>144928</v>
      </c>
      <c r="AH673" s="2">
        <v>39.99</v>
      </c>
      <c r="AI673" s="2">
        <v>-1.5</v>
      </c>
      <c r="AJ673" s="2" t="str" cm="1">
        <f t="array" ref="AJ673">_xlfn.IFS(AI673&lt;=0, "No Profit", AI673&lt;=0.16,"Low Profit",AI673&lt;=0.32,"Medium Profit",AI673&gt;0.32,"High Profit")</f>
        <v>No Profit</v>
      </c>
      <c r="AK673" s="2">
        <v>5</v>
      </c>
      <c r="AL673" s="2">
        <v>199.95</v>
      </c>
      <c r="AM673" s="2">
        <v>163.96</v>
      </c>
      <c r="AN673" s="2">
        <v>-245.94</v>
      </c>
      <c r="AO673" s="2" t="s">
        <v>607</v>
      </c>
      <c r="AP673" s="2" t="s">
        <v>640</v>
      </c>
      <c r="AQ673" s="2" t="s">
        <v>155</v>
      </c>
      <c r="AR673" s="2" t="s">
        <v>81</v>
      </c>
      <c r="AS673" s="2">
        <v>627</v>
      </c>
      <c r="AT673" s="2">
        <v>29</v>
      </c>
      <c r="AU673" s="2" t="s">
        <v>432</v>
      </c>
      <c r="AV673" s="2">
        <v>39.99</v>
      </c>
      <c r="AW673" s="2">
        <v>0</v>
      </c>
      <c r="AX673" s="2" t="s">
        <v>2946</v>
      </c>
      <c r="AY673" s="2" t="s">
        <v>83</v>
      </c>
      <c r="AZ673" s="4">
        <v>42850</v>
      </c>
      <c r="BA673" s="5">
        <v>0.61458333333333337</v>
      </c>
      <c r="BB673" s="2">
        <v>2017</v>
      </c>
      <c r="BC673" s="2" t="s">
        <v>487</v>
      </c>
      <c r="BD673" s="2">
        <v>25</v>
      </c>
      <c r="BE673" s="4">
        <v>42855</v>
      </c>
      <c r="BF673" s="5">
        <v>0.61458333333333337</v>
      </c>
      <c r="BG673" s="2" t="str" cm="1">
        <f t="array" ref="BG673">_xlfn.IFS(BF673&lt;TIMEVALUE("06:00"),"Night", BF673&gt;=TIMEVALUE("21:00"),"Night",BF673&gt;=TIMEVALUE("17:00"),"Evening",BF673&gt;=TIMEVALUE("12:00"),"Afternoon", BF673&gt;=TIMEVALUE("06:00"),"Morning")</f>
        <v>Afternoon</v>
      </c>
      <c r="BH673" s="2">
        <v>2017</v>
      </c>
      <c r="BI673" s="2" t="s">
        <v>487</v>
      </c>
      <c r="BJ673" s="2">
        <v>30</v>
      </c>
    </row>
    <row r="674" spans="1:62" x14ac:dyDescent="0.3">
      <c r="A674" s="2" t="s">
        <v>86</v>
      </c>
      <c r="B674" s="2">
        <v>6</v>
      </c>
      <c r="C674" s="2">
        <v>4</v>
      </c>
      <c r="D674" s="2">
        <v>58</v>
      </c>
      <c r="E674" s="2">
        <v>200</v>
      </c>
      <c r="F674" s="2" t="s">
        <v>87</v>
      </c>
      <c r="G674" s="2" t="s">
        <v>88</v>
      </c>
      <c r="H674" s="2">
        <v>24</v>
      </c>
      <c r="I674" s="2" t="s">
        <v>435</v>
      </c>
      <c r="J674" s="2" t="s">
        <v>66</v>
      </c>
      <c r="K674" s="2" t="s">
        <v>67</v>
      </c>
      <c r="L674" s="2" t="s">
        <v>2372</v>
      </c>
      <c r="M674" s="2">
        <v>3099</v>
      </c>
      <c r="N674" s="2" t="s">
        <v>2947</v>
      </c>
      <c r="O674" s="2" t="s">
        <v>70</v>
      </c>
      <c r="P674" s="2" t="s">
        <v>71</v>
      </c>
      <c r="Q674" s="2" t="s">
        <v>2948</v>
      </c>
      <c r="R674" s="2">
        <v>725</v>
      </c>
      <c r="S674" s="2">
        <v>5</v>
      </c>
      <c r="T674" s="2" t="s">
        <v>427</v>
      </c>
      <c r="U674" s="2">
        <v>18.273321200000002</v>
      </c>
      <c r="V674" s="2">
        <v>-66.370552099999998</v>
      </c>
      <c r="W674" s="2" t="s">
        <v>582</v>
      </c>
      <c r="X674" s="2" t="s">
        <v>1853</v>
      </c>
      <c r="Y674" s="2" t="s">
        <v>638</v>
      </c>
      <c r="Z674" s="2">
        <v>3099</v>
      </c>
      <c r="AA674" s="2" t="s">
        <v>2949</v>
      </c>
      <c r="AB674" s="2">
        <v>53505</v>
      </c>
      <c r="AC674" s="2">
        <v>502</v>
      </c>
      <c r="AD674" s="2">
        <v>50</v>
      </c>
      <c r="AE674" s="2">
        <v>0.2</v>
      </c>
      <c r="AF674" s="2" t="str" cm="1">
        <f t="array" ref="AF674">_xlfn.IFS(AE674=0, "No Discount ", AE674&lt;=0.08,"Low Discount", AE674&lt;=0.16,"Medium Discount", AE674&gt;0.16, "High Discount")</f>
        <v>High Discount</v>
      </c>
      <c r="AG674" s="2">
        <v>133703</v>
      </c>
      <c r="AH674" s="2">
        <v>50</v>
      </c>
      <c r="AI674" s="2">
        <v>0.28999999999999998</v>
      </c>
      <c r="AJ674" s="2" t="str" cm="1">
        <f t="array" ref="AJ674">_xlfn.IFS(AI674&lt;=0, "No Profit", AI674&lt;=0.16,"Low Profit",AI674&lt;=0.32,"Medium Profit",AI674&gt;0.32,"High Profit")</f>
        <v>Medium Profit</v>
      </c>
      <c r="AK674" s="2">
        <v>5</v>
      </c>
      <c r="AL674" s="2">
        <v>250</v>
      </c>
      <c r="AM674" s="2">
        <v>200</v>
      </c>
      <c r="AN674" s="2">
        <v>58</v>
      </c>
      <c r="AO674" s="2" t="s">
        <v>586</v>
      </c>
      <c r="AP674" s="2" t="s">
        <v>1853</v>
      </c>
      <c r="AQ674" s="2" t="s">
        <v>155</v>
      </c>
      <c r="AR674" s="2" t="s">
        <v>81</v>
      </c>
      <c r="AS674" s="2">
        <v>502</v>
      </c>
      <c r="AT674" s="2">
        <v>24</v>
      </c>
      <c r="AU674" s="2" t="s">
        <v>442</v>
      </c>
      <c r="AV674" s="2">
        <v>50</v>
      </c>
      <c r="AW674" s="2">
        <v>0</v>
      </c>
      <c r="AX674" s="2" t="s">
        <v>2950</v>
      </c>
      <c r="AY674" s="2" t="s">
        <v>83</v>
      </c>
      <c r="AZ674" s="4">
        <v>42786</v>
      </c>
      <c r="BA674" s="5">
        <v>3.4722222222222224E-2</v>
      </c>
      <c r="BB674" s="2">
        <v>2017</v>
      </c>
      <c r="BC674" s="2" t="s">
        <v>423</v>
      </c>
      <c r="BD674" s="2">
        <v>20</v>
      </c>
      <c r="BE674" s="4">
        <v>42792</v>
      </c>
      <c r="BF674" s="5">
        <v>3.4722222222222224E-2</v>
      </c>
      <c r="BG674" s="2" t="str" cm="1">
        <f t="array" ref="BG674">_xlfn.IFS(BF674&lt;TIMEVALUE("06:00"),"Night", BF674&gt;=TIMEVALUE("21:00"),"Night",BF674&gt;=TIMEVALUE("17:00"),"Evening",BF674&gt;=TIMEVALUE("12:00"),"Afternoon", BF674&gt;=TIMEVALUE("06:00"),"Morning")</f>
        <v>Night</v>
      </c>
      <c r="BH674" s="2">
        <v>2017</v>
      </c>
      <c r="BI674" s="2" t="s">
        <v>423</v>
      </c>
      <c r="BJ674" s="2">
        <v>26</v>
      </c>
    </row>
    <row r="675" spans="1:62" x14ac:dyDescent="0.3">
      <c r="A675" s="2" t="s">
        <v>86</v>
      </c>
      <c r="B675" s="2">
        <v>2</v>
      </c>
      <c r="C675" s="2">
        <v>4</v>
      </c>
      <c r="D675" s="2">
        <v>30.8</v>
      </c>
      <c r="E675" s="2">
        <v>280</v>
      </c>
      <c r="F675" s="2" t="s">
        <v>63</v>
      </c>
      <c r="G675" s="2" t="s">
        <v>64</v>
      </c>
      <c r="H675" s="2">
        <v>26</v>
      </c>
      <c r="I675" s="2" t="s">
        <v>1132</v>
      </c>
      <c r="J675" s="2" t="s">
        <v>66</v>
      </c>
      <c r="K675" s="2" t="s">
        <v>67</v>
      </c>
      <c r="L675" s="2" t="s">
        <v>1414</v>
      </c>
      <c r="M675" s="2">
        <v>5011</v>
      </c>
      <c r="N675" s="2" t="s">
        <v>2951</v>
      </c>
      <c r="O675" s="2" t="s">
        <v>70</v>
      </c>
      <c r="P675" s="2" t="s">
        <v>71</v>
      </c>
      <c r="Q675" s="2" t="s">
        <v>2952</v>
      </c>
      <c r="R675" s="2">
        <v>725</v>
      </c>
      <c r="S675" s="2">
        <v>5</v>
      </c>
      <c r="T675" s="2" t="s">
        <v>427</v>
      </c>
      <c r="U675" s="2">
        <v>18.2880039</v>
      </c>
      <c r="V675" s="2">
        <v>-66.370521600000004</v>
      </c>
      <c r="W675" s="2" t="s">
        <v>582</v>
      </c>
      <c r="X675" s="2" t="s">
        <v>2858</v>
      </c>
      <c r="Y675" s="2" t="s">
        <v>2953</v>
      </c>
      <c r="Z675" s="2">
        <v>5011</v>
      </c>
      <c r="AA675" s="2" t="s">
        <v>2954</v>
      </c>
      <c r="AB675" s="2">
        <v>55636</v>
      </c>
      <c r="AC675" s="2">
        <v>565</v>
      </c>
      <c r="AD675" s="2">
        <v>70</v>
      </c>
      <c r="AE675" s="2">
        <v>0.2</v>
      </c>
      <c r="AF675" s="2" t="str" cm="1">
        <f t="array" ref="AF675">_xlfn.IFS(AE675=0, "No Discount ", AE675&lt;=0.08,"Low Discount", AE675&lt;=0.16,"Medium Discount", AE675&gt;0.16, "High Discount")</f>
        <v>High Discount</v>
      </c>
      <c r="AG675" s="2">
        <v>139149</v>
      </c>
      <c r="AH675" s="2">
        <v>70</v>
      </c>
      <c r="AI675" s="2">
        <v>0.11</v>
      </c>
      <c r="AJ675" s="2" t="str" cm="1">
        <f t="array" ref="AJ675">_xlfn.IFS(AI675&lt;=0, "No Profit", AI675&lt;=0.16,"Low Profit",AI675&lt;=0.32,"Medium Profit",AI675&gt;0.32,"High Profit")</f>
        <v>Low Profit</v>
      </c>
      <c r="AK675" s="2">
        <v>5</v>
      </c>
      <c r="AL675" s="2">
        <v>350</v>
      </c>
      <c r="AM675" s="2">
        <v>280</v>
      </c>
      <c r="AN675" s="2">
        <v>30.8</v>
      </c>
      <c r="AO675" s="2" t="s">
        <v>607</v>
      </c>
      <c r="AP675" s="2" t="s">
        <v>2858</v>
      </c>
      <c r="AQ675" s="2" t="s">
        <v>155</v>
      </c>
      <c r="AR675" s="2" t="s">
        <v>81</v>
      </c>
      <c r="AS675" s="2">
        <v>565</v>
      </c>
      <c r="AT675" s="2">
        <v>26</v>
      </c>
      <c r="AU675" s="2" t="s">
        <v>1871</v>
      </c>
      <c r="AV675" s="2">
        <v>70</v>
      </c>
      <c r="AW675" s="2">
        <v>0</v>
      </c>
      <c r="AX675" s="2" t="s">
        <v>2955</v>
      </c>
      <c r="AY675" s="2" t="s">
        <v>83</v>
      </c>
      <c r="AZ675" s="4">
        <v>42817</v>
      </c>
      <c r="BA675" s="5">
        <v>0.1423611111111111</v>
      </c>
      <c r="BB675" s="2">
        <v>2017</v>
      </c>
      <c r="BC675" s="2" t="s">
        <v>85</v>
      </c>
      <c r="BD675" s="2">
        <v>23</v>
      </c>
      <c r="BE675" s="4">
        <v>42819</v>
      </c>
      <c r="BF675" s="5">
        <v>0.1423611111111111</v>
      </c>
      <c r="BG675" s="2" t="str" cm="1">
        <f t="array" ref="BG675">_xlfn.IFS(BF675&lt;TIMEVALUE("06:00"),"Night", BF675&gt;=TIMEVALUE("21:00"),"Night",BF675&gt;=TIMEVALUE("17:00"),"Evening",BF675&gt;=TIMEVALUE("12:00"),"Afternoon", BF675&gt;=TIMEVALUE("06:00"),"Morning")</f>
        <v>Night</v>
      </c>
      <c r="BH675" s="2">
        <v>2017</v>
      </c>
      <c r="BI675" s="2" t="s">
        <v>85</v>
      </c>
      <c r="BJ675" s="2">
        <v>25</v>
      </c>
    </row>
    <row r="676" spans="1:62" x14ac:dyDescent="0.3">
      <c r="A676" s="2" t="s">
        <v>86</v>
      </c>
      <c r="B676" s="2">
        <v>4</v>
      </c>
      <c r="C676" s="2">
        <v>4</v>
      </c>
      <c r="D676" s="2">
        <v>18</v>
      </c>
      <c r="E676" s="2">
        <v>239.95</v>
      </c>
      <c r="F676" s="2" t="s">
        <v>100</v>
      </c>
      <c r="G676" s="2" t="s">
        <v>64</v>
      </c>
      <c r="H676" s="2">
        <v>37</v>
      </c>
      <c r="I676" s="2" t="s">
        <v>464</v>
      </c>
      <c r="J676" s="2" t="s">
        <v>66</v>
      </c>
      <c r="K676" s="2" t="s">
        <v>67</v>
      </c>
      <c r="L676" s="2" t="s">
        <v>594</v>
      </c>
      <c r="M676" s="2">
        <v>2643</v>
      </c>
      <c r="N676" s="2" t="s">
        <v>425</v>
      </c>
      <c r="O676" s="2" t="s">
        <v>70</v>
      </c>
      <c r="P676" s="2" t="s">
        <v>71</v>
      </c>
      <c r="Q676" s="2" t="s">
        <v>2956</v>
      </c>
      <c r="R676" s="2">
        <v>725</v>
      </c>
      <c r="S676" s="2">
        <v>6</v>
      </c>
      <c r="T676" s="2" t="s">
        <v>515</v>
      </c>
      <c r="U676" s="2">
        <v>18.201494199999999</v>
      </c>
      <c r="V676" s="2">
        <v>-66.370605499999996</v>
      </c>
      <c r="W676" s="2" t="s">
        <v>582</v>
      </c>
      <c r="X676" s="2" t="s">
        <v>626</v>
      </c>
      <c r="Y676" s="2" t="s">
        <v>627</v>
      </c>
      <c r="Z676" s="2">
        <v>2643</v>
      </c>
      <c r="AA676" s="2" t="s">
        <v>2957</v>
      </c>
      <c r="AB676" s="2">
        <v>57128</v>
      </c>
      <c r="AC676" s="2">
        <v>818</v>
      </c>
      <c r="AD676" s="2">
        <v>0</v>
      </c>
      <c r="AE676" s="2">
        <v>0</v>
      </c>
      <c r="AF676" s="2" t="str" cm="1">
        <f t="array" ref="AF676">_xlfn.IFS(AE676=0, "No Discount ", AE676&lt;=0.08,"Low Discount", AE676&lt;=0.16,"Medium Discount", AE676&gt;0.16, "High Discount")</f>
        <v xml:space="preserve">No Discount </v>
      </c>
      <c r="AG676" s="2">
        <v>142889</v>
      </c>
      <c r="AH676" s="2">
        <v>47.99</v>
      </c>
      <c r="AI676" s="2">
        <v>0.08</v>
      </c>
      <c r="AJ676" s="2" t="str" cm="1">
        <f t="array" ref="AJ676">_xlfn.IFS(AI676&lt;=0, "No Profit", AI676&lt;=0.16,"Low Profit",AI676&lt;=0.32,"Medium Profit",AI676&gt;0.32,"High Profit")</f>
        <v>Low Profit</v>
      </c>
      <c r="AK676" s="2">
        <v>5</v>
      </c>
      <c r="AL676" s="2">
        <v>239.95</v>
      </c>
      <c r="AM676" s="2">
        <v>239.95</v>
      </c>
      <c r="AN676" s="2">
        <v>18</v>
      </c>
      <c r="AO676" s="2" t="s">
        <v>586</v>
      </c>
      <c r="AP676" s="2" t="s">
        <v>628</v>
      </c>
      <c r="AQ676" s="2" t="s">
        <v>155</v>
      </c>
      <c r="AR676" s="2" t="s">
        <v>81</v>
      </c>
      <c r="AS676" s="2">
        <v>818</v>
      </c>
      <c r="AT676" s="2">
        <v>37</v>
      </c>
      <c r="AU676" s="2" t="s">
        <v>765</v>
      </c>
      <c r="AV676" s="2">
        <v>47.99</v>
      </c>
      <c r="AW676" s="2">
        <v>0</v>
      </c>
      <c r="AX676" s="2" t="s">
        <v>2958</v>
      </c>
      <c r="AY676" s="2" t="s">
        <v>83</v>
      </c>
      <c r="AZ676" s="4">
        <v>42838</v>
      </c>
      <c r="BA676" s="5">
        <v>0.92152777777777772</v>
      </c>
      <c r="BB676" s="2">
        <v>2017</v>
      </c>
      <c r="BC676" s="2" t="s">
        <v>487</v>
      </c>
      <c r="BD676" s="2">
        <v>13</v>
      </c>
      <c r="BE676" s="4">
        <v>42842</v>
      </c>
      <c r="BF676" s="5">
        <v>0.92152777777777772</v>
      </c>
      <c r="BG676" s="2" t="str" cm="1">
        <f t="array" ref="BG676">_xlfn.IFS(BF676&lt;TIMEVALUE("06:00"),"Night", BF676&gt;=TIMEVALUE("21:00"),"Night",BF676&gt;=TIMEVALUE("17:00"),"Evening",BF676&gt;=TIMEVALUE("12:00"),"Afternoon", BF676&gt;=TIMEVALUE("06:00"),"Morning")</f>
        <v>Night</v>
      </c>
      <c r="BH676" s="2">
        <v>2017</v>
      </c>
      <c r="BI676" s="2" t="s">
        <v>487</v>
      </c>
      <c r="BJ676" s="2">
        <v>17</v>
      </c>
    </row>
    <row r="677" spans="1:62" x14ac:dyDescent="0.3">
      <c r="A677" s="2" t="s">
        <v>86</v>
      </c>
      <c r="B677" s="2">
        <v>4</v>
      </c>
      <c r="C677" s="2">
        <v>4</v>
      </c>
      <c r="D677" s="2">
        <v>55.1</v>
      </c>
      <c r="E677" s="2">
        <v>122.45</v>
      </c>
      <c r="F677" s="2" t="s">
        <v>100</v>
      </c>
      <c r="G677" s="2" t="s">
        <v>64</v>
      </c>
      <c r="H677" s="2">
        <v>40</v>
      </c>
      <c r="I677" s="2" t="s">
        <v>1151</v>
      </c>
      <c r="J677" s="2" t="s">
        <v>66</v>
      </c>
      <c r="K677" s="2" t="s">
        <v>67</v>
      </c>
      <c r="L677" s="2" t="s">
        <v>1094</v>
      </c>
      <c r="M677" s="2">
        <v>9501</v>
      </c>
      <c r="N677" s="2" t="s">
        <v>425</v>
      </c>
      <c r="O677" s="2" t="s">
        <v>70</v>
      </c>
      <c r="P677" s="2" t="s">
        <v>71</v>
      </c>
      <c r="Q677" s="2" t="s">
        <v>2502</v>
      </c>
      <c r="R677" s="2">
        <v>725</v>
      </c>
      <c r="S677" s="2">
        <v>6</v>
      </c>
      <c r="T677" s="2" t="s">
        <v>515</v>
      </c>
      <c r="U677" s="2">
        <v>18.231529200000001</v>
      </c>
      <c r="V677" s="2">
        <v>-66.370506300000002</v>
      </c>
      <c r="W677" s="2" t="s">
        <v>582</v>
      </c>
      <c r="X677" s="2" t="s">
        <v>2959</v>
      </c>
      <c r="Y677" s="2" t="s">
        <v>632</v>
      </c>
      <c r="Z677" s="2">
        <v>9501</v>
      </c>
      <c r="AA677" s="3">
        <v>42221.393750000003</v>
      </c>
      <c r="AB677" s="2">
        <v>8728</v>
      </c>
      <c r="AC677" s="2">
        <v>897</v>
      </c>
      <c r="AD677" s="2">
        <v>2.5</v>
      </c>
      <c r="AE677" s="2">
        <v>0.02</v>
      </c>
      <c r="AF677" s="2" t="str" cm="1">
        <f t="array" ref="AF677">_xlfn.IFS(AE677=0, "No Discount ", AE677&lt;=0.08,"Low Discount", AE677&lt;=0.16,"Medium Discount", AE677&gt;0.16, "High Discount")</f>
        <v>Low Discount</v>
      </c>
      <c r="AG677" s="2">
        <v>21771</v>
      </c>
      <c r="AH677" s="2">
        <v>24.99</v>
      </c>
      <c r="AI677" s="2">
        <v>0.45</v>
      </c>
      <c r="AJ677" s="2" t="str" cm="1">
        <f t="array" ref="AJ677">_xlfn.IFS(AI677&lt;=0, "No Profit", AI677&lt;=0.16,"Low Profit",AI677&lt;=0.32,"Medium Profit",AI677&gt;0.32,"High Profit")</f>
        <v>High Profit</v>
      </c>
      <c r="AK677" s="2">
        <v>5</v>
      </c>
      <c r="AL677" s="2">
        <v>124.95</v>
      </c>
      <c r="AM677" s="2">
        <v>122.45</v>
      </c>
      <c r="AN677" s="2">
        <v>55.1</v>
      </c>
      <c r="AO677" s="2" t="s">
        <v>607</v>
      </c>
      <c r="AP677" s="2" t="s">
        <v>2960</v>
      </c>
      <c r="AQ677" s="2" t="s">
        <v>155</v>
      </c>
      <c r="AR677" s="2" t="s">
        <v>81</v>
      </c>
      <c r="AS677" s="2">
        <v>897</v>
      </c>
      <c r="AT677" s="2">
        <v>40</v>
      </c>
      <c r="AU677" s="2" t="s">
        <v>2961</v>
      </c>
      <c r="AV677" s="2">
        <v>24.99</v>
      </c>
      <c r="AW677" s="2">
        <v>0</v>
      </c>
      <c r="AX677" s="3">
        <v>42343.393750000003</v>
      </c>
      <c r="AY677" s="2" t="s">
        <v>83</v>
      </c>
      <c r="AZ677" s="4">
        <v>42221</v>
      </c>
      <c r="BA677" s="5">
        <v>0.39374999999999999</v>
      </c>
      <c r="BB677" s="2">
        <v>2015</v>
      </c>
      <c r="BC677" s="2" t="s">
        <v>482</v>
      </c>
      <c r="BD677" s="2">
        <v>5</v>
      </c>
      <c r="BE677" s="4">
        <v>42343</v>
      </c>
      <c r="BF677" s="5">
        <v>0.39374999999999999</v>
      </c>
      <c r="BG677" s="2" t="str" cm="1">
        <f t="array" ref="BG677">_xlfn.IFS(BF677&lt;TIMEVALUE("06:00"),"Night", BF677&gt;=TIMEVALUE("21:00"),"Night",BF677&gt;=TIMEVALUE("17:00"),"Evening",BF677&gt;=TIMEVALUE("12:00"),"Afternoon", BF677&gt;=TIMEVALUE("06:00"),"Morning")</f>
        <v>Morning</v>
      </c>
      <c r="BH677" s="2">
        <v>2015</v>
      </c>
      <c r="BI677" s="2" t="s">
        <v>357</v>
      </c>
      <c r="BJ677" s="2">
        <v>5</v>
      </c>
    </row>
    <row r="678" spans="1:62" x14ac:dyDescent="0.3">
      <c r="A678" s="2" t="s">
        <v>86</v>
      </c>
      <c r="B678" s="2">
        <v>6</v>
      </c>
      <c r="C678" s="2">
        <v>4</v>
      </c>
      <c r="D678" s="2">
        <v>-14.28</v>
      </c>
      <c r="E678" s="2">
        <v>230.35</v>
      </c>
      <c r="F678" s="2" t="s">
        <v>87</v>
      </c>
      <c r="G678" s="2" t="s">
        <v>88</v>
      </c>
      <c r="H678" s="2">
        <v>37</v>
      </c>
      <c r="I678" s="2" t="s">
        <v>464</v>
      </c>
      <c r="J678" s="2" t="s">
        <v>66</v>
      </c>
      <c r="K678" s="2" t="s">
        <v>67</v>
      </c>
      <c r="L678" s="2" t="s">
        <v>414</v>
      </c>
      <c r="M678" s="2">
        <v>9760</v>
      </c>
      <c r="N678" s="2" t="s">
        <v>2962</v>
      </c>
      <c r="O678" s="2" t="s">
        <v>70</v>
      </c>
      <c r="P678" s="2" t="s">
        <v>71</v>
      </c>
      <c r="Q678" s="2" t="s">
        <v>2963</v>
      </c>
      <c r="R678" s="2">
        <v>725</v>
      </c>
      <c r="S678" s="2">
        <v>6</v>
      </c>
      <c r="T678" s="2" t="s">
        <v>515</v>
      </c>
      <c r="U678" s="2">
        <v>18.215711599999999</v>
      </c>
      <c r="V678" s="2">
        <v>-66.370559700000001</v>
      </c>
      <c r="W678" s="2" t="s">
        <v>582</v>
      </c>
      <c r="X678" s="2" t="s">
        <v>2964</v>
      </c>
      <c r="Y678" s="2" t="s">
        <v>1229</v>
      </c>
      <c r="Z678" s="2">
        <v>9760</v>
      </c>
      <c r="AA678" s="2" t="s">
        <v>2965</v>
      </c>
      <c r="AB678" s="2">
        <v>1105</v>
      </c>
      <c r="AC678" s="2">
        <v>818</v>
      </c>
      <c r="AD678" s="2">
        <v>9.6</v>
      </c>
      <c r="AE678" s="2">
        <v>0.04</v>
      </c>
      <c r="AF678" s="2" t="str" cm="1">
        <f t="array" ref="AF678">_xlfn.IFS(AE678=0, "No Discount ", AE678&lt;=0.08,"Low Discount", AE678&lt;=0.16,"Medium Discount", AE678&gt;0.16, "High Discount")</f>
        <v>Low Discount</v>
      </c>
      <c r="AG678" s="2">
        <v>2749</v>
      </c>
      <c r="AH678" s="2">
        <v>47.99</v>
      </c>
      <c r="AI678" s="2">
        <v>-0.06</v>
      </c>
      <c r="AJ678" s="2" t="str" cm="1">
        <f t="array" ref="AJ678">_xlfn.IFS(AI678&lt;=0, "No Profit", AI678&lt;=0.16,"Low Profit",AI678&lt;=0.32,"Medium Profit",AI678&gt;0.32,"High Profit")</f>
        <v>No Profit</v>
      </c>
      <c r="AK678" s="2">
        <v>5</v>
      </c>
      <c r="AL678" s="2">
        <v>239.95</v>
      </c>
      <c r="AM678" s="2">
        <v>230.35</v>
      </c>
      <c r="AN678" s="2">
        <v>-14.28</v>
      </c>
      <c r="AO678" s="2" t="s">
        <v>601</v>
      </c>
      <c r="AP678" s="2" t="s">
        <v>2966</v>
      </c>
      <c r="AQ678" s="2" t="s">
        <v>155</v>
      </c>
      <c r="AR678" s="2" t="s">
        <v>81</v>
      </c>
      <c r="AS678" s="2">
        <v>818</v>
      </c>
      <c r="AT678" s="2">
        <v>37</v>
      </c>
      <c r="AU678" s="2" t="s">
        <v>765</v>
      </c>
      <c r="AV678" s="2">
        <v>47.99</v>
      </c>
      <c r="AW678" s="2">
        <v>0</v>
      </c>
      <c r="AX678" s="2" t="s">
        <v>2967</v>
      </c>
      <c r="AY678" s="2" t="s">
        <v>83</v>
      </c>
      <c r="AZ678" s="4">
        <v>42021</v>
      </c>
      <c r="BA678" s="5">
        <v>0.11527777777777778</v>
      </c>
      <c r="BB678" s="2">
        <v>2015</v>
      </c>
      <c r="BC678" s="2" t="s">
        <v>84</v>
      </c>
      <c r="BD678" s="2">
        <v>17</v>
      </c>
      <c r="BE678" s="4">
        <v>42027</v>
      </c>
      <c r="BF678" s="5">
        <v>0.11527777777777778</v>
      </c>
      <c r="BG678" s="2" t="str" cm="1">
        <f t="array" ref="BG678">_xlfn.IFS(BF678&lt;TIMEVALUE("06:00"),"Night", BF678&gt;=TIMEVALUE("21:00"),"Night",BF678&gt;=TIMEVALUE("17:00"),"Evening",BF678&gt;=TIMEVALUE("12:00"),"Afternoon", BF678&gt;=TIMEVALUE("06:00"),"Morning")</f>
        <v>Night</v>
      </c>
      <c r="BH678" s="2">
        <v>2015</v>
      </c>
      <c r="BI678" s="2" t="s">
        <v>84</v>
      </c>
      <c r="BJ678" s="2">
        <v>23</v>
      </c>
    </row>
    <row r="679" spans="1:62" x14ac:dyDescent="0.3">
      <c r="A679" s="2" t="s">
        <v>86</v>
      </c>
      <c r="B679" s="2">
        <v>3</v>
      </c>
      <c r="C679" s="2">
        <v>4</v>
      </c>
      <c r="D679" s="2">
        <v>31.88</v>
      </c>
      <c r="E679" s="2">
        <v>118.08</v>
      </c>
      <c r="F679" s="2" t="s">
        <v>63</v>
      </c>
      <c r="G679" s="2" t="s">
        <v>64</v>
      </c>
      <c r="H679" s="2">
        <v>40</v>
      </c>
      <c r="I679" s="2" t="s">
        <v>1151</v>
      </c>
      <c r="J679" s="2" t="s">
        <v>66</v>
      </c>
      <c r="K679" s="2" t="s">
        <v>67</v>
      </c>
      <c r="L679" s="2" t="s">
        <v>489</v>
      </c>
      <c r="M679" s="2">
        <v>11793</v>
      </c>
      <c r="N679" s="2" t="s">
        <v>990</v>
      </c>
      <c r="O679" s="2" t="s">
        <v>70</v>
      </c>
      <c r="P679" s="2" t="s">
        <v>71</v>
      </c>
      <c r="Q679" s="2" t="s">
        <v>2968</v>
      </c>
      <c r="R679" s="2">
        <v>725</v>
      </c>
      <c r="S679" s="2">
        <v>6</v>
      </c>
      <c r="T679" s="2" t="s">
        <v>515</v>
      </c>
      <c r="U679" s="2">
        <v>18.290895500000001</v>
      </c>
      <c r="V679" s="2">
        <v>-66.370552099999998</v>
      </c>
      <c r="W679" s="2" t="s">
        <v>582</v>
      </c>
      <c r="X679" s="2" t="s">
        <v>2925</v>
      </c>
      <c r="Y679" s="2" t="s">
        <v>638</v>
      </c>
      <c r="Z679" s="2">
        <v>11793</v>
      </c>
      <c r="AA679" s="2" t="s">
        <v>2969</v>
      </c>
      <c r="AB679" s="2">
        <v>1797</v>
      </c>
      <c r="AC679" s="2">
        <v>886</v>
      </c>
      <c r="AD679" s="2">
        <v>6.87</v>
      </c>
      <c r="AE679" s="2">
        <v>0.06</v>
      </c>
      <c r="AF679" s="2" t="str" cm="1">
        <f t="array" ref="AF679">_xlfn.IFS(AE679=0, "No Discount ", AE679&lt;=0.08,"Low Discount", AE679&lt;=0.16,"Medium Discount", AE679&gt;0.16, "High Discount")</f>
        <v>Low Discount</v>
      </c>
      <c r="AG679" s="2">
        <v>4490</v>
      </c>
      <c r="AH679" s="2">
        <v>24.99</v>
      </c>
      <c r="AI679" s="2">
        <v>0.27</v>
      </c>
      <c r="AJ679" s="2" t="str" cm="1">
        <f t="array" ref="AJ679">_xlfn.IFS(AI679&lt;=0, "No Profit", AI679&lt;=0.16,"Low Profit",AI679&lt;=0.32,"Medium Profit",AI679&gt;0.32,"High Profit")</f>
        <v>Medium Profit</v>
      </c>
      <c r="AK679" s="2">
        <v>5</v>
      </c>
      <c r="AL679" s="2">
        <v>124.95</v>
      </c>
      <c r="AM679" s="2">
        <v>118.08</v>
      </c>
      <c r="AN679" s="2">
        <v>31.88</v>
      </c>
      <c r="AO679" s="2" t="s">
        <v>586</v>
      </c>
      <c r="AP679" s="2" t="s">
        <v>2926</v>
      </c>
      <c r="AQ679" s="2" t="s">
        <v>155</v>
      </c>
      <c r="AR679" s="2" t="s">
        <v>81</v>
      </c>
      <c r="AS679" s="2">
        <v>886</v>
      </c>
      <c r="AT679" s="2">
        <v>40</v>
      </c>
      <c r="AU679" s="2" t="s">
        <v>1656</v>
      </c>
      <c r="AV679" s="2">
        <v>24.99</v>
      </c>
      <c r="AW679" s="2">
        <v>0</v>
      </c>
      <c r="AX679" s="2" t="s">
        <v>2970</v>
      </c>
      <c r="AY679" s="2" t="s">
        <v>83</v>
      </c>
      <c r="AZ679" s="4">
        <v>42031</v>
      </c>
      <c r="BA679" s="5">
        <v>0.21736111111111112</v>
      </c>
      <c r="BB679" s="2">
        <v>2015</v>
      </c>
      <c r="BC679" s="2" t="s">
        <v>84</v>
      </c>
      <c r="BD679" s="2">
        <v>27</v>
      </c>
      <c r="BE679" s="4">
        <v>42034</v>
      </c>
      <c r="BF679" s="5">
        <v>0.21736111111111112</v>
      </c>
      <c r="BG679" s="2" t="str" cm="1">
        <f t="array" ref="BG679">_xlfn.IFS(BF679&lt;TIMEVALUE("06:00"),"Night", BF679&gt;=TIMEVALUE("21:00"),"Night",BF679&gt;=TIMEVALUE("17:00"),"Evening",BF679&gt;=TIMEVALUE("12:00"),"Afternoon", BF679&gt;=TIMEVALUE("06:00"),"Morning")</f>
        <v>Night</v>
      </c>
      <c r="BH679" s="2">
        <v>2015</v>
      </c>
      <c r="BI679" s="2" t="s">
        <v>84</v>
      </c>
      <c r="BJ679" s="2">
        <v>30</v>
      </c>
    </row>
    <row r="680" spans="1:62" x14ac:dyDescent="0.3">
      <c r="A680" s="2" t="s">
        <v>86</v>
      </c>
      <c r="B680" s="2">
        <v>5</v>
      </c>
      <c r="C680" s="2">
        <v>4</v>
      </c>
      <c r="D680" s="2">
        <v>53.44</v>
      </c>
      <c r="E680" s="2">
        <v>113.7</v>
      </c>
      <c r="F680" s="2" t="s">
        <v>87</v>
      </c>
      <c r="G680" s="2" t="s">
        <v>88</v>
      </c>
      <c r="H680" s="2">
        <v>40</v>
      </c>
      <c r="I680" s="2" t="s">
        <v>1151</v>
      </c>
      <c r="J680" s="2" t="s">
        <v>413</v>
      </c>
      <c r="K680" s="2" t="s">
        <v>67</v>
      </c>
      <c r="L680" s="2" t="s">
        <v>414</v>
      </c>
      <c r="M680" s="2">
        <v>7273</v>
      </c>
      <c r="N680" s="2" t="s">
        <v>425</v>
      </c>
      <c r="O680" s="2" t="s">
        <v>70</v>
      </c>
      <c r="P680" s="2" t="s">
        <v>71</v>
      </c>
      <c r="Q680" s="2" t="s">
        <v>2971</v>
      </c>
      <c r="R680" s="2">
        <v>957</v>
      </c>
      <c r="S680" s="2">
        <v>6</v>
      </c>
      <c r="T680" s="2" t="s">
        <v>515</v>
      </c>
      <c r="U680" s="2">
        <v>18.3801193</v>
      </c>
      <c r="V680" s="2">
        <v>-66.183128400000001</v>
      </c>
      <c r="W680" s="2" t="s">
        <v>582</v>
      </c>
      <c r="X680" s="2" t="s">
        <v>592</v>
      </c>
      <c r="Y680" s="2" t="s">
        <v>591</v>
      </c>
      <c r="Z680" s="2">
        <v>7273</v>
      </c>
      <c r="AA680" s="2" t="s">
        <v>2972</v>
      </c>
      <c r="AB680" s="2">
        <v>1634</v>
      </c>
      <c r="AC680" s="2">
        <v>905</v>
      </c>
      <c r="AD680" s="2">
        <v>11.25</v>
      </c>
      <c r="AE680" s="2">
        <v>0.09</v>
      </c>
      <c r="AF680" s="2" t="str" cm="1">
        <f t="array" ref="AF680">_xlfn.IFS(AE680=0, "No Discount ", AE680&lt;=0.08,"Low Discount", AE680&lt;=0.16,"Medium Discount", AE680&gt;0.16, "High Discount")</f>
        <v>Medium Discount</v>
      </c>
      <c r="AG680" s="2">
        <v>4065</v>
      </c>
      <c r="AH680" s="2">
        <v>24.99</v>
      </c>
      <c r="AI680" s="2">
        <v>0.47</v>
      </c>
      <c r="AJ680" s="2" t="str" cm="1">
        <f t="array" ref="AJ680">_xlfn.IFS(AI680&lt;=0, "No Profit", AI680&lt;=0.16,"Low Profit",AI680&lt;=0.32,"Medium Profit",AI680&gt;0.32,"High Profit")</f>
        <v>High Profit</v>
      </c>
      <c r="AK680" s="2">
        <v>5</v>
      </c>
      <c r="AL680" s="2">
        <v>124.95</v>
      </c>
      <c r="AM680" s="2">
        <v>113.7</v>
      </c>
      <c r="AN680" s="2">
        <v>53.44</v>
      </c>
      <c r="AO680" s="2" t="s">
        <v>586</v>
      </c>
      <c r="AP680" s="2" t="s">
        <v>592</v>
      </c>
      <c r="AQ680" s="2" t="s">
        <v>155</v>
      </c>
      <c r="AR680" s="2" t="s">
        <v>81</v>
      </c>
      <c r="AS680" s="2">
        <v>905</v>
      </c>
      <c r="AT680" s="2">
        <v>40</v>
      </c>
      <c r="AU680" s="2" t="s">
        <v>1194</v>
      </c>
      <c r="AV680" s="2">
        <v>24.99</v>
      </c>
      <c r="AW680" s="2">
        <v>0</v>
      </c>
      <c r="AX680" s="2" t="s">
        <v>2973</v>
      </c>
      <c r="AY680" s="2" t="s">
        <v>83</v>
      </c>
      <c r="AZ680" s="4">
        <v>42028</v>
      </c>
      <c r="BA680" s="5">
        <v>0.83750000000000002</v>
      </c>
      <c r="BB680" s="2">
        <v>2015</v>
      </c>
      <c r="BC680" s="2" t="s">
        <v>84</v>
      </c>
      <c r="BD680" s="2">
        <v>24</v>
      </c>
      <c r="BE680" s="4">
        <v>42033</v>
      </c>
      <c r="BF680" s="5">
        <v>0.83750000000000002</v>
      </c>
      <c r="BG680" s="2" t="str" cm="1">
        <f t="array" ref="BG680">_xlfn.IFS(BF680&lt;TIMEVALUE("06:00"),"Night", BF680&gt;=TIMEVALUE("21:00"),"Night",BF680&gt;=TIMEVALUE("17:00"),"Evening",BF680&gt;=TIMEVALUE("12:00"),"Afternoon", BF680&gt;=TIMEVALUE("06:00"),"Morning")</f>
        <v>Evening</v>
      </c>
      <c r="BH680" s="2">
        <v>2015</v>
      </c>
      <c r="BI680" s="2" t="s">
        <v>84</v>
      </c>
      <c r="BJ680" s="2">
        <v>29</v>
      </c>
    </row>
    <row r="681" spans="1:62" x14ac:dyDescent="0.3">
      <c r="A681" s="2" t="s">
        <v>86</v>
      </c>
      <c r="B681" s="2">
        <v>2</v>
      </c>
      <c r="C681" s="2">
        <v>4</v>
      </c>
      <c r="D681" s="2">
        <v>4.53</v>
      </c>
      <c r="E681" s="2">
        <v>71.959999999999994</v>
      </c>
      <c r="F681" s="2" t="s">
        <v>63</v>
      </c>
      <c r="G681" s="2" t="s">
        <v>64</v>
      </c>
      <c r="H681" s="2">
        <v>41</v>
      </c>
      <c r="I681" s="2" t="s">
        <v>512</v>
      </c>
      <c r="J681" s="2" t="s">
        <v>66</v>
      </c>
      <c r="K681" s="2" t="s">
        <v>67</v>
      </c>
      <c r="L681" s="2" t="s">
        <v>414</v>
      </c>
      <c r="M681" s="2">
        <v>5301</v>
      </c>
      <c r="N681" s="2" t="s">
        <v>1517</v>
      </c>
      <c r="O681" s="2" t="s">
        <v>70</v>
      </c>
      <c r="P681" s="2" t="s">
        <v>71</v>
      </c>
      <c r="Q681" s="2" t="s">
        <v>2874</v>
      </c>
      <c r="R681" s="2">
        <v>725</v>
      </c>
      <c r="S681" s="2">
        <v>6</v>
      </c>
      <c r="T681" s="2" t="s">
        <v>515</v>
      </c>
      <c r="U681" s="2">
        <v>18.275159800000001</v>
      </c>
      <c r="V681" s="2">
        <v>-66.370529199999993</v>
      </c>
      <c r="W681" s="2" t="s">
        <v>582</v>
      </c>
      <c r="X681" s="2" t="s">
        <v>2875</v>
      </c>
      <c r="Y681" s="2" t="s">
        <v>638</v>
      </c>
      <c r="Z681" s="2">
        <v>5301</v>
      </c>
      <c r="AA681" s="2" t="s">
        <v>2876</v>
      </c>
      <c r="AB681" s="2">
        <v>53576</v>
      </c>
      <c r="AC681" s="2">
        <v>924</v>
      </c>
      <c r="AD681" s="2">
        <v>8</v>
      </c>
      <c r="AE681" s="2">
        <v>0.1</v>
      </c>
      <c r="AF681" s="2" t="str" cm="1">
        <f t="array" ref="AF681">_xlfn.IFS(AE681=0, "No Discount ", AE681&lt;=0.08,"Low Discount", AE681&lt;=0.16,"Medium Discount", AE681&gt;0.16, "High Discount")</f>
        <v>Medium Discount</v>
      </c>
      <c r="AG681" s="2">
        <v>133898</v>
      </c>
      <c r="AH681" s="2">
        <v>15.99</v>
      </c>
      <c r="AI681" s="2">
        <v>0.06</v>
      </c>
      <c r="AJ681" s="2" t="str" cm="1">
        <f t="array" ref="AJ681">_xlfn.IFS(AI681&lt;=0, "No Profit", AI681&lt;=0.16,"Low Profit",AI681&lt;=0.32,"Medium Profit",AI681&gt;0.32,"High Profit")</f>
        <v>Low Profit</v>
      </c>
      <c r="AK681" s="2">
        <v>5</v>
      </c>
      <c r="AL681" s="2">
        <v>79.95</v>
      </c>
      <c r="AM681" s="2">
        <v>71.959999999999994</v>
      </c>
      <c r="AN681" s="2">
        <v>4.53</v>
      </c>
      <c r="AO681" s="2" t="s">
        <v>586</v>
      </c>
      <c r="AP681" s="2" t="s">
        <v>1823</v>
      </c>
      <c r="AQ681" s="2" t="s">
        <v>155</v>
      </c>
      <c r="AR681" s="2" t="s">
        <v>81</v>
      </c>
      <c r="AS681" s="2">
        <v>924</v>
      </c>
      <c r="AT681" s="2">
        <v>41</v>
      </c>
      <c r="AU681" s="2" t="s">
        <v>1166</v>
      </c>
      <c r="AV681" s="2">
        <v>15.99</v>
      </c>
      <c r="AW681" s="2">
        <v>0</v>
      </c>
      <c r="AX681" s="2" t="s">
        <v>2877</v>
      </c>
      <c r="AY681" s="2" t="s">
        <v>83</v>
      </c>
      <c r="AZ681" s="4">
        <v>42787</v>
      </c>
      <c r="BA681" s="5">
        <v>7.0833333333333331E-2</v>
      </c>
      <c r="BB681" s="2">
        <v>2017</v>
      </c>
      <c r="BC681" s="2" t="s">
        <v>423</v>
      </c>
      <c r="BD681" s="2">
        <v>21</v>
      </c>
      <c r="BE681" s="4">
        <v>42789</v>
      </c>
      <c r="BF681" s="5">
        <v>7.0833333333333331E-2</v>
      </c>
      <c r="BG681" s="2" t="str" cm="1">
        <f t="array" ref="BG681">_xlfn.IFS(BF681&lt;TIMEVALUE("06:00"),"Night", BF681&gt;=TIMEVALUE("21:00"),"Night",BF681&gt;=TIMEVALUE("17:00"),"Evening",BF681&gt;=TIMEVALUE("12:00"),"Afternoon", BF681&gt;=TIMEVALUE("06:00"),"Morning")</f>
        <v>Night</v>
      </c>
      <c r="BH681" s="2">
        <v>2017</v>
      </c>
      <c r="BI681" s="2" t="s">
        <v>423</v>
      </c>
      <c r="BJ681" s="2">
        <v>23</v>
      </c>
    </row>
    <row r="682" spans="1:62" x14ac:dyDescent="0.3">
      <c r="A682" s="2" t="s">
        <v>86</v>
      </c>
      <c r="B682" s="2">
        <v>4</v>
      </c>
      <c r="C682" s="2">
        <v>4</v>
      </c>
      <c r="D682" s="2">
        <v>11.86</v>
      </c>
      <c r="E682" s="2">
        <v>104.96</v>
      </c>
      <c r="F682" s="2" t="s">
        <v>100</v>
      </c>
      <c r="G682" s="2" t="s">
        <v>64</v>
      </c>
      <c r="H682" s="2">
        <v>40</v>
      </c>
      <c r="I682" s="2" t="s">
        <v>1151</v>
      </c>
      <c r="J682" s="2" t="s">
        <v>66</v>
      </c>
      <c r="K682" s="2" t="s">
        <v>67</v>
      </c>
      <c r="L682" s="2" t="s">
        <v>2918</v>
      </c>
      <c r="M682" s="2">
        <v>12119</v>
      </c>
      <c r="N682" s="2" t="s">
        <v>2919</v>
      </c>
      <c r="O682" s="2" t="s">
        <v>70</v>
      </c>
      <c r="P682" s="2" t="s">
        <v>71</v>
      </c>
      <c r="Q682" s="2" t="s">
        <v>2920</v>
      </c>
      <c r="R682" s="2">
        <v>725</v>
      </c>
      <c r="S682" s="2">
        <v>6</v>
      </c>
      <c r="T682" s="2" t="s">
        <v>515</v>
      </c>
      <c r="U682" s="2">
        <v>18.2150116</v>
      </c>
      <c r="V682" s="2">
        <v>-66.370636000000005</v>
      </c>
      <c r="W682" s="2" t="s">
        <v>582</v>
      </c>
      <c r="X682" s="2" t="s">
        <v>2921</v>
      </c>
      <c r="Y682" s="2" t="s">
        <v>632</v>
      </c>
      <c r="Z682" s="2">
        <v>12119</v>
      </c>
      <c r="AA682" s="2" t="s">
        <v>2922</v>
      </c>
      <c r="AB682" s="2">
        <v>10113</v>
      </c>
      <c r="AC682" s="2">
        <v>893</v>
      </c>
      <c r="AD682" s="2">
        <v>19.989999999999998</v>
      </c>
      <c r="AE682" s="2">
        <v>0.16</v>
      </c>
      <c r="AF682" s="2" t="str" cm="1">
        <f t="array" ref="AF682">_xlfn.IFS(AE682=0, "No Discount ", AE682&lt;=0.08,"Low Discount", AE682&lt;=0.16,"Medium Discount", AE682&gt;0.16, "High Discount")</f>
        <v>Medium Discount</v>
      </c>
      <c r="AG682" s="2">
        <v>25271</v>
      </c>
      <c r="AH682" s="2">
        <v>24.99</v>
      </c>
      <c r="AI682" s="2">
        <v>0.11</v>
      </c>
      <c r="AJ682" s="2" t="str" cm="1">
        <f t="array" ref="AJ682">_xlfn.IFS(AI682&lt;=0, "No Profit", AI682&lt;=0.16,"Low Profit",AI682&lt;=0.32,"Medium Profit",AI682&gt;0.32,"High Profit")</f>
        <v>Low Profit</v>
      </c>
      <c r="AK682" s="2">
        <v>5</v>
      </c>
      <c r="AL682" s="2">
        <v>124.95</v>
      </c>
      <c r="AM682" s="2">
        <v>104.96</v>
      </c>
      <c r="AN682" s="2">
        <v>11.86</v>
      </c>
      <c r="AO682" s="2" t="s">
        <v>607</v>
      </c>
      <c r="AP682" s="2" t="s">
        <v>1835</v>
      </c>
      <c r="AQ682" s="2" t="s">
        <v>155</v>
      </c>
      <c r="AR682" s="2" t="s">
        <v>81</v>
      </c>
      <c r="AS682" s="2">
        <v>893</v>
      </c>
      <c r="AT682" s="2">
        <v>40</v>
      </c>
      <c r="AU682" s="2" t="s">
        <v>1159</v>
      </c>
      <c r="AV682" s="2">
        <v>24.99</v>
      </c>
      <c r="AW682" s="2">
        <v>0</v>
      </c>
      <c r="AX682" s="3">
        <v>42010.611805555556</v>
      </c>
      <c r="AY682" s="2" t="s">
        <v>83</v>
      </c>
      <c r="AZ682" s="4">
        <v>42152</v>
      </c>
      <c r="BA682" s="5">
        <v>0.6118055555555556</v>
      </c>
      <c r="BB682" s="2">
        <v>2015</v>
      </c>
      <c r="BC682" s="2" t="s">
        <v>443</v>
      </c>
      <c r="BD682" s="2">
        <v>28</v>
      </c>
      <c r="BE682" s="4">
        <v>42010</v>
      </c>
      <c r="BF682" s="5">
        <v>0.6118055555555556</v>
      </c>
      <c r="BG682" s="2" t="str" cm="1">
        <f t="array" ref="BG682">_xlfn.IFS(BF682&lt;TIMEVALUE("06:00"),"Night", BF682&gt;=TIMEVALUE("21:00"),"Night",BF682&gt;=TIMEVALUE("17:00"),"Evening",BF682&gt;=TIMEVALUE("12:00"),"Afternoon", BF682&gt;=TIMEVALUE("06:00"),"Morning")</f>
        <v>Afternoon</v>
      </c>
      <c r="BH682" s="2">
        <v>2015</v>
      </c>
      <c r="BI682" s="2" t="s">
        <v>84</v>
      </c>
      <c r="BJ682" s="2">
        <v>6</v>
      </c>
    </row>
    <row r="683" spans="1:62" x14ac:dyDescent="0.3">
      <c r="A683" s="2" t="s">
        <v>86</v>
      </c>
      <c r="B683" s="2">
        <v>2</v>
      </c>
      <c r="C683" s="2">
        <v>4</v>
      </c>
      <c r="D683" s="2">
        <v>35.619999999999997</v>
      </c>
      <c r="E683" s="2">
        <v>284.95</v>
      </c>
      <c r="F683" s="2" t="s">
        <v>129</v>
      </c>
      <c r="G683" s="2" t="s">
        <v>64</v>
      </c>
      <c r="H683" s="2">
        <v>17</v>
      </c>
      <c r="I683" s="2" t="s">
        <v>412</v>
      </c>
      <c r="J683" s="2" t="s">
        <v>66</v>
      </c>
      <c r="K683" s="2" t="s">
        <v>67</v>
      </c>
      <c r="L683" s="2" t="s">
        <v>2974</v>
      </c>
      <c r="M683" s="2">
        <v>3329</v>
      </c>
      <c r="N683" s="2" t="s">
        <v>425</v>
      </c>
      <c r="O683" s="2" t="s">
        <v>70</v>
      </c>
      <c r="P683" s="2" t="s">
        <v>71</v>
      </c>
      <c r="Q683" s="2" t="s">
        <v>2975</v>
      </c>
      <c r="R683" s="2">
        <v>725</v>
      </c>
      <c r="S683" s="2">
        <v>4</v>
      </c>
      <c r="T683" s="2" t="s">
        <v>417</v>
      </c>
      <c r="U683" s="2">
        <v>18.287103699999999</v>
      </c>
      <c r="V683" s="2">
        <v>-66.370552099999998</v>
      </c>
      <c r="W683" s="2" t="s">
        <v>582</v>
      </c>
      <c r="X683" s="2" t="s">
        <v>2976</v>
      </c>
      <c r="Y683" s="2" t="s">
        <v>638</v>
      </c>
      <c r="Z683" s="2">
        <v>3329</v>
      </c>
      <c r="AA683" s="3">
        <v>42008.140277777777</v>
      </c>
      <c r="AB683" s="2">
        <v>6176</v>
      </c>
      <c r="AC683" s="2">
        <v>365</v>
      </c>
      <c r="AD683" s="2">
        <v>15</v>
      </c>
      <c r="AE683" s="2">
        <v>0.05</v>
      </c>
      <c r="AF683" s="2" t="str" cm="1">
        <f t="array" ref="AF683">_xlfn.IFS(AE683=0, "No Discount ", AE683&lt;=0.08,"Low Discount", AE683&lt;=0.16,"Medium Discount", AE683&gt;0.16, "High Discount")</f>
        <v>Low Discount</v>
      </c>
      <c r="AG683" s="2">
        <v>15435</v>
      </c>
      <c r="AH683" s="2">
        <v>59.99</v>
      </c>
      <c r="AI683" s="2">
        <v>0.13</v>
      </c>
      <c r="AJ683" s="2" t="str" cm="1">
        <f t="array" ref="AJ683">_xlfn.IFS(AI683&lt;=0, "No Profit", AI683&lt;=0.16,"Low Profit",AI683&lt;=0.32,"Medium Profit",AI683&gt;0.32,"High Profit")</f>
        <v>Low Profit</v>
      </c>
      <c r="AK683" s="2">
        <v>5</v>
      </c>
      <c r="AL683" s="2">
        <v>299.95</v>
      </c>
      <c r="AM683" s="2">
        <v>284.95</v>
      </c>
      <c r="AN683" s="2">
        <v>35.619999999999997</v>
      </c>
      <c r="AO683" s="2" t="s">
        <v>586</v>
      </c>
      <c r="AP683" s="2" t="s">
        <v>2977</v>
      </c>
      <c r="AQ683" s="2" t="s">
        <v>175</v>
      </c>
      <c r="AR683" s="2" t="s">
        <v>81</v>
      </c>
      <c r="AS683" s="2">
        <v>365</v>
      </c>
      <c r="AT683" s="2">
        <v>17</v>
      </c>
      <c r="AU683" s="2" t="s">
        <v>421</v>
      </c>
      <c r="AV683" s="2">
        <v>59.99</v>
      </c>
      <c r="AW683" s="2">
        <v>0</v>
      </c>
      <c r="AX683" s="3">
        <v>42067.140277777777</v>
      </c>
      <c r="AY683" s="2" t="s">
        <v>83</v>
      </c>
      <c r="AZ683" s="4">
        <v>42008</v>
      </c>
      <c r="BA683" s="5">
        <v>0.14027777777777778</v>
      </c>
      <c r="BB683" s="2">
        <v>2015</v>
      </c>
      <c r="BC683" s="2" t="s">
        <v>84</v>
      </c>
      <c r="BD683" s="2">
        <v>4</v>
      </c>
      <c r="BE683" s="4">
        <v>42067</v>
      </c>
      <c r="BF683" s="5">
        <v>0.14027777777777778</v>
      </c>
      <c r="BG683" s="2" t="str" cm="1">
        <f t="array" ref="BG683">_xlfn.IFS(BF683&lt;TIMEVALUE("06:00"),"Night", BF683&gt;=TIMEVALUE("21:00"),"Night",BF683&gt;=TIMEVALUE("17:00"),"Evening",BF683&gt;=TIMEVALUE("12:00"),"Afternoon", BF683&gt;=TIMEVALUE("06:00"),"Morning")</f>
        <v>Night</v>
      </c>
      <c r="BH683" s="2">
        <v>2015</v>
      </c>
      <c r="BI683" s="2" t="s">
        <v>85</v>
      </c>
      <c r="BJ683" s="2">
        <v>4</v>
      </c>
    </row>
    <row r="684" spans="1:62" x14ac:dyDescent="0.3">
      <c r="A684" s="2" t="s">
        <v>86</v>
      </c>
      <c r="B684" s="2">
        <v>6</v>
      </c>
      <c r="C684" s="2">
        <v>4</v>
      </c>
      <c r="D684" s="2">
        <v>76.430000000000007</v>
      </c>
      <c r="E684" s="2">
        <v>272.95</v>
      </c>
      <c r="F684" s="2" t="s">
        <v>129</v>
      </c>
      <c r="G684" s="2" t="s">
        <v>64</v>
      </c>
      <c r="H684" s="2">
        <v>17</v>
      </c>
      <c r="I684" s="2" t="s">
        <v>412</v>
      </c>
      <c r="J684" s="2" t="s">
        <v>66</v>
      </c>
      <c r="K684" s="2" t="s">
        <v>67</v>
      </c>
      <c r="L684" s="2" t="s">
        <v>1304</v>
      </c>
      <c r="M684" s="2">
        <v>9429</v>
      </c>
      <c r="N684" s="2" t="s">
        <v>140</v>
      </c>
      <c r="O684" s="2" t="s">
        <v>70</v>
      </c>
      <c r="P684" s="2" t="s">
        <v>71</v>
      </c>
      <c r="Q684" s="2" t="s">
        <v>2978</v>
      </c>
      <c r="R684" s="2">
        <v>725</v>
      </c>
      <c r="S684" s="2">
        <v>4</v>
      </c>
      <c r="T684" s="2" t="s">
        <v>417</v>
      </c>
      <c r="U684" s="2">
        <v>18.229398700000001</v>
      </c>
      <c r="V684" s="2">
        <v>-66.370597799999999</v>
      </c>
      <c r="W684" s="2" t="s">
        <v>582</v>
      </c>
      <c r="X684" s="2" t="s">
        <v>683</v>
      </c>
      <c r="Y684" s="2" t="s">
        <v>684</v>
      </c>
      <c r="Z684" s="2">
        <v>9429</v>
      </c>
      <c r="AA684" s="3">
        <v>42741.561111111114</v>
      </c>
      <c r="AB684" s="2">
        <v>60460</v>
      </c>
      <c r="AC684" s="2">
        <v>365</v>
      </c>
      <c r="AD684" s="2">
        <v>27</v>
      </c>
      <c r="AE684" s="2">
        <v>0.09</v>
      </c>
      <c r="AF684" s="2" t="str" cm="1">
        <f t="array" ref="AF684">_xlfn.IFS(AE684=0, "No Discount ", AE684&lt;=0.08,"Low Discount", AE684&lt;=0.16,"Medium Discount", AE684&gt;0.16, "High Discount")</f>
        <v>Medium Discount</v>
      </c>
      <c r="AG684" s="2">
        <v>151294</v>
      </c>
      <c r="AH684" s="2">
        <v>59.99</v>
      </c>
      <c r="AI684" s="2">
        <v>0.28000000000000003</v>
      </c>
      <c r="AJ684" s="2" t="str" cm="1">
        <f t="array" ref="AJ684">_xlfn.IFS(AI684&lt;=0, "No Profit", AI684&lt;=0.16,"Low Profit",AI684&lt;=0.32,"Medium Profit",AI684&gt;0.32,"High Profit")</f>
        <v>Medium Profit</v>
      </c>
      <c r="AK684" s="2">
        <v>5</v>
      </c>
      <c r="AL684" s="2">
        <v>299.95</v>
      </c>
      <c r="AM684" s="2">
        <v>272.95</v>
      </c>
      <c r="AN684" s="2">
        <v>76.430000000000007</v>
      </c>
      <c r="AO684" s="2" t="s">
        <v>601</v>
      </c>
      <c r="AP684" s="2" t="s">
        <v>683</v>
      </c>
      <c r="AQ684" s="2" t="s">
        <v>175</v>
      </c>
      <c r="AR684" s="2" t="s">
        <v>81</v>
      </c>
      <c r="AS684" s="2">
        <v>365</v>
      </c>
      <c r="AT684" s="2">
        <v>17</v>
      </c>
      <c r="AU684" s="2" t="s">
        <v>421</v>
      </c>
      <c r="AV684" s="2">
        <v>59.99</v>
      </c>
      <c r="AW684" s="2">
        <v>0</v>
      </c>
      <c r="AX684" s="3">
        <v>42922.561111111114</v>
      </c>
      <c r="AY684" s="2" t="s">
        <v>83</v>
      </c>
      <c r="AZ684" s="4">
        <v>42741</v>
      </c>
      <c r="BA684" s="5">
        <v>0.56111111111111112</v>
      </c>
      <c r="BB684" s="2">
        <v>2017</v>
      </c>
      <c r="BC684" s="2" t="s">
        <v>84</v>
      </c>
      <c r="BD684" s="2">
        <v>6</v>
      </c>
      <c r="BE684" s="4">
        <v>42922</v>
      </c>
      <c r="BF684" s="5">
        <v>0.56111111111111112</v>
      </c>
      <c r="BG684" s="2" t="str" cm="1">
        <f t="array" ref="BG684">_xlfn.IFS(BF684&lt;TIMEVALUE("06:00"),"Night", BF684&gt;=TIMEVALUE("21:00"),"Night",BF684&gt;=TIMEVALUE("17:00"),"Evening",BF684&gt;=TIMEVALUE("12:00"),"Afternoon", BF684&gt;=TIMEVALUE("06:00"),"Morning")</f>
        <v>Afternoon</v>
      </c>
      <c r="BH684" s="2">
        <v>2017</v>
      </c>
      <c r="BI684" s="2" t="s">
        <v>533</v>
      </c>
      <c r="BJ684" s="2">
        <v>6</v>
      </c>
    </row>
    <row r="685" spans="1:62" x14ac:dyDescent="0.3">
      <c r="A685" s="2" t="s">
        <v>86</v>
      </c>
      <c r="B685" s="2">
        <v>6</v>
      </c>
      <c r="C685" s="2">
        <v>4</v>
      </c>
      <c r="D685" s="2">
        <v>40.49</v>
      </c>
      <c r="E685" s="2">
        <v>269.95999999999998</v>
      </c>
      <c r="F685" s="2" t="s">
        <v>129</v>
      </c>
      <c r="G685" s="2" t="s">
        <v>64</v>
      </c>
      <c r="H685" s="2">
        <v>17</v>
      </c>
      <c r="I685" s="2" t="s">
        <v>412</v>
      </c>
      <c r="J685" s="2" t="s">
        <v>66</v>
      </c>
      <c r="K685" s="2" t="s">
        <v>67</v>
      </c>
      <c r="L685" s="2" t="s">
        <v>1364</v>
      </c>
      <c r="M685" s="2">
        <v>8677</v>
      </c>
      <c r="N685" s="2" t="s">
        <v>2910</v>
      </c>
      <c r="O685" s="2" t="s">
        <v>70</v>
      </c>
      <c r="P685" s="2" t="s">
        <v>71</v>
      </c>
      <c r="Q685" s="2" t="s">
        <v>2911</v>
      </c>
      <c r="R685" s="2">
        <v>725</v>
      </c>
      <c r="S685" s="2">
        <v>4</v>
      </c>
      <c r="T685" s="2" t="s">
        <v>417</v>
      </c>
      <c r="U685" s="2">
        <v>18.262592300000001</v>
      </c>
      <c r="V685" s="2">
        <v>-66.370628400000001</v>
      </c>
      <c r="W685" s="2" t="s">
        <v>582</v>
      </c>
      <c r="X685" s="2" t="s">
        <v>590</v>
      </c>
      <c r="Y685" s="2" t="s">
        <v>591</v>
      </c>
      <c r="Z685" s="2">
        <v>8677</v>
      </c>
      <c r="AA685" s="3">
        <v>42248.451388888891</v>
      </c>
      <c r="AB685" s="2">
        <v>580</v>
      </c>
      <c r="AC685" s="2">
        <v>365</v>
      </c>
      <c r="AD685" s="2">
        <v>30</v>
      </c>
      <c r="AE685" s="2">
        <v>0.1</v>
      </c>
      <c r="AF685" s="2" t="str" cm="1">
        <f t="array" ref="AF685">_xlfn.IFS(AE685=0, "No Discount ", AE685&lt;=0.08,"Low Discount", AE685&lt;=0.16,"Medium Discount", AE685&gt;0.16, "High Discount")</f>
        <v>Medium Discount</v>
      </c>
      <c r="AG685" s="2">
        <v>1424</v>
      </c>
      <c r="AH685" s="2">
        <v>59.99</v>
      </c>
      <c r="AI685" s="2">
        <v>0.15</v>
      </c>
      <c r="AJ685" s="2" t="str" cm="1">
        <f t="array" ref="AJ685">_xlfn.IFS(AI685&lt;=0, "No Profit", AI685&lt;=0.16,"Low Profit",AI685&lt;=0.32,"Medium Profit",AI685&gt;0.32,"High Profit")</f>
        <v>Low Profit</v>
      </c>
      <c r="AK685" s="2">
        <v>5</v>
      </c>
      <c r="AL685" s="2">
        <v>299.95</v>
      </c>
      <c r="AM685" s="2">
        <v>269.95999999999998</v>
      </c>
      <c r="AN685" s="2">
        <v>40.49</v>
      </c>
      <c r="AO685" s="2" t="s">
        <v>586</v>
      </c>
      <c r="AP685" s="2" t="s">
        <v>592</v>
      </c>
      <c r="AQ685" s="2" t="s">
        <v>175</v>
      </c>
      <c r="AR685" s="2" t="s">
        <v>81</v>
      </c>
      <c r="AS685" s="2">
        <v>365</v>
      </c>
      <c r="AT685" s="2">
        <v>17</v>
      </c>
      <c r="AU685" s="2" t="s">
        <v>421</v>
      </c>
      <c r="AV685" s="2">
        <v>59.99</v>
      </c>
      <c r="AW685" s="2">
        <v>0</v>
      </c>
      <c r="AX685" s="2" t="s">
        <v>2979</v>
      </c>
      <c r="AY685" s="2" t="s">
        <v>83</v>
      </c>
      <c r="AZ685" s="4">
        <v>42248</v>
      </c>
      <c r="BA685" s="5">
        <v>0.4513888888888889</v>
      </c>
      <c r="BB685" s="2">
        <v>2015</v>
      </c>
      <c r="BC685" s="2" t="s">
        <v>552</v>
      </c>
      <c r="BD685" s="2">
        <v>1</v>
      </c>
      <c r="BE685" s="4">
        <v>42019</v>
      </c>
      <c r="BF685" s="5">
        <v>0.4513888888888889</v>
      </c>
      <c r="BG685" s="2" t="str" cm="1">
        <f t="array" ref="BG685">_xlfn.IFS(BF685&lt;TIMEVALUE("06:00"),"Night", BF685&gt;=TIMEVALUE("21:00"),"Night",BF685&gt;=TIMEVALUE("17:00"),"Evening",BF685&gt;=TIMEVALUE("12:00"),"Afternoon", BF685&gt;=TIMEVALUE("06:00"),"Morning")</f>
        <v>Morning</v>
      </c>
      <c r="BH685" s="2">
        <v>2015</v>
      </c>
      <c r="BI685" s="2" t="s">
        <v>84</v>
      </c>
      <c r="BJ685" s="2">
        <v>15</v>
      </c>
    </row>
    <row r="686" spans="1:62" x14ac:dyDescent="0.3">
      <c r="A686" s="2" t="s">
        <v>86</v>
      </c>
      <c r="B686" s="2">
        <v>5</v>
      </c>
      <c r="C686" s="2">
        <v>4</v>
      </c>
      <c r="D686" s="2">
        <v>127.48</v>
      </c>
      <c r="E686" s="2">
        <v>254.96</v>
      </c>
      <c r="F686" s="2" t="s">
        <v>129</v>
      </c>
      <c r="G686" s="2" t="s">
        <v>64</v>
      </c>
      <c r="H686" s="2">
        <v>17</v>
      </c>
      <c r="I686" s="2" t="s">
        <v>412</v>
      </c>
      <c r="J686" s="2" t="s">
        <v>66</v>
      </c>
      <c r="K686" s="2" t="s">
        <v>67</v>
      </c>
      <c r="L686" s="2" t="s">
        <v>1364</v>
      </c>
      <c r="M686" s="2">
        <v>437</v>
      </c>
      <c r="N686" s="2" t="s">
        <v>1694</v>
      </c>
      <c r="O686" s="2" t="s">
        <v>70</v>
      </c>
      <c r="P686" s="2" t="s">
        <v>71</v>
      </c>
      <c r="Q686" s="2" t="s">
        <v>2980</v>
      </c>
      <c r="R686" s="2">
        <v>725</v>
      </c>
      <c r="S686" s="2">
        <v>4</v>
      </c>
      <c r="T686" s="2" t="s">
        <v>417</v>
      </c>
      <c r="U686" s="2">
        <v>18.224147800000001</v>
      </c>
      <c r="V686" s="2">
        <v>-66.047134400000004</v>
      </c>
      <c r="W686" s="2" t="s">
        <v>582</v>
      </c>
      <c r="X686" s="2" t="s">
        <v>2981</v>
      </c>
      <c r="Y686" s="2" t="s">
        <v>684</v>
      </c>
      <c r="Z686" s="2">
        <v>437</v>
      </c>
      <c r="AA686" s="3">
        <v>42739.017361111109</v>
      </c>
      <c r="AB686" s="2">
        <v>56244</v>
      </c>
      <c r="AC686" s="2">
        <v>365</v>
      </c>
      <c r="AD686" s="2">
        <v>44.99</v>
      </c>
      <c r="AE686" s="2">
        <v>0.15</v>
      </c>
      <c r="AF686" s="2" t="str" cm="1">
        <f t="array" ref="AF686">_xlfn.IFS(AE686=0, "No Discount ", AE686&lt;=0.08,"Low Discount", AE686&lt;=0.16,"Medium Discount", AE686&gt;0.16, "High Discount")</f>
        <v>Medium Discount</v>
      </c>
      <c r="AG686" s="2">
        <v>140672</v>
      </c>
      <c r="AH686" s="2">
        <v>59.99</v>
      </c>
      <c r="AI686" s="2">
        <v>0.5</v>
      </c>
      <c r="AJ686" s="2" t="str" cm="1">
        <f t="array" ref="AJ686">_xlfn.IFS(AI686&lt;=0, "No Profit", AI686&lt;=0.16,"Low Profit",AI686&lt;=0.32,"Medium Profit",AI686&gt;0.32,"High Profit")</f>
        <v>High Profit</v>
      </c>
      <c r="AK686" s="2">
        <v>5</v>
      </c>
      <c r="AL686" s="2">
        <v>299.95</v>
      </c>
      <c r="AM686" s="2">
        <v>254.96</v>
      </c>
      <c r="AN686" s="2">
        <v>127.48</v>
      </c>
      <c r="AO686" s="2" t="s">
        <v>601</v>
      </c>
      <c r="AP686" s="2" t="s">
        <v>2981</v>
      </c>
      <c r="AQ686" s="2" t="s">
        <v>175</v>
      </c>
      <c r="AR686" s="2" t="s">
        <v>81</v>
      </c>
      <c r="AS686" s="2">
        <v>365</v>
      </c>
      <c r="AT686" s="2">
        <v>17</v>
      </c>
      <c r="AU686" s="2" t="s">
        <v>421</v>
      </c>
      <c r="AV686" s="2">
        <v>59.99</v>
      </c>
      <c r="AW686" s="2">
        <v>0</v>
      </c>
      <c r="AX686" s="3">
        <v>42890.017361111109</v>
      </c>
      <c r="AY686" s="2" t="s">
        <v>83</v>
      </c>
      <c r="AZ686" s="4">
        <v>42739</v>
      </c>
      <c r="BA686" s="5">
        <v>1.7361111111111112E-2</v>
      </c>
      <c r="BB686" s="2">
        <v>2017</v>
      </c>
      <c r="BC686" s="2" t="s">
        <v>84</v>
      </c>
      <c r="BD686" s="2">
        <v>4</v>
      </c>
      <c r="BE686" s="4">
        <v>42890</v>
      </c>
      <c r="BF686" s="5">
        <v>1.7361111111111112E-2</v>
      </c>
      <c r="BG686" s="2" t="str" cm="1">
        <f t="array" ref="BG686">_xlfn.IFS(BF686&lt;TIMEVALUE("06:00"),"Night", BF686&gt;=TIMEVALUE("21:00"),"Night",BF686&gt;=TIMEVALUE("17:00"),"Evening",BF686&gt;=TIMEVALUE("12:00"),"Afternoon", BF686&gt;=TIMEVALUE("06:00"),"Morning")</f>
        <v>Night</v>
      </c>
      <c r="BH686" s="2">
        <v>2017</v>
      </c>
      <c r="BI686" s="2" t="s">
        <v>474</v>
      </c>
      <c r="BJ686" s="2">
        <v>4</v>
      </c>
    </row>
    <row r="687" spans="1:62" x14ac:dyDescent="0.3">
      <c r="A687" s="2" t="s">
        <v>86</v>
      </c>
      <c r="B687" s="2">
        <v>3</v>
      </c>
      <c r="C687" s="2">
        <v>4</v>
      </c>
      <c r="D687" s="2">
        <v>118.06</v>
      </c>
      <c r="E687" s="2">
        <v>245.96</v>
      </c>
      <c r="F687" s="2" t="s">
        <v>129</v>
      </c>
      <c r="G687" s="2" t="s">
        <v>64</v>
      </c>
      <c r="H687" s="2">
        <v>17</v>
      </c>
      <c r="I687" s="2" t="s">
        <v>412</v>
      </c>
      <c r="J687" s="2" t="s">
        <v>66</v>
      </c>
      <c r="K687" s="2" t="s">
        <v>67</v>
      </c>
      <c r="L687" s="2" t="s">
        <v>293</v>
      </c>
      <c r="M687" s="2">
        <v>2538</v>
      </c>
      <c r="N687" s="2" t="s">
        <v>1162</v>
      </c>
      <c r="O687" s="2" t="s">
        <v>70</v>
      </c>
      <c r="P687" s="2" t="s">
        <v>71</v>
      </c>
      <c r="Q687" s="2" t="s">
        <v>2982</v>
      </c>
      <c r="R687" s="2">
        <v>725</v>
      </c>
      <c r="S687" s="2">
        <v>4</v>
      </c>
      <c r="T687" s="2" t="s">
        <v>417</v>
      </c>
      <c r="U687" s="2">
        <v>18.212007499999999</v>
      </c>
      <c r="V687" s="2">
        <v>-66.370590199999995</v>
      </c>
      <c r="W687" s="2" t="s">
        <v>582</v>
      </c>
      <c r="X687" s="2" t="s">
        <v>2983</v>
      </c>
      <c r="Y687" s="2" t="s">
        <v>615</v>
      </c>
      <c r="Z687" s="2">
        <v>2538</v>
      </c>
      <c r="AA687" s="3">
        <v>42159.190972222219</v>
      </c>
      <c r="AB687" s="2">
        <v>6522</v>
      </c>
      <c r="AC687" s="2">
        <v>365</v>
      </c>
      <c r="AD687" s="2">
        <v>53.99</v>
      </c>
      <c r="AE687" s="2">
        <v>0.18</v>
      </c>
      <c r="AF687" s="2" t="str" cm="1">
        <f t="array" ref="AF687">_xlfn.IFS(AE687=0, "No Discount ", AE687&lt;=0.08,"Low Discount", AE687&lt;=0.16,"Medium Discount", AE687&gt;0.16, "High Discount")</f>
        <v>High Discount</v>
      </c>
      <c r="AG687" s="2">
        <v>16305</v>
      </c>
      <c r="AH687" s="2">
        <v>59.99</v>
      </c>
      <c r="AI687" s="2">
        <v>0.48</v>
      </c>
      <c r="AJ687" s="2" t="str" cm="1">
        <f t="array" ref="AJ687">_xlfn.IFS(AI687&lt;=0, "No Profit", AI687&lt;=0.16,"Low Profit",AI687&lt;=0.32,"Medium Profit",AI687&gt;0.32,"High Profit")</f>
        <v>High Profit</v>
      </c>
      <c r="AK687" s="2">
        <v>5</v>
      </c>
      <c r="AL687" s="2">
        <v>299.95</v>
      </c>
      <c r="AM687" s="2">
        <v>245.96</v>
      </c>
      <c r="AN687" s="2">
        <v>118.06</v>
      </c>
      <c r="AO687" s="2" t="s">
        <v>607</v>
      </c>
      <c r="AP687" s="2" t="s">
        <v>2984</v>
      </c>
      <c r="AQ687" s="2" t="s">
        <v>175</v>
      </c>
      <c r="AR687" s="2" t="s">
        <v>81</v>
      </c>
      <c r="AS687" s="2">
        <v>365</v>
      </c>
      <c r="AT687" s="2">
        <v>17</v>
      </c>
      <c r="AU687" s="2" t="s">
        <v>421</v>
      </c>
      <c r="AV687" s="2">
        <v>59.99</v>
      </c>
      <c r="AW687" s="2">
        <v>0</v>
      </c>
      <c r="AX687" s="3">
        <v>42251.190972222219</v>
      </c>
      <c r="AY687" s="2" t="s">
        <v>83</v>
      </c>
      <c r="AZ687" s="4">
        <v>42159</v>
      </c>
      <c r="BA687" s="5">
        <v>0.19097222222222221</v>
      </c>
      <c r="BB687" s="2">
        <v>2015</v>
      </c>
      <c r="BC687" s="2" t="s">
        <v>474</v>
      </c>
      <c r="BD687" s="2">
        <v>4</v>
      </c>
      <c r="BE687" s="4">
        <v>42251</v>
      </c>
      <c r="BF687" s="5">
        <v>0.19097222222222221</v>
      </c>
      <c r="BG687" s="2" t="str" cm="1">
        <f t="array" ref="BG687">_xlfn.IFS(BF687&lt;TIMEVALUE("06:00"),"Night", BF687&gt;=TIMEVALUE("21:00"),"Night",BF687&gt;=TIMEVALUE("17:00"),"Evening",BF687&gt;=TIMEVALUE("12:00"),"Afternoon", BF687&gt;=TIMEVALUE("06:00"),"Morning")</f>
        <v>Night</v>
      </c>
      <c r="BH687" s="2">
        <v>2015</v>
      </c>
      <c r="BI687" s="2" t="s">
        <v>552</v>
      </c>
      <c r="BJ687" s="2">
        <v>4</v>
      </c>
    </row>
    <row r="688" spans="1:62" x14ac:dyDescent="0.3">
      <c r="A688" s="2" t="s">
        <v>86</v>
      </c>
      <c r="B688" s="2">
        <v>4</v>
      </c>
      <c r="C688" s="2">
        <v>4</v>
      </c>
      <c r="D688" s="2">
        <v>-89.99</v>
      </c>
      <c r="E688" s="2">
        <v>224.96</v>
      </c>
      <c r="F688" s="2" t="s">
        <v>129</v>
      </c>
      <c r="G688" s="2" t="s">
        <v>64</v>
      </c>
      <c r="H688" s="2">
        <v>17</v>
      </c>
      <c r="I688" s="2" t="s">
        <v>412</v>
      </c>
      <c r="J688" s="2" t="s">
        <v>2985</v>
      </c>
      <c r="K688" s="2" t="s">
        <v>67</v>
      </c>
      <c r="L688" s="2" t="s">
        <v>414</v>
      </c>
      <c r="M688" s="2">
        <v>4280</v>
      </c>
      <c r="N688" s="2" t="s">
        <v>2910</v>
      </c>
      <c r="O688" s="2" t="s">
        <v>70</v>
      </c>
      <c r="P688" s="2" t="s">
        <v>71</v>
      </c>
      <c r="Q688" s="2" t="s">
        <v>2986</v>
      </c>
      <c r="R688" s="2">
        <v>612</v>
      </c>
      <c r="S688" s="2">
        <v>4</v>
      </c>
      <c r="T688" s="2" t="s">
        <v>417</v>
      </c>
      <c r="U688" s="2">
        <v>18.469230700000001</v>
      </c>
      <c r="V688" s="2">
        <v>-66.727210999999997</v>
      </c>
      <c r="W688" s="2" t="s">
        <v>582</v>
      </c>
      <c r="X688" s="2" t="s">
        <v>2987</v>
      </c>
      <c r="Y688" s="2" t="s">
        <v>735</v>
      </c>
      <c r="Z688" s="2">
        <v>4280</v>
      </c>
      <c r="AA688" s="3">
        <v>42740.001388888886</v>
      </c>
      <c r="AB688" s="2">
        <v>58298</v>
      </c>
      <c r="AC688" s="2">
        <v>365</v>
      </c>
      <c r="AD688" s="2">
        <v>74.989999999999995</v>
      </c>
      <c r="AE688" s="2">
        <v>0.25</v>
      </c>
      <c r="AF688" s="2" t="str" cm="1">
        <f t="array" ref="AF688">_xlfn.IFS(AE688=0, "No Discount ", AE688&lt;=0.08,"Low Discount", AE688&lt;=0.16,"Medium Discount", AE688&gt;0.16, "High Discount")</f>
        <v>High Discount</v>
      </c>
      <c r="AG688" s="2">
        <v>145886</v>
      </c>
      <c r="AH688" s="2">
        <v>59.99</v>
      </c>
      <c r="AI688" s="2">
        <v>-0.4</v>
      </c>
      <c r="AJ688" s="2" t="str" cm="1">
        <f t="array" ref="AJ688">_xlfn.IFS(AI688&lt;=0, "No Profit", AI688&lt;=0.16,"Low Profit",AI688&lt;=0.32,"Medium Profit",AI688&gt;0.32,"High Profit")</f>
        <v>No Profit</v>
      </c>
      <c r="AK688" s="2">
        <v>5</v>
      </c>
      <c r="AL688" s="2">
        <v>299.95</v>
      </c>
      <c r="AM688" s="2">
        <v>224.96</v>
      </c>
      <c r="AN688" s="2">
        <v>-89.99</v>
      </c>
      <c r="AO688" s="2" t="s">
        <v>607</v>
      </c>
      <c r="AP688" s="2" t="s">
        <v>2987</v>
      </c>
      <c r="AQ688" s="2" t="s">
        <v>175</v>
      </c>
      <c r="AR688" s="2" t="s">
        <v>81</v>
      </c>
      <c r="AS688" s="2">
        <v>365</v>
      </c>
      <c r="AT688" s="2">
        <v>17</v>
      </c>
      <c r="AU688" s="2" t="s">
        <v>421</v>
      </c>
      <c r="AV688" s="2">
        <v>59.99</v>
      </c>
      <c r="AW688" s="2">
        <v>0</v>
      </c>
      <c r="AX688" s="3">
        <v>42860.001388888886</v>
      </c>
      <c r="AY688" s="2" t="s">
        <v>83</v>
      </c>
      <c r="AZ688" s="4">
        <v>42740</v>
      </c>
      <c r="BA688" s="5">
        <v>1.3888888888888889E-3</v>
      </c>
      <c r="BB688" s="2">
        <v>2017</v>
      </c>
      <c r="BC688" s="2" t="s">
        <v>84</v>
      </c>
      <c r="BD688" s="2">
        <v>5</v>
      </c>
      <c r="BE688" s="4">
        <v>42860</v>
      </c>
      <c r="BF688" s="5">
        <v>1.3888888888888889E-3</v>
      </c>
      <c r="BG688" s="2" t="str" cm="1">
        <f t="array" ref="BG688">_xlfn.IFS(BF688&lt;TIMEVALUE("06:00"),"Night", BF688&gt;=TIMEVALUE("21:00"),"Night",BF688&gt;=TIMEVALUE("17:00"),"Evening",BF688&gt;=TIMEVALUE("12:00"),"Afternoon", BF688&gt;=TIMEVALUE("06:00"),"Morning")</f>
        <v>Night</v>
      </c>
      <c r="BH688" s="2">
        <v>2017</v>
      </c>
      <c r="BI688" s="2" t="s">
        <v>443</v>
      </c>
      <c r="BJ688" s="2">
        <v>5</v>
      </c>
    </row>
    <row r="689" spans="1:62" x14ac:dyDescent="0.3">
      <c r="A689" s="2" t="s">
        <v>86</v>
      </c>
      <c r="B689" s="2">
        <v>6</v>
      </c>
      <c r="C689" s="2">
        <v>4</v>
      </c>
      <c r="D689" s="2">
        <v>87.28</v>
      </c>
      <c r="E689" s="2">
        <v>193.95</v>
      </c>
      <c r="F689" s="2" t="s">
        <v>129</v>
      </c>
      <c r="G689" s="2" t="s">
        <v>64</v>
      </c>
      <c r="H689" s="2">
        <v>29</v>
      </c>
      <c r="I689" s="2" t="s">
        <v>424</v>
      </c>
      <c r="J689" s="2" t="s">
        <v>66</v>
      </c>
      <c r="K689" s="2" t="s">
        <v>67</v>
      </c>
      <c r="L689" s="2" t="s">
        <v>414</v>
      </c>
      <c r="M689" s="2">
        <v>2813</v>
      </c>
      <c r="N689" s="2" t="s">
        <v>425</v>
      </c>
      <c r="O689" s="2" t="s">
        <v>70</v>
      </c>
      <c r="P689" s="2" t="s">
        <v>71</v>
      </c>
      <c r="Q689" s="2" t="s">
        <v>2988</v>
      </c>
      <c r="R689" s="2">
        <v>725</v>
      </c>
      <c r="S689" s="2">
        <v>5</v>
      </c>
      <c r="T689" s="2" t="s">
        <v>427</v>
      </c>
      <c r="U689" s="2">
        <v>18.213350299999998</v>
      </c>
      <c r="V689" s="2">
        <v>-66.370575000000002</v>
      </c>
      <c r="W689" s="2" t="s">
        <v>582</v>
      </c>
      <c r="X689" s="2" t="s">
        <v>2989</v>
      </c>
      <c r="Y689" s="2" t="s">
        <v>638</v>
      </c>
      <c r="Z689" s="2">
        <v>2813</v>
      </c>
      <c r="AA689" s="2" t="s">
        <v>2990</v>
      </c>
      <c r="AB689" s="2">
        <v>3625</v>
      </c>
      <c r="AC689" s="2">
        <v>627</v>
      </c>
      <c r="AD689" s="2">
        <v>6</v>
      </c>
      <c r="AE689" s="2">
        <v>0.03</v>
      </c>
      <c r="AF689" s="2" t="str" cm="1">
        <f t="array" ref="AF689">_xlfn.IFS(AE689=0, "No Discount ", AE689&lt;=0.08,"Low Discount", AE689&lt;=0.16,"Medium Discount", AE689&gt;0.16, "High Discount")</f>
        <v>Low Discount</v>
      </c>
      <c r="AG689" s="2">
        <v>9026</v>
      </c>
      <c r="AH689" s="2">
        <v>39.99</v>
      </c>
      <c r="AI689" s="2">
        <v>0.45</v>
      </c>
      <c r="AJ689" s="2" t="str" cm="1">
        <f t="array" ref="AJ689">_xlfn.IFS(AI689&lt;=0, "No Profit", AI689&lt;=0.16,"Low Profit",AI689&lt;=0.32,"Medium Profit",AI689&gt;0.32,"High Profit")</f>
        <v>High Profit</v>
      </c>
      <c r="AK689" s="2">
        <v>5</v>
      </c>
      <c r="AL689" s="2">
        <v>199.95</v>
      </c>
      <c r="AM689" s="2">
        <v>193.95</v>
      </c>
      <c r="AN689" s="2">
        <v>87.28</v>
      </c>
      <c r="AO689" s="2" t="s">
        <v>586</v>
      </c>
      <c r="AP689" s="2" t="s">
        <v>651</v>
      </c>
      <c r="AQ689" s="2" t="s">
        <v>175</v>
      </c>
      <c r="AR689" s="2" t="s">
        <v>81</v>
      </c>
      <c r="AS689" s="2">
        <v>627</v>
      </c>
      <c r="AT689" s="2">
        <v>29</v>
      </c>
      <c r="AU689" s="2" t="s">
        <v>432</v>
      </c>
      <c r="AV689" s="2">
        <v>39.99</v>
      </c>
      <c r="AW689" s="2">
        <v>0</v>
      </c>
      <c r="AX689" s="2" t="s">
        <v>2991</v>
      </c>
      <c r="AY689" s="2" t="s">
        <v>83</v>
      </c>
      <c r="AZ689" s="4">
        <v>42057</v>
      </c>
      <c r="BA689" s="5">
        <v>0.90138888888888891</v>
      </c>
      <c r="BB689" s="2">
        <v>2015</v>
      </c>
      <c r="BC689" s="2" t="s">
        <v>423</v>
      </c>
      <c r="BD689" s="2">
        <v>22</v>
      </c>
      <c r="BE689" s="4">
        <v>42063</v>
      </c>
      <c r="BF689" s="5">
        <v>0.90138888888888891</v>
      </c>
      <c r="BG689" s="2" t="str" cm="1">
        <f t="array" ref="BG689">_xlfn.IFS(BF689&lt;TIMEVALUE("06:00"),"Night", BF689&gt;=TIMEVALUE("21:00"),"Night",BF689&gt;=TIMEVALUE("17:00"),"Evening",BF689&gt;=TIMEVALUE("12:00"),"Afternoon", BF689&gt;=TIMEVALUE("06:00"),"Morning")</f>
        <v>Night</v>
      </c>
      <c r="BH689" s="2">
        <v>2015</v>
      </c>
      <c r="BI689" s="2" t="s">
        <v>423</v>
      </c>
      <c r="BJ689" s="2">
        <v>28</v>
      </c>
    </row>
    <row r="690" spans="1:62" x14ac:dyDescent="0.3">
      <c r="A690" s="2" t="s">
        <v>86</v>
      </c>
      <c r="B690" s="2">
        <v>2</v>
      </c>
      <c r="C690" s="2">
        <v>4</v>
      </c>
      <c r="D690" s="2">
        <v>87.12</v>
      </c>
      <c r="E690" s="2">
        <v>240</v>
      </c>
      <c r="F690" s="2" t="s">
        <v>129</v>
      </c>
      <c r="G690" s="2" t="s">
        <v>64</v>
      </c>
      <c r="H690" s="2">
        <v>24</v>
      </c>
      <c r="I690" s="2" t="s">
        <v>435</v>
      </c>
      <c r="J690" s="2" t="s">
        <v>66</v>
      </c>
      <c r="K690" s="2" t="s">
        <v>67</v>
      </c>
      <c r="L690" s="2" t="s">
        <v>414</v>
      </c>
      <c r="M690" s="2">
        <v>4249</v>
      </c>
      <c r="N690" s="2" t="s">
        <v>1678</v>
      </c>
      <c r="O690" s="2" t="s">
        <v>70</v>
      </c>
      <c r="P690" s="2" t="s">
        <v>71</v>
      </c>
      <c r="Q690" s="2" t="s">
        <v>2992</v>
      </c>
      <c r="R690" s="2">
        <v>725</v>
      </c>
      <c r="S690" s="2">
        <v>5</v>
      </c>
      <c r="T690" s="2" t="s">
        <v>427</v>
      </c>
      <c r="U690" s="2">
        <v>18.2762013</v>
      </c>
      <c r="V690" s="2">
        <v>-66.3706131</v>
      </c>
      <c r="W690" s="2" t="s">
        <v>582</v>
      </c>
      <c r="X690" s="2" t="s">
        <v>598</v>
      </c>
      <c r="Y690" s="2" t="s">
        <v>599</v>
      </c>
      <c r="Z690" s="2">
        <v>4249</v>
      </c>
      <c r="AA690" s="3">
        <v>42768.750694444447</v>
      </c>
      <c r="AB690" s="2">
        <v>52321</v>
      </c>
      <c r="AC690" s="2">
        <v>502</v>
      </c>
      <c r="AD690" s="2">
        <v>10</v>
      </c>
      <c r="AE690" s="2">
        <v>0.04</v>
      </c>
      <c r="AF690" s="2" t="str" cm="1">
        <f t="array" ref="AF690">_xlfn.IFS(AE690=0, "No Discount ", AE690&lt;=0.08,"Low Discount", AE690&lt;=0.16,"Medium Discount", AE690&gt;0.16, "High Discount")</f>
        <v>Low Discount</v>
      </c>
      <c r="AG690" s="2">
        <v>130737</v>
      </c>
      <c r="AH690" s="2">
        <v>50</v>
      </c>
      <c r="AI690" s="2">
        <v>0.36</v>
      </c>
      <c r="AJ690" s="2" t="str" cm="1">
        <f t="array" ref="AJ690">_xlfn.IFS(AI690&lt;=0, "No Profit", AI690&lt;=0.16,"Low Profit",AI690&lt;=0.32,"Medium Profit",AI690&gt;0.32,"High Profit")</f>
        <v>High Profit</v>
      </c>
      <c r="AK690" s="2">
        <v>5</v>
      </c>
      <c r="AL690" s="2">
        <v>250</v>
      </c>
      <c r="AM690" s="2">
        <v>240</v>
      </c>
      <c r="AN690" s="2">
        <v>87.12</v>
      </c>
      <c r="AO690" s="2" t="s">
        <v>601</v>
      </c>
      <c r="AP690" s="2" t="s">
        <v>598</v>
      </c>
      <c r="AQ690" s="2" t="s">
        <v>175</v>
      </c>
      <c r="AR690" s="2" t="s">
        <v>81</v>
      </c>
      <c r="AS690" s="2">
        <v>502</v>
      </c>
      <c r="AT690" s="2">
        <v>24</v>
      </c>
      <c r="AU690" s="2" t="s">
        <v>442</v>
      </c>
      <c r="AV690" s="2">
        <v>50</v>
      </c>
      <c r="AW690" s="2">
        <v>0</v>
      </c>
      <c r="AX690" s="3">
        <v>42827.750694444447</v>
      </c>
      <c r="AY690" s="2" t="s">
        <v>83</v>
      </c>
      <c r="AZ690" s="4">
        <v>42768</v>
      </c>
      <c r="BA690" s="5">
        <v>0.75069444444444444</v>
      </c>
      <c r="BB690" s="2">
        <v>2017</v>
      </c>
      <c r="BC690" s="2" t="s">
        <v>423</v>
      </c>
      <c r="BD690" s="2">
        <v>2</v>
      </c>
      <c r="BE690" s="4">
        <v>42827</v>
      </c>
      <c r="BF690" s="5">
        <v>0.75069444444444444</v>
      </c>
      <c r="BG690" s="2" t="str" cm="1">
        <f t="array" ref="BG690">_xlfn.IFS(BF690&lt;TIMEVALUE("06:00"),"Night", BF690&gt;=TIMEVALUE("21:00"),"Night",BF690&gt;=TIMEVALUE("17:00"),"Evening",BF690&gt;=TIMEVALUE("12:00"),"Afternoon", BF690&gt;=TIMEVALUE("06:00"),"Morning")</f>
        <v>Evening</v>
      </c>
      <c r="BH690" s="2">
        <v>2017</v>
      </c>
      <c r="BI690" s="2" t="s">
        <v>487</v>
      </c>
      <c r="BJ690" s="2">
        <v>2</v>
      </c>
    </row>
    <row r="691" spans="1:62" x14ac:dyDescent="0.3">
      <c r="A691" s="2" t="s">
        <v>86</v>
      </c>
      <c r="B691" s="2">
        <v>2</v>
      </c>
      <c r="C691" s="2">
        <v>4</v>
      </c>
      <c r="D691" s="2">
        <v>60.75</v>
      </c>
      <c r="E691" s="2">
        <v>225</v>
      </c>
      <c r="F691" s="2" t="s">
        <v>129</v>
      </c>
      <c r="G691" s="2" t="s">
        <v>64</v>
      </c>
      <c r="H691" s="2">
        <v>24</v>
      </c>
      <c r="I691" s="2" t="s">
        <v>435</v>
      </c>
      <c r="J691" s="2" t="s">
        <v>2725</v>
      </c>
      <c r="K691" s="2" t="s">
        <v>67</v>
      </c>
      <c r="L691" s="2" t="s">
        <v>1297</v>
      </c>
      <c r="M691" s="2">
        <v>9697</v>
      </c>
      <c r="N691" s="2" t="s">
        <v>1162</v>
      </c>
      <c r="O691" s="2" t="s">
        <v>70</v>
      </c>
      <c r="P691" s="2" t="s">
        <v>71</v>
      </c>
      <c r="Q691" s="2" t="s">
        <v>1430</v>
      </c>
      <c r="R691" s="2">
        <v>693</v>
      </c>
      <c r="S691" s="2">
        <v>5</v>
      </c>
      <c r="T691" s="2" t="s">
        <v>427</v>
      </c>
      <c r="U691" s="2">
        <v>18.4448471</v>
      </c>
      <c r="V691" s="2">
        <v>-66.386413599999997</v>
      </c>
      <c r="W691" s="2" t="s">
        <v>582</v>
      </c>
      <c r="X691" s="2" t="s">
        <v>598</v>
      </c>
      <c r="Y691" s="2" t="s">
        <v>599</v>
      </c>
      <c r="Z691" s="2">
        <v>9697</v>
      </c>
      <c r="AA691" s="3">
        <v>42983.730555555558</v>
      </c>
      <c r="AB691" s="2">
        <v>58896</v>
      </c>
      <c r="AC691" s="2">
        <v>502</v>
      </c>
      <c r="AD691" s="2">
        <v>25</v>
      </c>
      <c r="AE691" s="2">
        <v>0.1</v>
      </c>
      <c r="AF691" s="2" t="str" cm="1">
        <f t="array" ref="AF691">_xlfn.IFS(AE691=0, "No Discount ", AE691&lt;=0.08,"Low Discount", AE691&lt;=0.16,"Medium Discount", AE691&gt;0.16, "High Discount")</f>
        <v>Medium Discount</v>
      </c>
      <c r="AG691" s="2">
        <v>147424</v>
      </c>
      <c r="AH691" s="2">
        <v>50</v>
      </c>
      <c r="AI691" s="2">
        <v>0.27</v>
      </c>
      <c r="AJ691" s="2" t="str" cm="1">
        <f t="array" ref="AJ691">_xlfn.IFS(AI691&lt;=0, "No Profit", AI691&lt;=0.16,"Low Profit",AI691&lt;=0.32,"Medium Profit",AI691&gt;0.32,"High Profit")</f>
        <v>Medium Profit</v>
      </c>
      <c r="AK691" s="2">
        <v>5</v>
      </c>
      <c r="AL691" s="2">
        <v>250</v>
      </c>
      <c r="AM691" s="2">
        <v>225</v>
      </c>
      <c r="AN691" s="2">
        <v>60.75</v>
      </c>
      <c r="AO691" s="2" t="s">
        <v>601</v>
      </c>
      <c r="AP691" s="2" t="s">
        <v>598</v>
      </c>
      <c r="AQ691" s="2" t="s">
        <v>175</v>
      </c>
      <c r="AR691" s="2" t="s">
        <v>81</v>
      </c>
      <c r="AS691" s="2">
        <v>502</v>
      </c>
      <c r="AT691" s="2">
        <v>24</v>
      </c>
      <c r="AU691" s="2" t="s">
        <v>442</v>
      </c>
      <c r="AV691" s="2">
        <v>50</v>
      </c>
      <c r="AW691" s="2">
        <v>0</v>
      </c>
      <c r="AX691" s="3">
        <v>43044.730555555558</v>
      </c>
      <c r="AY691" s="2" t="s">
        <v>83</v>
      </c>
      <c r="AZ691" s="4">
        <v>42983</v>
      </c>
      <c r="BA691" s="5">
        <v>0.73055555555555551</v>
      </c>
      <c r="BB691" s="2">
        <v>2017</v>
      </c>
      <c r="BC691" s="2" t="s">
        <v>552</v>
      </c>
      <c r="BD691" s="2">
        <v>5</v>
      </c>
      <c r="BE691" s="4">
        <v>43044</v>
      </c>
      <c r="BF691" s="5">
        <v>0.73055555555555551</v>
      </c>
      <c r="BG691" s="2" t="str" cm="1">
        <f t="array" ref="BG691">_xlfn.IFS(BF691&lt;TIMEVALUE("06:00"),"Night", BF691&gt;=TIMEVALUE("21:00"),"Night",BF691&gt;=TIMEVALUE("17:00"),"Evening",BF691&gt;=TIMEVALUE("12:00"),"Afternoon", BF691&gt;=TIMEVALUE("06:00"),"Morning")</f>
        <v>Evening</v>
      </c>
      <c r="BH691" s="2">
        <v>2017</v>
      </c>
      <c r="BI691" s="2" t="s">
        <v>455</v>
      </c>
      <c r="BJ691" s="2">
        <v>5</v>
      </c>
    </row>
    <row r="692" spans="1:62" x14ac:dyDescent="0.3">
      <c r="A692" s="2" t="s">
        <v>86</v>
      </c>
      <c r="B692" s="2">
        <v>5</v>
      </c>
      <c r="C692" s="2">
        <v>4</v>
      </c>
      <c r="D692" s="2">
        <v>102.38</v>
      </c>
      <c r="E692" s="2">
        <v>315</v>
      </c>
      <c r="F692" s="2" t="s">
        <v>129</v>
      </c>
      <c r="G692" s="2" t="s">
        <v>64</v>
      </c>
      <c r="H692" s="2">
        <v>26</v>
      </c>
      <c r="I692" s="2" t="s">
        <v>1132</v>
      </c>
      <c r="J692" s="2" t="s">
        <v>66</v>
      </c>
      <c r="K692" s="2" t="s">
        <v>67</v>
      </c>
      <c r="L692" s="2" t="s">
        <v>2851</v>
      </c>
      <c r="M692" s="2">
        <v>6306</v>
      </c>
      <c r="N692" s="2" t="s">
        <v>1799</v>
      </c>
      <c r="O692" s="2" t="s">
        <v>70</v>
      </c>
      <c r="P692" s="2" t="s">
        <v>71</v>
      </c>
      <c r="Q692" s="2" t="s">
        <v>2852</v>
      </c>
      <c r="R692" s="2">
        <v>725</v>
      </c>
      <c r="S692" s="2">
        <v>5</v>
      </c>
      <c r="T692" s="2" t="s">
        <v>427</v>
      </c>
      <c r="U692" s="2">
        <v>18.2533855</v>
      </c>
      <c r="V692" s="2">
        <v>-66.370620700000003</v>
      </c>
      <c r="W692" s="2" t="s">
        <v>582</v>
      </c>
      <c r="X692" s="2" t="s">
        <v>2993</v>
      </c>
      <c r="Y692" s="2" t="s">
        <v>632</v>
      </c>
      <c r="Z692" s="2">
        <v>6306</v>
      </c>
      <c r="AA692" s="2" t="s">
        <v>2994</v>
      </c>
      <c r="AB692" s="2">
        <v>5919</v>
      </c>
      <c r="AC692" s="2">
        <v>565</v>
      </c>
      <c r="AD692" s="2">
        <v>35</v>
      </c>
      <c r="AE692" s="2">
        <v>0.1</v>
      </c>
      <c r="AF692" s="2" t="str" cm="1">
        <f t="array" ref="AF692">_xlfn.IFS(AE692=0, "No Discount ", AE692&lt;=0.08,"Low Discount", AE692&lt;=0.16,"Medium Discount", AE692&gt;0.16, "High Discount")</f>
        <v>Medium Discount</v>
      </c>
      <c r="AG692" s="2">
        <v>14727</v>
      </c>
      <c r="AH692" s="2">
        <v>70</v>
      </c>
      <c r="AI692" s="2">
        <v>0.33</v>
      </c>
      <c r="AJ692" s="2" t="str" cm="1">
        <f t="array" ref="AJ692">_xlfn.IFS(AI692&lt;=0, "No Profit", AI692&lt;=0.16,"Low Profit",AI692&lt;=0.32,"Medium Profit",AI692&gt;0.32,"High Profit")</f>
        <v>High Profit</v>
      </c>
      <c r="AK692" s="2">
        <v>5</v>
      </c>
      <c r="AL692" s="2">
        <v>350</v>
      </c>
      <c r="AM692" s="2">
        <v>315</v>
      </c>
      <c r="AN692" s="2">
        <v>102.38</v>
      </c>
      <c r="AO692" s="2" t="s">
        <v>607</v>
      </c>
      <c r="AP692" s="2" t="s">
        <v>2995</v>
      </c>
      <c r="AQ692" s="2" t="s">
        <v>175</v>
      </c>
      <c r="AR692" s="2" t="s">
        <v>81</v>
      </c>
      <c r="AS692" s="2">
        <v>565</v>
      </c>
      <c r="AT692" s="2">
        <v>26</v>
      </c>
      <c r="AU692" s="2" t="s">
        <v>1871</v>
      </c>
      <c r="AV692" s="2">
        <v>70</v>
      </c>
      <c r="AW692" s="2">
        <v>0</v>
      </c>
      <c r="AX692" s="3">
        <v>42039.388888888891</v>
      </c>
      <c r="AY692" s="2" t="s">
        <v>83</v>
      </c>
      <c r="AZ692" s="4">
        <v>42091</v>
      </c>
      <c r="BA692" s="5">
        <v>0.3888888888888889</v>
      </c>
      <c r="BB692" s="2">
        <v>2015</v>
      </c>
      <c r="BC692" s="2" t="s">
        <v>85</v>
      </c>
      <c r="BD692" s="2">
        <v>28</v>
      </c>
      <c r="BE692" s="4">
        <v>42039</v>
      </c>
      <c r="BF692" s="5">
        <v>0.3888888888888889</v>
      </c>
      <c r="BG692" s="2" t="str" cm="1">
        <f t="array" ref="BG692">_xlfn.IFS(BF692&lt;TIMEVALUE("06:00"),"Night", BF692&gt;=TIMEVALUE("21:00"),"Night",BF692&gt;=TIMEVALUE("17:00"),"Evening",BF692&gt;=TIMEVALUE("12:00"),"Afternoon", BF692&gt;=TIMEVALUE("06:00"),"Morning")</f>
        <v>Morning</v>
      </c>
      <c r="BH692" s="2">
        <v>2015</v>
      </c>
      <c r="BI692" s="2" t="s">
        <v>423</v>
      </c>
      <c r="BJ692" s="2">
        <v>4</v>
      </c>
    </row>
    <row r="693" spans="1:62" x14ac:dyDescent="0.3">
      <c r="A693" s="2" t="s">
        <v>86</v>
      </c>
      <c r="B693" s="2">
        <v>3</v>
      </c>
      <c r="C693" s="2">
        <v>4</v>
      </c>
      <c r="D693" s="2">
        <v>74.36</v>
      </c>
      <c r="E693" s="2">
        <v>220</v>
      </c>
      <c r="F693" s="2" t="s">
        <v>129</v>
      </c>
      <c r="G693" s="2" t="s">
        <v>64</v>
      </c>
      <c r="H693" s="2">
        <v>24</v>
      </c>
      <c r="I693" s="2" t="s">
        <v>435</v>
      </c>
      <c r="J693" s="2" t="s">
        <v>66</v>
      </c>
      <c r="K693" s="2" t="s">
        <v>67</v>
      </c>
      <c r="L693" s="2" t="s">
        <v>414</v>
      </c>
      <c r="M693" s="2">
        <v>27</v>
      </c>
      <c r="N693" s="2" t="s">
        <v>563</v>
      </c>
      <c r="O693" s="2" t="s">
        <v>70</v>
      </c>
      <c r="P693" s="2" t="s">
        <v>71</v>
      </c>
      <c r="Q693" s="2" t="s">
        <v>2996</v>
      </c>
      <c r="R693" s="2">
        <v>725</v>
      </c>
      <c r="S693" s="2">
        <v>5</v>
      </c>
      <c r="T693" s="2" t="s">
        <v>427</v>
      </c>
      <c r="U693" s="2">
        <v>18.359008800000002</v>
      </c>
      <c r="V693" s="2">
        <v>-66.078155499999994</v>
      </c>
      <c r="W693" s="2" t="s">
        <v>582</v>
      </c>
      <c r="X693" s="2" t="s">
        <v>2997</v>
      </c>
      <c r="Y693" s="2" t="s">
        <v>735</v>
      </c>
      <c r="Z693" s="2">
        <v>27</v>
      </c>
      <c r="AA693" s="3">
        <v>42980.334027777775</v>
      </c>
      <c r="AB693" s="2">
        <v>52772</v>
      </c>
      <c r="AC693" s="2">
        <v>502</v>
      </c>
      <c r="AD693" s="2">
        <v>30</v>
      </c>
      <c r="AE693" s="2">
        <v>0.12</v>
      </c>
      <c r="AF693" s="2" t="str" cm="1">
        <f t="array" ref="AF693">_xlfn.IFS(AE693=0, "No Discount ", AE693&lt;=0.08,"Low Discount", AE693&lt;=0.16,"Medium Discount", AE693&gt;0.16, "High Discount")</f>
        <v>Medium Discount</v>
      </c>
      <c r="AG693" s="2">
        <v>131932</v>
      </c>
      <c r="AH693" s="2">
        <v>50</v>
      </c>
      <c r="AI693" s="2">
        <v>0.34</v>
      </c>
      <c r="AJ693" s="2" t="str" cm="1">
        <f t="array" ref="AJ693">_xlfn.IFS(AI693&lt;=0, "No Profit", AI693&lt;=0.16,"Low Profit",AI693&lt;=0.32,"Medium Profit",AI693&gt;0.32,"High Profit")</f>
        <v>High Profit</v>
      </c>
      <c r="AK693" s="2">
        <v>5</v>
      </c>
      <c r="AL693" s="2">
        <v>250</v>
      </c>
      <c r="AM693" s="2">
        <v>220</v>
      </c>
      <c r="AN693" s="2">
        <v>74.36</v>
      </c>
      <c r="AO693" s="2" t="s">
        <v>607</v>
      </c>
      <c r="AP693" s="2" t="s">
        <v>2997</v>
      </c>
      <c r="AQ693" s="2" t="s">
        <v>175</v>
      </c>
      <c r="AR693" s="2" t="s">
        <v>81</v>
      </c>
      <c r="AS693" s="2">
        <v>502</v>
      </c>
      <c r="AT693" s="2">
        <v>24</v>
      </c>
      <c r="AU693" s="2" t="s">
        <v>442</v>
      </c>
      <c r="AV693" s="2">
        <v>50</v>
      </c>
      <c r="AW693" s="2">
        <v>0</v>
      </c>
      <c r="AX693" s="3">
        <v>43071.334027777775</v>
      </c>
      <c r="AY693" s="2" t="s">
        <v>83</v>
      </c>
      <c r="AZ693" s="4">
        <v>42980</v>
      </c>
      <c r="BA693" s="5">
        <v>0.33402777777777776</v>
      </c>
      <c r="BB693" s="2">
        <v>2017</v>
      </c>
      <c r="BC693" s="2" t="s">
        <v>552</v>
      </c>
      <c r="BD693" s="2">
        <v>2</v>
      </c>
      <c r="BE693" s="4">
        <v>43071</v>
      </c>
      <c r="BF693" s="5">
        <v>0.33402777777777776</v>
      </c>
      <c r="BG693" s="2" t="str" cm="1">
        <f t="array" ref="BG693">_xlfn.IFS(BF693&lt;TIMEVALUE("06:00"),"Night", BF693&gt;=TIMEVALUE("21:00"),"Night",BF693&gt;=TIMEVALUE("17:00"),"Evening",BF693&gt;=TIMEVALUE("12:00"),"Afternoon", BF693&gt;=TIMEVALUE("06:00"),"Morning")</f>
        <v>Morning</v>
      </c>
      <c r="BH693" s="2">
        <v>2017</v>
      </c>
      <c r="BI693" s="2" t="s">
        <v>357</v>
      </c>
      <c r="BJ693" s="2">
        <v>2</v>
      </c>
    </row>
    <row r="694" spans="1:62" x14ac:dyDescent="0.3">
      <c r="A694" s="2" t="s">
        <v>86</v>
      </c>
      <c r="B694" s="2">
        <v>4</v>
      </c>
      <c r="C694" s="2">
        <v>4</v>
      </c>
      <c r="D694" s="2">
        <v>-190.65</v>
      </c>
      <c r="E694" s="2">
        <v>123</v>
      </c>
      <c r="F694" s="2" t="s">
        <v>129</v>
      </c>
      <c r="G694" s="2" t="s">
        <v>64</v>
      </c>
      <c r="H694" s="2">
        <v>26</v>
      </c>
      <c r="I694" s="2" t="s">
        <v>1132</v>
      </c>
      <c r="J694" s="2" t="s">
        <v>66</v>
      </c>
      <c r="K694" s="2" t="s">
        <v>67</v>
      </c>
      <c r="L694" s="2" t="s">
        <v>553</v>
      </c>
      <c r="M694" s="2">
        <v>5274</v>
      </c>
      <c r="N694" s="2" t="s">
        <v>2998</v>
      </c>
      <c r="O694" s="2" t="s">
        <v>70</v>
      </c>
      <c r="P694" s="2" t="s">
        <v>71</v>
      </c>
      <c r="Q694" s="2" t="s">
        <v>2999</v>
      </c>
      <c r="R694" s="2">
        <v>725</v>
      </c>
      <c r="S694" s="2">
        <v>5</v>
      </c>
      <c r="T694" s="2" t="s">
        <v>427</v>
      </c>
      <c r="U694" s="2">
        <v>18.247396500000001</v>
      </c>
      <c r="V694" s="2">
        <v>-66.370529199999993</v>
      </c>
      <c r="W694" s="2" t="s">
        <v>582</v>
      </c>
      <c r="X694" s="2" t="s">
        <v>768</v>
      </c>
      <c r="Y694" s="2" t="s">
        <v>584</v>
      </c>
      <c r="Z694" s="2">
        <v>5274</v>
      </c>
      <c r="AA694" s="2" t="s">
        <v>3000</v>
      </c>
      <c r="AB694" s="2">
        <v>9063</v>
      </c>
      <c r="AC694" s="2">
        <v>564</v>
      </c>
      <c r="AD694" s="2">
        <v>27</v>
      </c>
      <c r="AE694" s="2">
        <v>0.18</v>
      </c>
      <c r="AF694" s="2" t="str" cm="1">
        <f t="array" ref="AF694">_xlfn.IFS(AE694=0, "No Discount ", AE694&lt;=0.08,"Low Discount", AE694&lt;=0.16,"Medium Discount", AE694&gt;0.16, "High Discount")</f>
        <v>High Discount</v>
      </c>
      <c r="AG694" s="2">
        <v>22602</v>
      </c>
      <c r="AH694" s="2">
        <v>30</v>
      </c>
      <c r="AI694" s="2">
        <v>-1.55</v>
      </c>
      <c r="AJ694" s="2" t="str" cm="1">
        <f t="array" ref="AJ694">_xlfn.IFS(AI694&lt;=0, "No Profit", AI694&lt;=0.16,"Low Profit",AI694&lt;=0.32,"Medium Profit",AI694&gt;0.32,"High Profit")</f>
        <v>No Profit</v>
      </c>
      <c r="AK694" s="2">
        <v>5</v>
      </c>
      <c r="AL694" s="2">
        <v>150</v>
      </c>
      <c r="AM694" s="2">
        <v>123</v>
      </c>
      <c r="AN694" s="2">
        <v>-190.65</v>
      </c>
      <c r="AO694" s="2" t="s">
        <v>586</v>
      </c>
      <c r="AP694" s="2" t="s">
        <v>584</v>
      </c>
      <c r="AQ694" s="2" t="s">
        <v>175</v>
      </c>
      <c r="AR694" s="2" t="s">
        <v>81</v>
      </c>
      <c r="AS694" s="2">
        <v>564</v>
      </c>
      <c r="AT694" s="2">
        <v>26</v>
      </c>
      <c r="AU694" s="2" t="s">
        <v>1251</v>
      </c>
      <c r="AV694" s="2">
        <v>30</v>
      </c>
      <c r="AW694" s="2">
        <v>0</v>
      </c>
      <c r="AX694" s="2" t="s">
        <v>3001</v>
      </c>
      <c r="AY694" s="2" t="s">
        <v>83</v>
      </c>
      <c r="AZ694" s="4">
        <v>42137</v>
      </c>
      <c r="BA694" s="5">
        <v>0.28402777777777777</v>
      </c>
      <c r="BB694" s="2">
        <v>2015</v>
      </c>
      <c r="BC694" s="2" t="s">
        <v>443</v>
      </c>
      <c r="BD694" s="2">
        <v>13</v>
      </c>
      <c r="BE694" s="4">
        <v>42141</v>
      </c>
      <c r="BF694" s="5">
        <v>0.28402777777777777</v>
      </c>
      <c r="BG694" s="2" t="str" cm="1">
        <f t="array" ref="BG694">_xlfn.IFS(BF694&lt;TIMEVALUE("06:00"),"Night", BF694&gt;=TIMEVALUE("21:00"),"Night",BF694&gt;=TIMEVALUE("17:00"),"Evening",BF694&gt;=TIMEVALUE("12:00"),"Afternoon", BF694&gt;=TIMEVALUE("06:00"),"Morning")</f>
        <v>Morning</v>
      </c>
      <c r="BH694" s="2">
        <v>2015</v>
      </c>
      <c r="BI694" s="2" t="s">
        <v>443</v>
      </c>
      <c r="BJ694" s="2">
        <v>17</v>
      </c>
    </row>
    <row r="695" spans="1:62" x14ac:dyDescent="0.3">
      <c r="A695" s="2" t="s">
        <v>86</v>
      </c>
      <c r="B695" s="2">
        <v>5</v>
      </c>
      <c r="C695" s="2">
        <v>4</v>
      </c>
      <c r="D695" s="2">
        <v>98</v>
      </c>
      <c r="E695" s="2">
        <v>200</v>
      </c>
      <c r="F695" s="2" t="s">
        <v>129</v>
      </c>
      <c r="G695" s="2" t="s">
        <v>64</v>
      </c>
      <c r="H695" s="2">
        <v>24</v>
      </c>
      <c r="I695" s="2" t="s">
        <v>435</v>
      </c>
      <c r="J695" s="2" t="s">
        <v>66</v>
      </c>
      <c r="K695" s="2" t="s">
        <v>67</v>
      </c>
      <c r="L695" s="2" t="s">
        <v>414</v>
      </c>
      <c r="M695" s="2">
        <v>11273</v>
      </c>
      <c r="N695" s="2" t="s">
        <v>1517</v>
      </c>
      <c r="O695" s="2" t="s">
        <v>70</v>
      </c>
      <c r="P695" s="2" t="s">
        <v>71</v>
      </c>
      <c r="Q695" s="2" t="s">
        <v>3002</v>
      </c>
      <c r="R695" s="2">
        <v>725</v>
      </c>
      <c r="S695" s="2">
        <v>5</v>
      </c>
      <c r="T695" s="2" t="s">
        <v>427</v>
      </c>
      <c r="U695" s="2">
        <v>18.230756800000002</v>
      </c>
      <c r="V695" s="2">
        <v>-66.370620700000003</v>
      </c>
      <c r="W695" s="2" t="s">
        <v>582</v>
      </c>
      <c r="X695" s="2" t="s">
        <v>3003</v>
      </c>
      <c r="Y695" s="2" t="s">
        <v>632</v>
      </c>
      <c r="Z695" s="2">
        <v>11273</v>
      </c>
      <c r="AA695" s="2" t="s">
        <v>3004</v>
      </c>
      <c r="AB695" s="2">
        <v>61419</v>
      </c>
      <c r="AC695" s="2">
        <v>502</v>
      </c>
      <c r="AD695" s="2">
        <v>50</v>
      </c>
      <c r="AE695" s="2">
        <v>0.2</v>
      </c>
      <c r="AF695" s="2" t="str" cm="1">
        <f t="array" ref="AF695">_xlfn.IFS(AE695=0, "No Discount ", AE695&lt;=0.08,"Low Discount", AE695&lt;=0.16,"Medium Discount", AE695&gt;0.16, "High Discount")</f>
        <v>High Discount</v>
      </c>
      <c r="AG695" s="2">
        <v>153614</v>
      </c>
      <c r="AH695" s="2">
        <v>50</v>
      </c>
      <c r="AI695" s="2">
        <v>0.49</v>
      </c>
      <c r="AJ695" s="2" t="str" cm="1">
        <f t="array" ref="AJ695">_xlfn.IFS(AI695&lt;=0, "No Profit", AI695&lt;=0.16,"Low Profit",AI695&lt;=0.32,"Medium Profit",AI695&gt;0.32,"High Profit")</f>
        <v>High Profit</v>
      </c>
      <c r="AK695" s="2">
        <v>5</v>
      </c>
      <c r="AL695" s="2">
        <v>250</v>
      </c>
      <c r="AM695" s="2">
        <v>200</v>
      </c>
      <c r="AN695" s="2">
        <v>98</v>
      </c>
      <c r="AO695" s="2" t="s">
        <v>607</v>
      </c>
      <c r="AP695" s="2" t="s">
        <v>3005</v>
      </c>
      <c r="AQ695" s="2" t="s">
        <v>175</v>
      </c>
      <c r="AR695" s="2" t="s">
        <v>81</v>
      </c>
      <c r="AS695" s="2">
        <v>502</v>
      </c>
      <c r="AT695" s="2">
        <v>24</v>
      </c>
      <c r="AU695" s="2" t="s">
        <v>442</v>
      </c>
      <c r="AV695" s="2">
        <v>50</v>
      </c>
      <c r="AW695" s="2">
        <v>0</v>
      </c>
      <c r="AX695" s="2" t="s">
        <v>3006</v>
      </c>
      <c r="AY695" s="2" t="s">
        <v>83</v>
      </c>
      <c r="AZ695" s="4">
        <v>42901</v>
      </c>
      <c r="BA695" s="5">
        <v>0.56041666666666667</v>
      </c>
      <c r="BB695" s="2">
        <v>2017</v>
      </c>
      <c r="BC695" s="2" t="s">
        <v>474</v>
      </c>
      <c r="BD695" s="2">
        <v>15</v>
      </c>
      <c r="BE695" s="4">
        <v>42906</v>
      </c>
      <c r="BF695" s="5">
        <v>0.56041666666666667</v>
      </c>
      <c r="BG695" s="2" t="str" cm="1">
        <f t="array" ref="BG695">_xlfn.IFS(BF695&lt;TIMEVALUE("06:00"),"Night", BF695&gt;=TIMEVALUE("21:00"),"Night",BF695&gt;=TIMEVALUE("17:00"),"Evening",BF695&gt;=TIMEVALUE("12:00"),"Afternoon", BF695&gt;=TIMEVALUE("06:00"),"Morning")</f>
        <v>Afternoon</v>
      </c>
      <c r="BH695" s="2">
        <v>2017</v>
      </c>
      <c r="BI695" s="2" t="s">
        <v>474</v>
      </c>
      <c r="BJ695" s="2">
        <v>20</v>
      </c>
    </row>
    <row r="696" spans="1:62" x14ac:dyDescent="0.3">
      <c r="A696" s="2" t="s">
        <v>86</v>
      </c>
      <c r="B696" s="2">
        <v>5</v>
      </c>
      <c r="C696" s="2">
        <v>4</v>
      </c>
      <c r="D696" s="2">
        <v>52.49</v>
      </c>
      <c r="E696" s="2">
        <v>149.96</v>
      </c>
      <c r="F696" s="2" t="s">
        <v>129</v>
      </c>
      <c r="G696" s="2" t="s">
        <v>64</v>
      </c>
      <c r="H696" s="2">
        <v>29</v>
      </c>
      <c r="I696" s="2" t="s">
        <v>424</v>
      </c>
      <c r="J696" s="2" t="s">
        <v>66</v>
      </c>
      <c r="K696" s="2" t="s">
        <v>67</v>
      </c>
      <c r="L696" s="2" t="s">
        <v>2851</v>
      </c>
      <c r="M696" s="2">
        <v>6306</v>
      </c>
      <c r="N696" s="2" t="s">
        <v>1799</v>
      </c>
      <c r="O696" s="2" t="s">
        <v>70</v>
      </c>
      <c r="P696" s="2" t="s">
        <v>71</v>
      </c>
      <c r="Q696" s="2" t="s">
        <v>2852</v>
      </c>
      <c r="R696" s="2">
        <v>725</v>
      </c>
      <c r="S696" s="2">
        <v>5</v>
      </c>
      <c r="T696" s="2" t="s">
        <v>427</v>
      </c>
      <c r="U696" s="2">
        <v>18.2533855</v>
      </c>
      <c r="V696" s="2">
        <v>-66.370620700000003</v>
      </c>
      <c r="W696" s="2" t="s">
        <v>582</v>
      </c>
      <c r="X696" s="2" t="s">
        <v>2993</v>
      </c>
      <c r="Y696" s="2" t="s">
        <v>632</v>
      </c>
      <c r="Z696" s="2">
        <v>6306</v>
      </c>
      <c r="AA696" s="2" t="s">
        <v>2994</v>
      </c>
      <c r="AB696" s="2">
        <v>5919</v>
      </c>
      <c r="AC696" s="2">
        <v>627</v>
      </c>
      <c r="AD696" s="2">
        <v>49.99</v>
      </c>
      <c r="AE696" s="2">
        <v>0.25</v>
      </c>
      <c r="AF696" s="2" t="str" cm="1">
        <f t="array" ref="AF696">_xlfn.IFS(AE696=0, "No Discount ", AE696&lt;=0.08,"Low Discount", AE696&lt;=0.16,"Medium Discount", AE696&gt;0.16, "High Discount")</f>
        <v>High Discount</v>
      </c>
      <c r="AG696" s="2">
        <v>14724</v>
      </c>
      <c r="AH696" s="2">
        <v>39.99</v>
      </c>
      <c r="AI696" s="2">
        <v>0.35</v>
      </c>
      <c r="AJ696" s="2" t="str" cm="1">
        <f t="array" ref="AJ696">_xlfn.IFS(AI696&lt;=0, "No Profit", AI696&lt;=0.16,"Low Profit",AI696&lt;=0.32,"Medium Profit",AI696&gt;0.32,"High Profit")</f>
        <v>High Profit</v>
      </c>
      <c r="AK696" s="2">
        <v>5</v>
      </c>
      <c r="AL696" s="2">
        <v>199.95</v>
      </c>
      <c r="AM696" s="2">
        <v>149.96</v>
      </c>
      <c r="AN696" s="2">
        <v>52.49</v>
      </c>
      <c r="AO696" s="2" t="s">
        <v>607</v>
      </c>
      <c r="AP696" s="2" t="s">
        <v>2995</v>
      </c>
      <c r="AQ696" s="2" t="s">
        <v>175</v>
      </c>
      <c r="AR696" s="2" t="s">
        <v>81</v>
      </c>
      <c r="AS696" s="2">
        <v>627</v>
      </c>
      <c r="AT696" s="2">
        <v>29</v>
      </c>
      <c r="AU696" s="2" t="s">
        <v>432</v>
      </c>
      <c r="AV696" s="2">
        <v>39.99</v>
      </c>
      <c r="AW696" s="2">
        <v>0</v>
      </c>
      <c r="AX696" s="3">
        <v>42039.388888888891</v>
      </c>
      <c r="AY696" s="2" t="s">
        <v>83</v>
      </c>
      <c r="AZ696" s="4">
        <v>42091</v>
      </c>
      <c r="BA696" s="5">
        <v>0.3888888888888889</v>
      </c>
      <c r="BB696" s="2">
        <v>2015</v>
      </c>
      <c r="BC696" s="2" t="s">
        <v>85</v>
      </c>
      <c r="BD696" s="2">
        <v>28</v>
      </c>
      <c r="BE696" s="4">
        <v>42039</v>
      </c>
      <c r="BF696" s="5">
        <v>0.3888888888888889</v>
      </c>
      <c r="BG696" s="2" t="str" cm="1">
        <f t="array" ref="BG696">_xlfn.IFS(BF696&lt;TIMEVALUE("06:00"),"Night", BF696&gt;=TIMEVALUE("21:00"),"Night",BF696&gt;=TIMEVALUE("17:00"),"Evening",BF696&gt;=TIMEVALUE("12:00"),"Afternoon", BF696&gt;=TIMEVALUE("06:00"),"Morning")</f>
        <v>Morning</v>
      </c>
      <c r="BH696" s="2">
        <v>2015</v>
      </c>
      <c r="BI696" s="2" t="s">
        <v>423</v>
      </c>
      <c r="BJ696" s="2">
        <v>4</v>
      </c>
    </row>
    <row r="697" spans="1:62" x14ac:dyDescent="0.3">
      <c r="A697" s="2" t="s">
        <v>86</v>
      </c>
      <c r="B697" s="2">
        <v>3</v>
      </c>
      <c r="C697" s="2">
        <v>4</v>
      </c>
      <c r="D697" s="2">
        <v>-101.24</v>
      </c>
      <c r="E697" s="2">
        <v>449.96</v>
      </c>
      <c r="F697" s="2" t="s">
        <v>129</v>
      </c>
      <c r="G697" s="2" t="s">
        <v>64</v>
      </c>
      <c r="H697" s="2">
        <v>9</v>
      </c>
      <c r="I697" s="2" t="s">
        <v>496</v>
      </c>
      <c r="J697" s="2" t="s">
        <v>66</v>
      </c>
      <c r="K697" s="2" t="s">
        <v>67</v>
      </c>
      <c r="L697" s="2" t="s">
        <v>1711</v>
      </c>
      <c r="M697" s="2">
        <v>9495</v>
      </c>
      <c r="N697" s="2" t="s">
        <v>425</v>
      </c>
      <c r="O697" s="2" t="s">
        <v>70</v>
      </c>
      <c r="P697" s="2" t="s">
        <v>71</v>
      </c>
      <c r="Q697" s="2" t="s">
        <v>3007</v>
      </c>
      <c r="R697" s="2">
        <v>725</v>
      </c>
      <c r="S697" s="2">
        <v>3</v>
      </c>
      <c r="T697" s="2" t="s">
        <v>466</v>
      </c>
      <c r="U697" s="2">
        <v>18.2013474</v>
      </c>
      <c r="V697" s="2">
        <v>-66.370605499999996</v>
      </c>
      <c r="W697" s="2" t="s">
        <v>74</v>
      </c>
      <c r="X697" s="2" t="s">
        <v>3008</v>
      </c>
      <c r="Y697" s="2" t="s">
        <v>93</v>
      </c>
      <c r="Z697" s="2">
        <v>9495</v>
      </c>
      <c r="AA697" s="3">
        <v>42615.95416666667</v>
      </c>
      <c r="AB697" s="2">
        <v>27742</v>
      </c>
      <c r="AC697" s="2">
        <v>191</v>
      </c>
      <c r="AD697" s="2">
        <v>50</v>
      </c>
      <c r="AE697" s="2">
        <v>0.1</v>
      </c>
      <c r="AF697" s="2" t="str" cm="1">
        <f t="array" ref="AF697">_xlfn.IFS(AE697=0, "No Discount ", AE697&lt;=0.08,"Low Discount", AE697&lt;=0.16,"Medium Discount", AE697&gt;0.16, "High Discount")</f>
        <v>Medium Discount</v>
      </c>
      <c r="AG697" s="2">
        <v>69461</v>
      </c>
      <c r="AH697" s="2">
        <v>99.99</v>
      </c>
      <c r="AI697" s="2">
        <v>-0.23</v>
      </c>
      <c r="AJ697" s="2" t="str" cm="1">
        <f t="array" ref="AJ697">_xlfn.IFS(AI697&lt;=0, "No Profit", AI697&lt;=0.16,"Low Profit",AI697&lt;=0.32,"Medium Profit",AI697&gt;0.32,"High Profit")</f>
        <v>No Profit</v>
      </c>
      <c r="AK697" s="2">
        <v>5</v>
      </c>
      <c r="AL697" s="2">
        <v>499.95</v>
      </c>
      <c r="AM697" s="2">
        <v>449.96</v>
      </c>
      <c r="AN697" s="2">
        <v>-101.24</v>
      </c>
      <c r="AO697" s="2" t="s">
        <v>95</v>
      </c>
      <c r="AP697" s="2" t="s">
        <v>3009</v>
      </c>
      <c r="AQ697" s="2" t="s">
        <v>137</v>
      </c>
      <c r="AR697" s="2" t="s">
        <v>81</v>
      </c>
      <c r="AS697" s="2">
        <v>191</v>
      </c>
      <c r="AT697" s="2">
        <v>9</v>
      </c>
      <c r="AU697" s="2" t="s">
        <v>505</v>
      </c>
      <c r="AV697" s="2">
        <v>99.99</v>
      </c>
      <c r="AW697" s="2">
        <v>0</v>
      </c>
      <c r="AX697" s="3">
        <v>42706.95416666667</v>
      </c>
      <c r="AY697" s="2" t="s">
        <v>83</v>
      </c>
      <c r="AZ697" s="4">
        <v>42615</v>
      </c>
      <c r="BA697" s="5">
        <v>0.95416666666666672</v>
      </c>
      <c r="BB697" s="2">
        <v>2016</v>
      </c>
      <c r="BC697" s="2" t="s">
        <v>552</v>
      </c>
      <c r="BD697" s="2">
        <v>2</v>
      </c>
      <c r="BE697" s="4">
        <v>42706</v>
      </c>
      <c r="BF697" s="5">
        <v>0.95416666666666672</v>
      </c>
      <c r="BG697" s="2" t="str" cm="1">
        <f t="array" ref="BG697">_xlfn.IFS(BF697&lt;TIMEVALUE("06:00"),"Night", BF697&gt;=TIMEVALUE("21:00"),"Night",BF697&gt;=TIMEVALUE("17:00"),"Evening",BF697&gt;=TIMEVALUE("12:00"),"Afternoon", BF697&gt;=TIMEVALUE("06:00"),"Morning")</f>
        <v>Night</v>
      </c>
      <c r="BH697" s="2">
        <v>2016</v>
      </c>
      <c r="BI697" s="2" t="s">
        <v>357</v>
      </c>
      <c r="BJ697" s="2">
        <v>2</v>
      </c>
    </row>
    <row r="698" spans="1:62" x14ac:dyDescent="0.3">
      <c r="A698" s="2" t="s">
        <v>86</v>
      </c>
      <c r="B698" s="2">
        <v>4</v>
      </c>
      <c r="C698" s="2">
        <v>4</v>
      </c>
      <c r="D698" s="2">
        <v>63.74</v>
      </c>
      <c r="E698" s="2">
        <v>424.96</v>
      </c>
      <c r="F698" s="2" t="s">
        <v>129</v>
      </c>
      <c r="G698" s="2" t="s">
        <v>64</v>
      </c>
      <c r="H698" s="2">
        <v>9</v>
      </c>
      <c r="I698" s="2" t="s">
        <v>496</v>
      </c>
      <c r="J698" s="2" t="s">
        <v>66</v>
      </c>
      <c r="K698" s="2" t="s">
        <v>67</v>
      </c>
      <c r="L698" s="2" t="s">
        <v>790</v>
      </c>
      <c r="M698" s="2">
        <v>4841</v>
      </c>
      <c r="N698" s="2" t="s">
        <v>3010</v>
      </c>
      <c r="O698" s="2" t="s">
        <v>70</v>
      </c>
      <c r="P698" s="2" t="s">
        <v>71</v>
      </c>
      <c r="Q698" s="2" t="s">
        <v>3011</v>
      </c>
      <c r="R698" s="2">
        <v>725</v>
      </c>
      <c r="S698" s="2">
        <v>3</v>
      </c>
      <c r="T698" s="2" t="s">
        <v>466</v>
      </c>
      <c r="U698" s="2">
        <v>18.2824764</v>
      </c>
      <c r="V698" s="2">
        <v>-66.3706131</v>
      </c>
      <c r="W698" s="2" t="s">
        <v>74</v>
      </c>
      <c r="X698" s="2" t="s">
        <v>3012</v>
      </c>
      <c r="Y698" s="2" t="s">
        <v>143</v>
      </c>
      <c r="Z698" s="2">
        <v>4841</v>
      </c>
      <c r="AA698" s="2" t="s">
        <v>3013</v>
      </c>
      <c r="AB698" s="2">
        <v>24453</v>
      </c>
      <c r="AC698" s="2">
        <v>191</v>
      </c>
      <c r="AD698" s="2">
        <v>74.989999999999995</v>
      </c>
      <c r="AE698" s="2">
        <v>0.15</v>
      </c>
      <c r="AF698" s="2" t="str" cm="1">
        <f t="array" ref="AF698">_xlfn.IFS(AE698=0, "No Discount ", AE698&lt;=0.08,"Low Discount", AE698&lt;=0.16,"Medium Discount", AE698&gt;0.16, "High Discount")</f>
        <v>Medium Discount</v>
      </c>
      <c r="AG698" s="2">
        <v>61194</v>
      </c>
      <c r="AH698" s="2">
        <v>99.99</v>
      </c>
      <c r="AI698" s="2">
        <v>0.15</v>
      </c>
      <c r="AJ698" s="2" t="str" cm="1">
        <f t="array" ref="AJ698">_xlfn.IFS(AI698&lt;=0, "No Profit", AI698&lt;=0.16,"Low Profit",AI698&lt;=0.32,"Medium Profit",AI698&gt;0.32,"High Profit")</f>
        <v>Low Profit</v>
      </c>
      <c r="AK698" s="2">
        <v>5</v>
      </c>
      <c r="AL698" s="2">
        <v>499.95</v>
      </c>
      <c r="AM698" s="2">
        <v>424.96</v>
      </c>
      <c r="AN698" s="2">
        <v>63.74</v>
      </c>
      <c r="AO698" s="2" t="s">
        <v>145</v>
      </c>
      <c r="AP698" s="2" t="s">
        <v>1473</v>
      </c>
      <c r="AQ698" s="2" t="s">
        <v>137</v>
      </c>
      <c r="AR698" s="2" t="s">
        <v>81</v>
      </c>
      <c r="AS698" s="2">
        <v>191</v>
      </c>
      <c r="AT698" s="2">
        <v>9</v>
      </c>
      <c r="AU698" s="2" t="s">
        <v>505</v>
      </c>
      <c r="AV698" s="2">
        <v>99.99</v>
      </c>
      <c r="AW698" s="2">
        <v>0</v>
      </c>
      <c r="AX698" s="2" t="s">
        <v>3014</v>
      </c>
      <c r="AY698" s="2" t="s">
        <v>83</v>
      </c>
      <c r="AZ698" s="4">
        <v>42361</v>
      </c>
      <c r="BA698" s="5">
        <v>0.94236111111111109</v>
      </c>
      <c r="BB698" s="2">
        <v>2015</v>
      </c>
      <c r="BC698" s="2" t="s">
        <v>357</v>
      </c>
      <c r="BD698" s="2">
        <v>23</v>
      </c>
      <c r="BE698" s="4">
        <v>42365</v>
      </c>
      <c r="BF698" s="5">
        <v>0.94236111111111109</v>
      </c>
      <c r="BG698" s="2" t="str" cm="1">
        <f t="array" ref="BG698">_xlfn.IFS(BF698&lt;TIMEVALUE("06:00"),"Night", BF698&gt;=TIMEVALUE("21:00"),"Night",BF698&gt;=TIMEVALUE("17:00"),"Evening",BF698&gt;=TIMEVALUE("12:00"),"Afternoon", BF698&gt;=TIMEVALUE("06:00"),"Morning")</f>
        <v>Night</v>
      </c>
      <c r="BH698" s="2">
        <v>2015</v>
      </c>
      <c r="BI698" s="2" t="s">
        <v>357</v>
      </c>
      <c r="BJ698" s="2">
        <v>27</v>
      </c>
    </row>
    <row r="699" spans="1:62" x14ac:dyDescent="0.3">
      <c r="A699" s="2" t="s">
        <v>86</v>
      </c>
      <c r="B699" s="2">
        <v>6</v>
      </c>
      <c r="C699" s="2">
        <v>4</v>
      </c>
      <c r="D699" s="2">
        <v>101.24</v>
      </c>
      <c r="E699" s="2">
        <v>374.96</v>
      </c>
      <c r="F699" s="2" t="s">
        <v>129</v>
      </c>
      <c r="G699" s="2" t="s">
        <v>64</v>
      </c>
      <c r="H699" s="2">
        <v>9</v>
      </c>
      <c r="I699" s="2" t="s">
        <v>496</v>
      </c>
      <c r="J699" s="2" t="s">
        <v>66</v>
      </c>
      <c r="K699" s="2" t="s">
        <v>67</v>
      </c>
      <c r="L699" s="2" t="s">
        <v>414</v>
      </c>
      <c r="M699" s="2">
        <v>9803</v>
      </c>
      <c r="N699" s="2" t="s">
        <v>3015</v>
      </c>
      <c r="O699" s="2" t="s">
        <v>70</v>
      </c>
      <c r="P699" s="2" t="s">
        <v>71</v>
      </c>
      <c r="Q699" s="2" t="s">
        <v>3016</v>
      </c>
      <c r="R699" s="2">
        <v>725</v>
      </c>
      <c r="S699" s="2">
        <v>3</v>
      </c>
      <c r="T699" s="2" t="s">
        <v>466</v>
      </c>
      <c r="U699" s="2">
        <v>18.292558700000001</v>
      </c>
      <c r="V699" s="2">
        <v>-66.370620700000003</v>
      </c>
      <c r="W699" s="2" t="s">
        <v>74</v>
      </c>
      <c r="X699" s="2" t="s">
        <v>3017</v>
      </c>
      <c r="Y699" s="2" t="s">
        <v>1342</v>
      </c>
      <c r="Z699" s="2">
        <v>9803</v>
      </c>
      <c r="AA699" s="2" t="s">
        <v>3018</v>
      </c>
      <c r="AB699" s="2">
        <v>31145</v>
      </c>
      <c r="AC699" s="2">
        <v>191</v>
      </c>
      <c r="AD699" s="2">
        <v>124.99</v>
      </c>
      <c r="AE699" s="2">
        <v>0.25</v>
      </c>
      <c r="AF699" s="2" t="str" cm="1">
        <f t="array" ref="AF699">_xlfn.IFS(AE699=0, "No Discount ", AE699&lt;=0.08,"Low Discount", AE699&lt;=0.16,"Medium Discount", AE699&gt;0.16, "High Discount")</f>
        <v>High Discount</v>
      </c>
      <c r="AG699" s="2">
        <v>77830</v>
      </c>
      <c r="AH699" s="2">
        <v>99.99</v>
      </c>
      <c r="AI699" s="2">
        <v>0.27</v>
      </c>
      <c r="AJ699" s="2" t="str" cm="1">
        <f t="array" ref="AJ699">_xlfn.IFS(AI699&lt;=0, "No Profit", AI699&lt;=0.16,"Low Profit",AI699&lt;=0.32,"Medium Profit",AI699&gt;0.32,"High Profit")</f>
        <v>Medium Profit</v>
      </c>
      <c r="AK699" s="2">
        <v>5</v>
      </c>
      <c r="AL699" s="2">
        <v>499.95</v>
      </c>
      <c r="AM699" s="2">
        <v>374.96</v>
      </c>
      <c r="AN699" s="2">
        <v>101.24</v>
      </c>
      <c r="AO699" s="2" t="s">
        <v>118</v>
      </c>
      <c r="AP699" s="2" t="s">
        <v>3019</v>
      </c>
      <c r="AQ699" s="2" t="s">
        <v>137</v>
      </c>
      <c r="AR699" s="2" t="s">
        <v>81</v>
      </c>
      <c r="AS699" s="2">
        <v>191</v>
      </c>
      <c r="AT699" s="2">
        <v>9</v>
      </c>
      <c r="AU699" s="2" t="s">
        <v>505</v>
      </c>
      <c r="AV699" s="2">
        <v>99.99</v>
      </c>
      <c r="AW699" s="2">
        <v>0</v>
      </c>
      <c r="AX699" s="3">
        <v>42494.629861111112</v>
      </c>
      <c r="AY699" s="2" t="s">
        <v>83</v>
      </c>
      <c r="AZ699" s="4">
        <v>42459</v>
      </c>
      <c r="BA699" s="5">
        <v>0.62986111111111109</v>
      </c>
      <c r="BB699" s="2">
        <v>2016</v>
      </c>
      <c r="BC699" s="2" t="s">
        <v>85</v>
      </c>
      <c r="BD699" s="2">
        <v>30</v>
      </c>
      <c r="BE699" s="4">
        <v>42494</v>
      </c>
      <c r="BF699" s="5">
        <v>0.62986111111111109</v>
      </c>
      <c r="BG699" s="2" t="str" cm="1">
        <f t="array" ref="BG699">_xlfn.IFS(BF699&lt;TIMEVALUE("06:00"),"Night", BF699&gt;=TIMEVALUE("21:00"),"Night",BF699&gt;=TIMEVALUE("17:00"),"Evening",BF699&gt;=TIMEVALUE("12:00"),"Afternoon", BF699&gt;=TIMEVALUE("06:00"),"Morning")</f>
        <v>Afternoon</v>
      </c>
      <c r="BH699" s="2">
        <v>2016</v>
      </c>
      <c r="BI699" s="2" t="s">
        <v>443</v>
      </c>
      <c r="BJ699" s="2">
        <v>4</v>
      </c>
    </row>
    <row r="700" spans="1:62" x14ac:dyDescent="0.3">
      <c r="A700" s="2" t="s">
        <v>86</v>
      </c>
      <c r="B700" s="2">
        <v>3</v>
      </c>
      <c r="C700" s="2">
        <v>4</v>
      </c>
      <c r="D700" s="2">
        <v>13.55</v>
      </c>
      <c r="E700" s="2">
        <v>153.96</v>
      </c>
      <c r="F700" s="2" t="s">
        <v>63</v>
      </c>
      <c r="G700" s="2" t="s">
        <v>64</v>
      </c>
      <c r="H700" s="2">
        <v>3</v>
      </c>
      <c r="I700" s="2" t="s">
        <v>776</v>
      </c>
      <c r="J700" s="2" t="s">
        <v>66</v>
      </c>
      <c r="K700" s="2" t="s">
        <v>67</v>
      </c>
      <c r="L700" s="2" t="s">
        <v>642</v>
      </c>
      <c r="M700" s="2">
        <v>8422</v>
      </c>
      <c r="N700" s="2" t="s">
        <v>1071</v>
      </c>
      <c r="O700" s="2" t="s">
        <v>70</v>
      </c>
      <c r="P700" s="2" t="s">
        <v>71</v>
      </c>
      <c r="Q700" s="2" t="s">
        <v>1072</v>
      </c>
      <c r="R700" s="2">
        <v>725</v>
      </c>
      <c r="S700" s="2">
        <v>2</v>
      </c>
      <c r="T700" s="2" t="s">
        <v>73</v>
      </c>
      <c r="U700" s="2">
        <v>18.233799000000001</v>
      </c>
      <c r="V700" s="2">
        <v>-66.370567300000005</v>
      </c>
      <c r="W700" s="2" t="s">
        <v>74</v>
      </c>
      <c r="X700" s="2" t="s">
        <v>3020</v>
      </c>
      <c r="Y700" s="2" t="s">
        <v>1342</v>
      </c>
      <c r="Z700" s="2">
        <v>8422</v>
      </c>
      <c r="AA700" s="2" t="s">
        <v>3021</v>
      </c>
      <c r="AB700" s="2">
        <v>30802</v>
      </c>
      <c r="AC700" s="2">
        <v>37</v>
      </c>
      <c r="AD700" s="2">
        <v>20.99</v>
      </c>
      <c r="AE700" s="2">
        <v>0.12</v>
      </c>
      <c r="AF700" s="2" t="str" cm="1">
        <f t="array" ref="AF700">_xlfn.IFS(AE700=0, "No Discount ", AE700&lt;=0.08,"Low Discount", AE700&lt;=0.16,"Medium Discount", AE700&gt;0.16, "High Discount")</f>
        <v>Medium Discount</v>
      </c>
      <c r="AG700" s="2">
        <v>76951</v>
      </c>
      <c r="AH700" s="2">
        <v>34.99</v>
      </c>
      <c r="AI700" s="2">
        <v>0.09</v>
      </c>
      <c r="AJ700" s="2" t="str" cm="1">
        <f t="array" ref="AJ700">_xlfn.IFS(AI700&lt;=0, "No Profit", AI700&lt;=0.16,"Low Profit",AI700&lt;=0.32,"Medium Profit",AI700&gt;0.32,"High Profit")</f>
        <v>Low Profit</v>
      </c>
      <c r="AK700" s="2">
        <v>5</v>
      </c>
      <c r="AL700" s="2">
        <v>174.95</v>
      </c>
      <c r="AM700" s="2">
        <v>153.96</v>
      </c>
      <c r="AN700" s="2">
        <v>13.55</v>
      </c>
      <c r="AO700" s="2" t="s">
        <v>118</v>
      </c>
      <c r="AP700" s="2" t="s">
        <v>1344</v>
      </c>
      <c r="AQ700" s="2" t="s">
        <v>97</v>
      </c>
      <c r="AR700" s="2" t="s">
        <v>81</v>
      </c>
      <c r="AS700" s="2">
        <v>37</v>
      </c>
      <c r="AT700" s="2">
        <v>3</v>
      </c>
      <c r="AU700" s="2" t="s">
        <v>3022</v>
      </c>
      <c r="AV700" s="2">
        <v>34.99</v>
      </c>
      <c r="AW700" s="2">
        <v>0</v>
      </c>
      <c r="AX700" s="2" t="s">
        <v>3023</v>
      </c>
      <c r="AY700" s="2" t="s">
        <v>83</v>
      </c>
      <c r="AZ700" s="4">
        <v>42454</v>
      </c>
      <c r="BA700" s="5">
        <v>0.62291666666666667</v>
      </c>
      <c r="BB700" s="2">
        <v>2016</v>
      </c>
      <c r="BC700" s="2" t="s">
        <v>85</v>
      </c>
      <c r="BD700" s="2">
        <v>25</v>
      </c>
      <c r="BE700" s="4">
        <v>42457</v>
      </c>
      <c r="BF700" s="5">
        <v>0.62291666666666667</v>
      </c>
      <c r="BG700" s="2" t="str" cm="1">
        <f t="array" ref="BG700">_xlfn.IFS(BF700&lt;TIMEVALUE("06:00"),"Night", BF700&gt;=TIMEVALUE("21:00"),"Night",BF700&gt;=TIMEVALUE("17:00"),"Evening",BF700&gt;=TIMEVALUE("12:00"),"Afternoon", BF700&gt;=TIMEVALUE("06:00"),"Morning")</f>
        <v>Afternoon</v>
      </c>
      <c r="BH700" s="2">
        <v>2016</v>
      </c>
      <c r="BI700" s="2" t="s">
        <v>85</v>
      </c>
      <c r="BJ700" s="2">
        <v>28</v>
      </c>
    </row>
    <row r="701" spans="1:62" x14ac:dyDescent="0.3">
      <c r="A701" s="2" t="s">
        <v>86</v>
      </c>
      <c r="B701" s="2">
        <v>6</v>
      </c>
      <c r="C701" s="2">
        <v>4</v>
      </c>
      <c r="D701" s="2">
        <v>47.99</v>
      </c>
      <c r="E701" s="2">
        <v>159.94999999999999</v>
      </c>
      <c r="F701" s="2" t="s">
        <v>87</v>
      </c>
      <c r="G701" s="2" t="s">
        <v>88</v>
      </c>
      <c r="H701" s="2">
        <v>13</v>
      </c>
      <c r="I701" s="2" t="s">
        <v>464</v>
      </c>
      <c r="J701" s="2" t="s">
        <v>66</v>
      </c>
      <c r="K701" s="2" t="s">
        <v>67</v>
      </c>
      <c r="L701" s="2" t="s">
        <v>414</v>
      </c>
      <c r="M701" s="2">
        <v>7391</v>
      </c>
      <c r="N701" s="2" t="s">
        <v>2056</v>
      </c>
      <c r="O701" s="2" t="s">
        <v>70</v>
      </c>
      <c r="P701" s="2" t="s">
        <v>71</v>
      </c>
      <c r="Q701" s="2" t="s">
        <v>3024</v>
      </c>
      <c r="R701" s="2">
        <v>725</v>
      </c>
      <c r="S701" s="2">
        <v>3</v>
      </c>
      <c r="T701" s="2" t="s">
        <v>466</v>
      </c>
      <c r="U701" s="2">
        <v>18.2848091</v>
      </c>
      <c r="V701" s="2">
        <v>-66.3706131</v>
      </c>
      <c r="W701" s="2" t="s">
        <v>74</v>
      </c>
      <c r="X701" s="2" t="s">
        <v>3025</v>
      </c>
      <c r="Y701" s="2" t="s">
        <v>143</v>
      </c>
      <c r="Z701" s="2">
        <v>7391</v>
      </c>
      <c r="AA701" s="2" t="s">
        <v>3026</v>
      </c>
      <c r="AB701" s="2">
        <v>25875</v>
      </c>
      <c r="AC701" s="2">
        <v>282</v>
      </c>
      <c r="AD701" s="2">
        <v>0</v>
      </c>
      <c r="AE701" s="2">
        <v>0</v>
      </c>
      <c r="AF701" s="2" t="str" cm="1">
        <f t="array" ref="AF701">_xlfn.IFS(AE701=0, "No Discount ", AE701&lt;=0.08,"Low Discount", AE701&lt;=0.16,"Medium Discount", AE701&gt;0.16, "High Discount")</f>
        <v xml:space="preserve">No Discount </v>
      </c>
      <c r="AG701" s="2">
        <v>64767</v>
      </c>
      <c r="AH701" s="2">
        <v>31.99</v>
      </c>
      <c r="AI701" s="2">
        <v>0.3</v>
      </c>
      <c r="AJ701" s="2" t="str" cm="1">
        <f t="array" ref="AJ701">_xlfn.IFS(AI701&lt;=0, "No Profit", AI701&lt;=0.16,"Low Profit",AI701&lt;=0.32,"Medium Profit",AI701&gt;0.32,"High Profit")</f>
        <v>Medium Profit</v>
      </c>
      <c r="AK701" s="2">
        <v>5</v>
      </c>
      <c r="AL701" s="2">
        <v>159.94999999999999</v>
      </c>
      <c r="AM701" s="2">
        <v>159.94999999999999</v>
      </c>
      <c r="AN701" s="2">
        <v>47.99</v>
      </c>
      <c r="AO701" s="2" t="s">
        <v>145</v>
      </c>
      <c r="AP701" s="2" t="s">
        <v>1566</v>
      </c>
      <c r="AQ701" s="2" t="s">
        <v>97</v>
      </c>
      <c r="AR701" s="2" t="s">
        <v>81</v>
      </c>
      <c r="AS701" s="2">
        <v>282</v>
      </c>
      <c r="AT701" s="2">
        <v>13</v>
      </c>
      <c r="AU701" s="2" t="s">
        <v>1757</v>
      </c>
      <c r="AV701" s="2">
        <v>31.99</v>
      </c>
      <c r="AW701" s="2">
        <v>0</v>
      </c>
      <c r="AX701" s="2" t="s">
        <v>3027</v>
      </c>
      <c r="AY701" s="2" t="s">
        <v>83</v>
      </c>
      <c r="AZ701" s="4">
        <v>42382</v>
      </c>
      <c r="BA701" s="5">
        <v>0.7</v>
      </c>
      <c r="BB701" s="2">
        <v>2016</v>
      </c>
      <c r="BC701" s="2" t="s">
        <v>84</v>
      </c>
      <c r="BD701" s="2">
        <v>13</v>
      </c>
      <c r="BE701" s="4">
        <v>42388</v>
      </c>
      <c r="BF701" s="5">
        <v>0.7</v>
      </c>
      <c r="BG701" s="2" t="str" cm="1">
        <f t="array" ref="BG701">_xlfn.IFS(BF701&lt;TIMEVALUE("06:00"),"Night", BF701&gt;=TIMEVALUE("21:00"),"Night",BF701&gt;=TIMEVALUE("17:00"),"Evening",BF701&gt;=TIMEVALUE("12:00"),"Afternoon", BF701&gt;=TIMEVALUE("06:00"),"Morning")</f>
        <v>Afternoon</v>
      </c>
      <c r="BH701" s="2">
        <v>2016</v>
      </c>
      <c r="BI701" s="2" t="s">
        <v>84</v>
      </c>
      <c r="BJ701" s="2">
        <v>19</v>
      </c>
    </row>
    <row r="702" spans="1:62" x14ac:dyDescent="0.3">
      <c r="A702" s="2" t="s">
        <v>86</v>
      </c>
      <c r="B702" s="2">
        <v>5</v>
      </c>
      <c r="C702" s="2">
        <v>4</v>
      </c>
      <c r="D702" s="2">
        <v>-34.950000000000003</v>
      </c>
      <c r="E702" s="2">
        <v>150</v>
      </c>
      <c r="F702" s="2" t="s">
        <v>87</v>
      </c>
      <c r="G702" s="2" t="s">
        <v>88</v>
      </c>
      <c r="H702" s="2">
        <v>9</v>
      </c>
      <c r="I702" s="2" t="s">
        <v>496</v>
      </c>
      <c r="J702" s="2" t="s">
        <v>66</v>
      </c>
      <c r="K702" s="2" t="s">
        <v>67</v>
      </c>
      <c r="L702" s="2" t="s">
        <v>414</v>
      </c>
      <c r="M702" s="2">
        <v>11426</v>
      </c>
      <c r="N702" s="2" t="s">
        <v>425</v>
      </c>
      <c r="O702" s="2" t="s">
        <v>70</v>
      </c>
      <c r="P702" s="2" t="s">
        <v>71</v>
      </c>
      <c r="Q702" s="2" t="s">
        <v>3028</v>
      </c>
      <c r="R702" s="2">
        <v>725</v>
      </c>
      <c r="S702" s="2">
        <v>3</v>
      </c>
      <c r="T702" s="2" t="s">
        <v>466</v>
      </c>
      <c r="U702" s="2">
        <v>18.264800999999999</v>
      </c>
      <c r="V702" s="2">
        <v>-66.370575000000002</v>
      </c>
      <c r="W702" s="2" t="s">
        <v>74</v>
      </c>
      <c r="X702" s="2" t="s">
        <v>3029</v>
      </c>
      <c r="Y702" s="2" t="s">
        <v>116</v>
      </c>
      <c r="Z702" s="2">
        <v>11426</v>
      </c>
      <c r="AA702" s="2" t="s">
        <v>3030</v>
      </c>
      <c r="AB702" s="2">
        <v>30589</v>
      </c>
      <c r="AC702" s="2">
        <v>172</v>
      </c>
      <c r="AD702" s="2">
        <v>0</v>
      </c>
      <c r="AE702" s="2">
        <v>0</v>
      </c>
      <c r="AF702" s="2" t="str" cm="1">
        <f t="array" ref="AF702">_xlfn.IFS(AE702=0, "No Discount ", AE702&lt;=0.08,"Low Discount", AE702&lt;=0.16,"Medium Discount", AE702&gt;0.16, "High Discount")</f>
        <v xml:space="preserve">No Discount </v>
      </c>
      <c r="AG702" s="2">
        <v>76457</v>
      </c>
      <c r="AH702" s="2">
        <v>30</v>
      </c>
      <c r="AI702" s="2">
        <v>-0.23</v>
      </c>
      <c r="AJ702" s="2" t="str" cm="1">
        <f t="array" ref="AJ702">_xlfn.IFS(AI702&lt;=0, "No Profit", AI702&lt;=0.16,"Low Profit",AI702&lt;=0.32,"Medium Profit",AI702&gt;0.32,"High Profit")</f>
        <v>No Profit</v>
      </c>
      <c r="AK702" s="2">
        <v>5</v>
      </c>
      <c r="AL702" s="2">
        <v>150</v>
      </c>
      <c r="AM702" s="2">
        <v>150</v>
      </c>
      <c r="AN702" s="2">
        <v>-34.950000000000003</v>
      </c>
      <c r="AO702" s="2" t="s">
        <v>118</v>
      </c>
      <c r="AP702" s="2" t="s">
        <v>355</v>
      </c>
      <c r="AQ702" s="2" t="s">
        <v>97</v>
      </c>
      <c r="AR702" s="2" t="s">
        <v>81</v>
      </c>
      <c r="AS702" s="2">
        <v>172</v>
      </c>
      <c r="AT702" s="2">
        <v>9</v>
      </c>
      <c r="AU702" s="2" t="s">
        <v>3031</v>
      </c>
      <c r="AV702" s="2">
        <v>30</v>
      </c>
      <c r="AW702" s="2">
        <v>0</v>
      </c>
      <c r="AX702" s="2" t="s">
        <v>3032</v>
      </c>
      <c r="AY702" s="2" t="s">
        <v>83</v>
      </c>
      <c r="AZ702" s="4">
        <v>42451</v>
      </c>
      <c r="BA702" s="5">
        <v>0.51388888888888884</v>
      </c>
      <c r="BB702" s="2">
        <v>2016</v>
      </c>
      <c r="BC702" s="2" t="s">
        <v>85</v>
      </c>
      <c r="BD702" s="2">
        <v>22</v>
      </c>
      <c r="BE702" s="4">
        <v>42456</v>
      </c>
      <c r="BF702" s="5">
        <v>0.51388888888888884</v>
      </c>
      <c r="BG702" s="2" t="str" cm="1">
        <f t="array" ref="BG702">_xlfn.IFS(BF702&lt;TIMEVALUE("06:00"),"Night", BF702&gt;=TIMEVALUE("21:00"),"Night",BF702&gt;=TIMEVALUE("17:00"),"Evening",BF702&gt;=TIMEVALUE("12:00"),"Afternoon", BF702&gt;=TIMEVALUE("06:00"),"Morning")</f>
        <v>Afternoon</v>
      </c>
      <c r="BH702" s="2">
        <v>2016</v>
      </c>
      <c r="BI702" s="2" t="s">
        <v>85</v>
      </c>
      <c r="BJ702" s="2">
        <v>27</v>
      </c>
    </row>
    <row r="703" spans="1:62" x14ac:dyDescent="0.3">
      <c r="A703" s="2" t="s">
        <v>86</v>
      </c>
      <c r="B703" s="2">
        <v>2</v>
      </c>
      <c r="C703" s="2">
        <v>4</v>
      </c>
      <c r="D703" s="2">
        <v>151.97999999999999</v>
      </c>
      <c r="E703" s="2">
        <v>474.95</v>
      </c>
      <c r="F703" s="2" t="s">
        <v>63</v>
      </c>
      <c r="G703" s="2" t="s">
        <v>64</v>
      </c>
      <c r="H703" s="2">
        <v>9</v>
      </c>
      <c r="I703" s="2" t="s">
        <v>496</v>
      </c>
      <c r="J703" s="2" t="s">
        <v>66</v>
      </c>
      <c r="K703" s="2" t="s">
        <v>67</v>
      </c>
      <c r="L703" s="2" t="s">
        <v>414</v>
      </c>
      <c r="M703" s="2">
        <v>11664</v>
      </c>
      <c r="N703" s="2" t="s">
        <v>425</v>
      </c>
      <c r="O703" s="2" t="s">
        <v>70</v>
      </c>
      <c r="P703" s="2" t="s">
        <v>71</v>
      </c>
      <c r="Q703" s="2" t="s">
        <v>1541</v>
      </c>
      <c r="R703" s="2">
        <v>725</v>
      </c>
      <c r="S703" s="2">
        <v>3</v>
      </c>
      <c r="T703" s="2" t="s">
        <v>466</v>
      </c>
      <c r="U703" s="2">
        <v>18.283336599999998</v>
      </c>
      <c r="V703" s="2">
        <v>-66.370536799999996</v>
      </c>
      <c r="W703" s="2" t="s">
        <v>74</v>
      </c>
      <c r="X703" s="2" t="s">
        <v>1442</v>
      </c>
      <c r="Y703" s="2" t="s">
        <v>1443</v>
      </c>
      <c r="Z703" s="2">
        <v>11664</v>
      </c>
      <c r="AA703" s="3">
        <v>42046.529166666667</v>
      </c>
      <c r="AB703" s="2">
        <v>20931</v>
      </c>
      <c r="AC703" s="2">
        <v>191</v>
      </c>
      <c r="AD703" s="2">
        <v>25</v>
      </c>
      <c r="AE703" s="2">
        <v>0.05</v>
      </c>
      <c r="AF703" s="2" t="str" cm="1">
        <f t="array" ref="AF703">_xlfn.IFS(AE703=0, "No Discount ", AE703&lt;=0.08,"Low Discount", AE703&lt;=0.16,"Medium Discount", AE703&gt;0.16, "High Discount")</f>
        <v>Low Discount</v>
      </c>
      <c r="AG703" s="2">
        <v>52295</v>
      </c>
      <c r="AH703" s="2">
        <v>99.99</v>
      </c>
      <c r="AI703" s="2">
        <v>0.32</v>
      </c>
      <c r="AJ703" s="2" t="str" cm="1">
        <f t="array" ref="AJ703">_xlfn.IFS(AI703&lt;=0, "No Profit", AI703&lt;=0.16,"Low Profit",AI703&lt;=0.32,"Medium Profit",AI703&gt;0.32,"High Profit")</f>
        <v>Medium Profit</v>
      </c>
      <c r="AK703" s="2">
        <v>5</v>
      </c>
      <c r="AL703" s="2">
        <v>499.95</v>
      </c>
      <c r="AM703" s="2">
        <v>474.95</v>
      </c>
      <c r="AN703" s="2">
        <v>151.97999999999999</v>
      </c>
      <c r="AO703" s="2" t="s">
        <v>78</v>
      </c>
      <c r="AP703" s="2" t="s">
        <v>1445</v>
      </c>
      <c r="AQ703" s="2" t="s">
        <v>97</v>
      </c>
      <c r="AR703" s="2" t="s">
        <v>81</v>
      </c>
      <c r="AS703" s="2">
        <v>191</v>
      </c>
      <c r="AT703" s="2">
        <v>9</v>
      </c>
      <c r="AU703" s="2" t="s">
        <v>505</v>
      </c>
      <c r="AV703" s="2">
        <v>99.99</v>
      </c>
      <c r="AW703" s="2">
        <v>0</v>
      </c>
      <c r="AX703" s="3">
        <v>42105.529166666667</v>
      </c>
      <c r="AY703" s="2" t="s">
        <v>83</v>
      </c>
      <c r="AZ703" s="4">
        <v>42046</v>
      </c>
      <c r="BA703" s="5">
        <v>0.52916666666666667</v>
      </c>
      <c r="BB703" s="2">
        <v>2015</v>
      </c>
      <c r="BC703" s="2" t="s">
        <v>423</v>
      </c>
      <c r="BD703" s="2">
        <v>11</v>
      </c>
      <c r="BE703" s="4">
        <v>42105</v>
      </c>
      <c r="BF703" s="5">
        <v>0.52916666666666667</v>
      </c>
      <c r="BG703" s="2" t="str" cm="1">
        <f t="array" ref="BG703">_xlfn.IFS(BF703&lt;TIMEVALUE("06:00"),"Night", BF703&gt;=TIMEVALUE("21:00"),"Night",BF703&gt;=TIMEVALUE("17:00"),"Evening",BF703&gt;=TIMEVALUE("12:00"),"Afternoon", BF703&gt;=TIMEVALUE("06:00"),"Morning")</f>
        <v>Afternoon</v>
      </c>
      <c r="BH703" s="2">
        <v>2015</v>
      </c>
      <c r="BI703" s="2" t="s">
        <v>487</v>
      </c>
      <c r="BJ703" s="2">
        <v>11</v>
      </c>
    </row>
    <row r="704" spans="1:62" x14ac:dyDescent="0.3">
      <c r="A704" s="2" t="s">
        <v>86</v>
      </c>
      <c r="B704" s="2">
        <v>2</v>
      </c>
      <c r="C704" s="2">
        <v>4</v>
      </c>
      <c r="D704" s="2">
        <v>-283.47000000000003</v>
      </c>
      <c r="E704" s="2">
        <v>472.45</v>
      </c>
      <c r="F704" s="2" t="s">
        <v>63</v>
      </c>
      <c r="G704" s="2" t="s">
        <v>64</v>
      </c>
      <c r="H704" s="2">
        <v>9</v>
      </c>
      <c r="I704" s="2" t="s">
        <v>496</v>
      </c>
      <c r="J704" s="2" t="s">
        <v>66</v>
      </c>
      <c r="K704" s="2" t="s">
        <v>67</v>
      </c>
      <c r="L704" s="2" t="s">
        <v>414</v>
      </c>
      <c r="M704" s="2">
        <v>5339</v>
      </c>
      <c r="N704" s="2" t="s">
        <v>3033</v>
      </c>
      <c r="O704" s="2" t="s">
        <v>70</v>
      </c>
      <c r="P704" s="2" t="s">
        <v>71</v>
      </c>
      <c r="Q704" s="2" t="s">
        <v>3034</v>
      </c>
      <c r="R704" s="2">
        <v>725</v>
      </c>
      <c r="S704" s="2">
        <v>3</v>
      </c>
      <c r="T704" s="2" t="s">
        <v>466</v>
      </c>
      <c r="U704" s="2">
        <v>18.209884599999999</v>
      </c>
      <c r="V704" s="2">
        <v>-66.370620700000003</v>
      </c>
      <c r="W704" s="2" t="s">
        <v>74</v>
      </c>
      <c r="X704" s="2" t="s">
        <v>1383</v>
      </c>
      <c r="Y704" s="2" t="s">
        <v>1384</v>
      </c>
      <c r="Z704" s="2">
        <v>5339</v>
      </c>
      <c r="AA704" s="2" t="s">
        <v>3035</v>
      </c>
      <c r="AB704" s="2">
        <v>45646</v>
      </c>
      <c r="AC704" s="2">
        <v>191</v>
      </c>
      <c r="AD704" s="2">
        <v>27.5</v>
      </c>
      <c r="AE704" s="2">
        <v>0.06</v>
      </c>
      <c r="AF704" s="2" t="str" cm="1">
        <f t="array" ref="AF704">_xlfn.IFS(AE704=0, "No Discount ", AE704&lt;=0.08,"Low Discount", AE704&lt;=0.16,"Medium Discount", AE704&gt;0.16, "High Discount")</f>
        <v>Low Discount</v>
      </c>
      <c r="AG704" s="2">
        <v>114090</v>
      </c>
      <c r="AH704" s="2">
        <v>99.99</v>
      </c>
      <c r="AI704" s="2">
        <v>-0.6</v>
      </c>
      <c r="AJ704" s="2" t="str" cm="1">
        <f t="array" ref="AJ704">_xlfn.IFS(AI704&lt;=0, "No Profit", AI704&lt;=0.16,"Low Profit",AI704&lt;=0.32,"Medium Profit",AI704&gt;0.32,"High Profit")</f>
        <v>No Profit</v>
      </c>
      <c r="AK704" s="2">
        <v>5</v>
      </c>
      <c r="AL704" s="2">
        <v>499.95</v>
      </c>
      <c r="AM704" s="2">
        <v>472.45</v>
      </c>
      <c r="AN704" s="2">
        <v>-283.47000000000003</v>
      </c>
      <c r="AO704" s="2" t="s">
        <v>431</v>
      </c>
      <c r="AP704" s="2" t="s">
        <v>1383</v>
      </c>
      <c r="AQ704" s="2" t="s">
        <v>97</v>
      </c>
      <c r="AR704" s="2" t="s">
        <v>81</v>
      </c>
      <c r="AS704" s="2">
        <v>191</v>
      </c>
      <c r="AT704" s="2">
        <v>9</v>
      </c>
      <c r="AU704" s="2" t="s">
        <v>505</v>
      </c>
      <c r="AV704" s="2">
        <v>99.99</v>
      </c>
      <c r="AW704" s="2">
        <v>0</v>
      </c>
      <c r="AX704" s="2" t="s">
        <v>3036</v>
      </c>
      <c r="AY704" s="2" t="s">
        <v>83</v>
      </c>
      <c r="AZ704" s="4">
        <v>42671</v>
      </c>
      <c r="BA704" s="5">
        <v>0.31111111111111112</v>
      </c>
      <c r="BB704" s="2">
        <v>2016</v>
      </c>
      <c r="BC704" s="2" t="s">
        <v>434</v>
      </c>
      <c r="BD704" s="2">
        <v>28</v>
      </c>
      <c r="BE704" s="4">
        <v>42673</v>
      </c>
      <c r="BF704" s="5">
        <v>0.31111111111111112</v>
      </c>
      <c r="BG704" s="2" t="str" cm="1">
        <f t="array" ref="BG704">_xlfn.IFS(BF704&lt;TIMEVALUE("06:00"),"Night", BF704&gt;=TIMEVALUE("21:00"),"Night",BF704&gt;=TIMEVALUE("17:00"),"Evening",BF704&gt;=TIMEVALUE("12:00"),"Afternoon", BF704&gt;=TIMEVALUE("06:00"),"Morning")</f>
        <v>Morning</v>
      </c>
      <c r="BH704" s="2">
        <v>2016</v>
      </c>
      <c r="BI704" s="2" t="s">
        <v>434</v>
      </c>
      <c r="BJ704" s="2">
        <v>30</v>
      </c>
    </row>
    <row r="705" spans="1:62" x14ac:dyDescent="0.3">
      <c r="A705" s="2" t="s">
        <v>86</v>
      </c>
      <c r="B705" s="2">
        <v>2</v>
      </c>
      <c r="C705" s="2">
        <v>4</v>
      </c>
      <c r="D705" s="2">
        <v>145.53</v>
      </c>
      <c r="E705" s="2">
        <v>464.95</v>
      </c>
      <c r="F705" s="2" t="s">
        <v>63</v>
      </c>
      <c r="G705" s="2" t="s">
        <v>64</v>
      </c>
      <c r="H705" s="2">
        <v>9</v>
      </c>
      <c r="I705" s="2" t="s">
        <v>496</v>
      </c>
      <c r="J705" s="2" t="s">
        <v>66</v>
      </c>
      <c r="K705" s="2" t="s">
        <v>67</v>
      </c>
      <c r="L705" s="2" t="s">
        <v>1652</v>
      </c>
      <c r="M705" s="2">
        <v>3204</v>
      </c>
      <c r="N705" s="2" t="s">
        <v>425</v>
      </c>
      <c r="O705" s="2" t="s">
        <v>70</v>
      </c>
      <c r="P705" s="2" t="s">
        <v>71</v>
      </c>
      <c r="Q705" s="2" t="s">
        <v>3037</v>
      </c>
      <c r="R705" s="2">
        <v>725</v>
      </c>
      <c r="S705" s="2">
        <v>3</v>
      </c>
      <c r="T705" s="2" t="s">
        <v>466</v>
      </c>
      <c r="U705" s="2">
        <v>18.270769099999999</v>
      </c>
      <c r="V705" s="2">
        <v>-66.370628400000001</v>
      </c>
      <c r="W705" s="2" t="s">
        <v>74</v>
      </c>
      <c r="X705" s="2" t="s">
        <v>3038</v>
      </c>
      <c r="Y705" s="2" t="s">
        <v>1443</v>
      </c>
      <c r="Z705" s="2">
        <v>3204</v>
      </c>
      <c r="AA705" s="3">
        <v>42616.988888888889</v>
      </c>
      <c r="AB705" s="2">
        <v>29731</v>
      </c>
      <c r="AC705" s="2">
        <v>191</v>
      </c>
      <c r="AD705" s="2">
        <v>35</v>
      </c>
      <c r="AE705" s="2">
        <v>7.0000000000000007E-2</v>
      </c>
      <c r="AF705" s="2" t="str" cm="1">
        <f t="array" ref="AF705">_xlfn.IFS(AE705=0, "No Discount ", AE705&lt;=0.08,"Low Discount", AE705&lt;=0.16,"Medium Discount", AE705&gt;0.16, "High Discount")</f>
        <v>Low Discount</v>
      </c>
      <c r="AG705" s="2">
        <v>74379</v>
      </c>
      <c r="AH705" s="2">
        <v>99.99</v>
      </c>
      <c r="AI705" s="2">
        <v>0.31</v>
      </c>
      <c r="AJ705" s="2" t="str" cm="1">
        <f t="array" ref="AJ705">_xlfn.IFS(AI705&lt;=0, "No Profit", AI705&lt;=0.16,"Low Profit",AI705&lt;=0.32,"Medium Profit",AI705&gt;0.32,"High Profit")</f>
        <v>Medium Profit</v>
      </c>
      <c r="AK705" s="2">
        <v>5</v>
      </c>
      <c r="AL705" s="2">
        <v>499.95</v>
      </c>
      <c r="AM705" s="2">
        <v>464.95</v>
      </c>
      <c r="AN705" s="2">
        <v>145.53</v>
      </c>
      <c r="AO705" s="2" t="s">
        <v>78</v>
      </c>
      <c r="AP705" s="2" t="s">
        <v>1445</v>
      </c>
      <c r="AQ705" s="2" t="s">
        <v>97</v>
      </c>
      <c r="AR705" s="2" t="s">
        <v>81</v>
      </c>
      <c r="AS705" s="2">
        <v>191</v>
      </c>
      <c r="AT705" s="2">
        <v>9</v>
      </c>
      <c r="AU705" s="2" t="s">
        <v>505</v>
      </c>
      <c r="AV705" s="2">
        <v>99.99</v>
      </c>
      <c r="AW705" s="2">
        <v>0</v>
      </c>
      <c r="AX705" s="3">
        <v>42677.988888888889</v>
      </c>
      <c r="AY705" s="2" t="s">
        <v>83</v>
      </c>
      <c r="AZ705" s="4">
        <v>42616</v>
      </c>
      <c r="BA705" s="5">
        <v>0.98888888888888893</v>
      </c>
      <c r="BB705" s="2">
        <v>2016</v>
      </c>
      <c r="BC705" s="2" t="s">
        <v>552</v>
      </c>
      <c r="BD705" s="2">
        <v>3</v>
      </c>
      <c r="BE705" s="4">
        <v>42677</v>
      </c>
      <c r="BF705" s="5">
        <v>0.98888888888888893</v>
      </c>
      <c r="BG705" s="2" t="str" cm="1">
        <f t="array" ref="BG705">_xlfn.IFS(BF705&lt;TIMEVALUE("06:00"),"Night", BF705&gt;=TIMEVALUE("21:00"),"Night",BF705&gt;=TIMEVALUE("17:00"),"Evening",BF705&gt;=TIMEVALUE("12:00"),"Afternoon", BF705&gt;=TIMEVALUE("06:00"),"Morning")</f>
        <v>Night</v>
      </c>
      <c r="BH705" s="2">
        <v>2016</v>
      </c>
      <c r="BI705" s="2" t="s">
        <v>455</v>
      </c>
      <c r="BJ705" s="2">
        <v>3</v>
      </c>
    </row>
    <row r="706" spans="1:62" x14ac:dyDescent="0.3">
      <c r="A706" s="2" t="s">
        <v>86</v>
      </c>
      <c r="B706" s="2">
        <v>3</v>
      </c>
      <c r="C706" s="2">
        <v>4</v>
      </c>
      <c r="D706" s="2">
        <v>-790.42</v>
      </c>
      <c r="E706" s="2">
        <v>464.95</v>
      </c>
      <c r="F706" s="2" t="s">
        <v>63</v>
      </c>
      <c r="G706" s="2" t="s">
        <v>64</v>
      </c>
      <c r="H706" s="2">
        <v>9</v>
      </c>
      <c r="I706" s="2" t="s">
        <v>496</v>
      </c>
      <c r="J706" s="2" t="s">
        <v>66</v>
      </c>
      <c r="K706" s="2" t="s">
        <v>67</v>
      </c>
      <c r="L706" s="2" t="s">
        <v>415</v>
      </c>
      <c r="M706" s="2">
        <v>4438</v>
      </c>
      <c r="N706" s="2" t="s">
        <v>3039</v>
      </c>
      <c r="O706" s="2" t="s">
        <v>70</v>
      </c>
      <c r="P706" s="2" t="s">
        <v>71</v>
      </c>
      <c r="Q706" s="2" t="s">
        <v>272</v>
      </c>
      <c r="R706" s="2">
        <v>725</v>
      </c>
      <c r="S706" s="2">
        <v>3</v>
      </c>
      <c r="T706" s="2" t="s">
        <v>466</v>
      </c>
      <c r="U706" s="2">
        <v>18.227254899999998</v>
      </c>
      <c r="V706" s="2">
        <v>-66.370636000000005</v>
      </c>
      <c r="W706" s="2" t="s">
        <v>74</v>
      </c>
      <c r="X706" s="2" t="s">
        <v>1450</v>
      </c>
      <c r="Y706" s="2" t="s">
        <v>429</v>
      </c>
      <c r="Z706" s="2">
        <v>4438</v>
      </c>
      <c r="AA706" s="2" t="s">
        <v>3040</v>
      </c>
      <c r="AB706" s="2">
        <v>42777</v>
      </c>
      <c r="AC706" s="2">
        <v>191</v>
      </c>
      <c r="AD706" s="2">
        <v>35</v>
      </c>
      <c r="AE706" s="2">
        <v>7.0000000000000007E-2</v>
      </c>
      <c r="AF706" s="2" t="str" cm="1">
        <f t="array" ref="AF706">_xlfn.IFS(AE706=0, "No Discount ", AE706&lt;=0.08,"Low Discount", AE706&lt;=0.16,"Medium Discount", AE706&gt;0.16, "High Discount")</f>
        <v>Low Discount</v>
      </c>
      <c r="AG706" s="2">
        <v>106778</v>
      </c>
      <c r="AH706" s="2">
        <v>99.99</v>
      </c>
      <c r="AI706" s="2">
        <v>-1.7</v>
      </c>
      <c r="AJ706" s="2" t="str" cm="1">
        <f t="array" ref="AJ706">_xlfn.IFS(AI706&lt;=0, "No Profit", AI706&lt;=0.16,"Low Profit",AI706&lt;=0.32,"Medium Profit",AI706&gt;0.32,"High Profit")</f>
        <v>No Profit</v>
      </c>
      <c r="AK706" s="2">
        <v>5</v>
      </c>
      <c r="AL706" s="2">
        <v>499.95</v>
      </c>
      <c r="AM706" s="2">
        <v>464.95</v>
      </c>
      <c r="AN706" s="2">
        <v>-790.42</v>
      </c>
      <c r="AO706" s="2" t="s">
        <v>431</v>
      </c>
      <c r="AP706" s="2" t="s">
        <v>1450</v>
      </c>
      <c r="AQ706" s="2" t="s">
        <v>97</v>
      </c>
      <c r="AR706" s="2" t="s">
        <v>81</v>
      </c>
      <c r="AS706" s="2">
        <v>191</v>
      </c>
      <c r="AT706" s="2">
        <v>9</v>
      </c>
      <c r="AU706" s="2" t="s">
        <v>505</v>
      </c>
      <c r="AV706" s="2">
        <v>99.99</v>
      </c>
      <c r="AW706" s="2">
        <v>0</v>
      </c>
      <c r="AX706" s="2" t="s">
        <v>3041</v>
      </c>
      <c r="AY706" s="2" t="s">
        <v>83</v>
      </c>
      <c r="AZ706" s="4">
        <v>42629</v>
      </c>
      <c r="BA706" s="5">
        <v>0.43055555555555558</v>
      </c>
      <c r="BB706" s="2">
        <v>2016</v>
      </c>
      <c r="BC706" s="2" t="s">
        <v>552</v>
      </c>
      <c r="BD706" s="2">
        <v>16</v>
      </c>
      <c r="BE706" s="4">
        <v>42632</v>
      </c>
      <c r="BF706" s="5">
        <v>0.43055555555555558</v>
      </c>
      <c r="BG706" s="2" t="str" cm="1">
        <f t="array" ref="BG706">_xlfn.IFS(BF706&lt;TIMEVALUE("06:00"),"Night", BF706&gt;=TIMEVALUE("21:00"),"Night",BF706&gt;=TIMEVALUE("17:00"),"Evening",BF706&gt;=TIMEVALUE("12:00"),"Afternoon", BF706&gt;=TIMEVALUE("06:00"),"Morning")</f>
        <v>Morning</v>
      </c>
      <c r="BH706" s="2">
        <v>2016</v>
      </c>
      <c r="BI706" s="2" t="s">
        <v>552</v>
      </c>
      <c r="BJ706" s="2">
        <v>19</v>
      </c>
    </row>
    <row r="707" spans="1:62" x14ac:dyDescent="0.3">
      <c r="A707" s="2" t="s">
        <v>86</v>
      </c>
      <c r="B707" s="2">
        <v>2</v>
      </c>
      <c r="C707" s="2">
        <v>4</v>
      </c>
      <c r="D707" s="2">
        <v>207.48</v>
      </c>
      <c r="E707" s="2">
        <v>414.96</v>
      </c>
      <c r="F707" s="2" t="s">
        <v>63</v>
      </c>
      <c r="G707" s="2" t="s">
        <v>64</v>
      </c>
      <c r="H707" s="2">
        <v>9</v>
      </c>
      <c r="I707" s="2" t="s">
        <v>496</v>
      </c>
      <c r="J707" s="2" t="s">
        <v>66</v>
      </c>
      <c r="K707" s="2" t="s">
        <v>67</v>
      </c>
      <c r="L707" s="2" t="s">
        <v>414</v>
      </c>
      <c r="M707" s="2">
        <v>5243</v>
      </c>
      <c r="N707" s="2" t="s">
        <v>425</v>
      </c>
      <c r="O707" s="2" t="s">
        <v>70</v>
      </c>
      <c r="P707" s="2" t="s">
        <v>71</v>
      </c>
      <c r="Q707" s="2" t="s">
        <v>2952</v>
      </c>
      <c r="R707" s="2">
        <v>725</v>
      </c>
      <c r="S707" s="2">
        <v>3</v>
      </c>
      <c r="T707" s="2" t="s">
        <v>466</v>
      </c>
      <c r="U707" s="2">
        <v>18.2097035</v>
      </c>
      <c r="V707" s="2">
        <v>-66.370590199999995</v>
      </c>
      <c r="W707" s="2" t="s">
        <v>74</v>
      </c>
      <c r="X707" s="2" t="s">
        <v>3042</v>
      </c>
      <c r="Y707" s="2" t="s">
        <v>1443</v>
      </c>
      <c r="Z707" s="2">
        <v>5243</v>
      </c>
      <c r="AA707" s="2" t="s">
        <v>3043</v>
      </c>
      <c r="AB707" s="2">
        <v>23886</v>
      </c>
      <c r="AC707" s="2">
        <v>191</v>
      </c>
      <c r="AD707" s="2">
        <v>84.99</v>
      </c>
      <c r="AE707" s="2">
        <v>0.17</v>
      </c>
      <c r="AF707" s="2" t="str" cm="1">
        <f t="array" ref="AF707">_xlfn.IFS(AE707=0, "No Discount ", AE707&lt;=0.08,"Low Discount", AE707&lt;=0.16,"Medium Discount", AE707&gt;0.16, "High Discount")</f>
        <v>High Discount</v>
      </c>
      <c r="AG707" s="2">
        <v>59793</v>
      </c>
      <c r="AH707" s="2">
        <v>99.99</v>
      </c>
      <c r="AI707" s="2">
        <v>0.5</v>
      </c>
      <c r="AJ707" s="2" t="str" cm="1">
        <f t="array" ref="AJ707">_xlfn.IFS(AI707&lt;=0, "No Profit", AI707&lt;=0.16,"Low Profit",AI707&lt;=0.32,"Medium Profit",AI707&gt;0.32,"High Profit")</f>
        <v>High Profit</v>
      </c>
      <c r="AK707" s="2">
        <v>5</v>
      </c>
      <c r="AL707" s="2">
        <v>499.95</v>
      </c>
      <c r="AM707" s="2">
        <v>414.96</v>
      </c>
      <c r="AN707" s="2">
        <v>207.48</v>
      </c>
      <c r="AO707" s="2" t="s">
        <v>78</v>
      </c>
      <c r="AP707" s="2" t="s">
        <v>3044</v>
      </c>
      <c r="AQ707" s="2" t="s">
        <v>97</v>
      </c>
      <c r="AR707" s="2" t="s">
        <v>81</v>
      </c>
      <c r="AS707" s="2">
        <v>191</v>
      </c>
      <c r="AT707" s="2">
        <v>9</v>
      </c>
      <c r="AU707" s="2" t="s">
        <v>505</v>
      </c>
      <c r="AV707" s="2">
        <v>99.99</v>
      </c>
      <c r="AW707" s="2">
        <v>0</v>
      </c>
      <c r="AX707" s="2" t="s">
        <v>3045</v>
      </c>
      <c r="AY707" s="2" t="s">
        <v>83</v>
      </c>
      <c r="AZ707" s="4">
        <v>42353</v>
      </c>
      <c r="BA707" s="5">
        <v>0.66527777777777775</v>
      </c>
      <c r="BB707" s="2">
        <v>2015</v>
      </c>
      <c r="BC707" s="2" t="s">
        <v>357</v>
      </c>
      <c r="BD707" s="2">
        <v>15</v>
      </c>
      <c r="BE707" s="4">
        <v>42355</v>
      </c>
      <c r="BF707" s="5">
        <v>0.66527777777777775</v>
      </c>
      <c r="BG707" s="2" t="str" cm="1">
        <f t="array" ref="BG707">_xlfn.IFS(BF707&lt;TIMEVALUE("06:00"),"Night", BF707&gt;=TIMEVALUE("21:00"),"Night",BF707&gt;=TIMEVALUE("17:00"),"Evening",BF707&gt;=TIMEVALUE("12:00"),"Afternoon", BF707&gt;=TIMEVALUE("06:00"),"Morning")</f>
        <v>Afternoon</v>
      </c>
      <c r="BH707" s="2">
        <v>2015</v>
      </c>
      <c r="BI707" s="2" t="s">
        <v>357</v>
      </c>
      <c r="BJ707" s="2">
        <v>17</v>
      </c>
    </row>
    <row r="708" spans="1:62" x14ac:dyDescent="0.3">
      <c r="A708" s="2" t="s">
        <v>86</v>
      </c>
      <c r="B708" s="2">
        <v>2</v>
      </c>
      <c r="C708" s="2">
        <v>4</v>
      </c>
      <c r="D708" s="2">
        <v>32.79</v>
      </c>
      <c r="E708" s="2">
        <v>131.16</v>
      </c>
      <c r="F708" s="2" t="s">
        <v>63</v>
      </c>
      <c r="G708" s="2" t="s">
        <v>64</v>
      </c>
      <c r="H708" s="2">
        <v>13</v>
      </c>
      <c r="I708" s="2" t="s">
        <v>464</v>
      </c>
      <c r="J708" s="2" t="s">
        <v>66</v>
      </c>
      <c r="K708" s="2" t="s">
        <v>67</v>
      </c>
      <c r="L708" s="2" t="s">
        <v>786</v>
      </c>
      <c r="M708" s="2">
        <v>5089</v>
      </c>
      <c r="N708" s="2" t="s">
        <v>69</v>
      </c>
      <c r="O708" s="2" t="s">
        <v>70</v>
      </c>
      <c r="P708" s="2" t="s">
        <v>71</v>
      </c>
      <c r="Q708" s="2" t="s">
        <v>3046</v>
      </c>
      <c r="R708" s="2">
        <v>725</v>
      </c>
      <c r="S708" s="2">
        <v>3</v>
      </c>
      <c r="T708" s="2" t="s">
        <v>466</v>
      </c>
      <c r="U708" s="2">
        <v>18.283758200000001</v>
      </c>
      <c r="V708" s="2">
        <v>-66.370575000000002</v>
      </c>
      <c r="W708" s="2" t="s">
        <v>74</v>
      </c>
      <c r="X708" s="2" t="s">
        <v>3047</v>
      </c>
      <c r="Y708" s="2" t="s">
        <v>1512</v>
      </c>
      <c r="Z708" s="2">
        <v>5089</v>
      </c>
      <c r="AA708" s="2" t="s">
        <v>3048</v>
      </c>
      <c r="AB708" s="2">
        <v>43561</v>
      </c>
      <c r="AC708" s="2">
        <v>276</v>
      </c>
      <c r="AD708" s="2">
        <v>28.79</v>
      </c>
      <c r="AE708" s="2">
        <v>0.18</v>
      </c>
      <c r="AF708" s="2" t="str" cm="1">
        <f t="array" ref="AF708">_xlfn.IFS(AE708=0, "No Discount ", AE708&lt;=0.08,"Low Discount", AE708&lt;=0.16,"Medium Discount", AE708&gt;0.16, "High Discount")</f>
        <v>High Discount</v>
      </c>
      <c r="AG708" s="2">
        <v>108786</v>
      </c>
      <c r="AH708" s="2">
        <v>31.99</v>
      </c>
      <c r="AI708" s="2">
        <v>0.25</v>
      </c>
      <c r="AJ708" s="2" t="str" cm="1">
        <f t="array" ref="AJ708">_xlfn.IFS(AI708&lt;=0, "No Profit", AI708&lt;=0.16,"Low Profit",AI708&lt;=0.32,"Medium Profit",AI708&gt;0.32,"High Profit")</f>
        <v>Medium Profit</v>
      </c>
      <c r="AK708" s="2">
        <v>5</v>
      </c>
      <c r="AL708" s="2">
        <v>159.94999999999999</v>
      </c>
      <c r="AM708" s="2">
        <v>131.16</v>
      </c>
      <c r="AN708" s="2">
        <v>32.79</v>
      </c>
      <c r="AO708" s="2" t="s">
        <v>95</v>
      </c>
      <c r="AP708" s="2" t="s">
        <v>3049</v>
      </c>
      <c r="AQ708" s="2" t="s">
        <v>97</v>
      </c>
      <c r="AR708" s="2" t="s">
        <v>81</v>
      </c>
      <c r="AS708" s="2">
        <v>276</v>
      </c>
      <c r="AT708" s="2">
        <v>13</v>
      </c>
      <c r="AU708" s="2" t="s">
        <v>2444</v>
      </c>
      <c r="AV708" s="2">
        <v>31.99</v>
      </c>
      <c r="AW708" s="2">
        <v>0</v>
      </c>
      <c r="AX708" s="2" t="s">
        <v>3050</v>
      </c>
      <c r="AY708" s="2" t="s">
        <v>83</v>
      </c>
      <c r="AZ708" s="4">
        <v>42640</v>
      </c>
      <c r="BA708" s="5">
        <v>0.875</v>
      </c>
      <c r="BB708" s="2">
        <v>2016</v>
      </c>
      <c r="BC708" s="2" t="s">
        <v>552</v>
      </c>
      <c r="BD708" s="2">
        <v>27</v>
      </c>
      <c r="BE708" s="4">
        <v>42642</v>
      </c>
      <c r="BF708" s="5">
        <v>0.875</v>
      </c>
      <c r="BG708" s="2" t="str" cm="1">
        <f t="array" ref="BG708">_xlfn.IFS(BF708&lt;TIMEVALUE("06:00"),"Night", BF708&gt;=TIMEVALUE("21:00"),"Night",BF708&gt;=TIMEVALUE("17:00"),"Evening",BF708&gt;=TIMEVALUE("12:00"),"Afternoon", BF708&gt;=TIMEVALUE("06:00"),"Morning")</f>
        <v>Night</v>
      </c>
      <c r="BH708" s="2">
        <v>2016</v>
      </c>
      <c r="BI708" s="2" t="s">
        <v>552</v>
      </c>
      <c r="BJ708" s="2">
        <v>29</v>
      </c>
    </row>
    <row r="709" spans="1:62" x14ac:dyDescent="0.3">
      <c r="A709" s="2" t="s">
        <v>86</v>
      </c>
      <c r="B709" s="2">
        <v>2</v>
      </c>
      <c r="C709" s="2">
        <v>4</v>
      </c>
      <c r="D709" s="2">
        <v>-349.97</v>
      </c>
      <c r="E709" s="2">
        <v>399.96</v>
      </c>
      <c r="F709" s="2" t="s">
        <v>63</v>
      </c>
      <c r="G709" s="2" t="s">
        <v>64</v>
      </c>
      <c r="H709" s="2">
        <v>9</v>
      </c>
      <c r="I709" s="2" t="s">
        <v>496</v>
      </c>
      <c r="J709" s="2" t="s">
        <v>66</v>
      </c>
      <c r="K709" s="2" t="s">
        <v>67</v>
      </c>
      <c r="L709" s="2" t="s">
        <v>414</v>
      </c>
      <c r="M709" s="2">
        <v>6073</v>
      </c>
      <c r="N709" s="2" t="s">
        <v>3051</v>
      </c>
      <c r="O709" s="2" t="s">
        <v>70</v>
      </c>
      <c r="P709" s="2" t="s">
        <v>71</v>
      </c>
      <c r="Q709" s="2" t="s">
        <v>3052</v>
      </c>
      <c r="R709" s="2">
        <v>725</v>
      </c>
      <c r="S709" s="2">
        <v>3</v>
      </c>
      <c r="T709" s="2" t="s">
        <v>466</v>
      </c>
      <c r="U709" s="2">
        <v>18.220485700000001</v>
      </c>
      <c r="V709" s="2">
        <v>-66.3706131</v>
      </c>
      <c r="W709" s="2" t="s">
        <v>74</v>
      </c>
      <c r="X709" s="2" t="s">
        <v>3053</v>
      </c>
      <c r="Y709" s="2" t="s">
        <v>429</v>
      </c>
      <c r="Z709" s="2">
        <v>6073</v>
      </c>
      <c r="AA709" s="2" t="s">
        <v>3054</v>
      </c>
      <c r="AB709" s="2">
        <v>47846</v>
      </c>
      <c r="AC709" s="2">
        <v>191</v>
      </c>
      <c r="AD709" s="2">
        <v>99.99</v>
      </c>
      <c r="AE709" s="2">
        <v>0.2</v>
      </c>
      <c r="AF709" s="2" t="str" cm="1">
        <f t="array" ref="AF709">_xlfn.IFS(AE709=0, "No Discount ", AE709&lt;=0.08,"Low Discount", AE709&lt;=0.16,"Medium Discount", AE709&gt;0.16, "High Discount")</f>
        <v>High Discount</v>
      </c>
      <c r="AG709" s="2">
        <v>119635</v>
      </c>
      <c r="AH709" s="2">
        <v>99.99</v>
      </c>
      <c r="AI709" s="2">
        <v>-0.88</v>
      </c>
      <c r="AJ709" s="2" t="str" cm="1">
        <f t="array" ref="AJ709">_xlfn.IFS(AI709&lt;=0, "No Profit", AI709&lt;=0.16,"Low Profit",AI709&lt;=0.32,"Medium Profit",AI709&gt;0.32,"High Profit")</f>
        <v>No Profit</v>
      </c>
      <c r="AK709" s="2">
        <v>5</v>
      </c>
      <c r="AL709" s="2">
        <v>499.95</v>
      </c>
      <c r="AM709" s="2">
        <v>399.96</v>
      </c>
      <c r="AN709" s="2">
        <v>-349.97</v>
      </c>
      <c r="AO709" s="2" t="s">
        <v>431</v>
      </c>
      <c r="AP709" s="2" t="s">
        <v>3053</v>
      </c>
      <c r="AQ709" s="2" t="s">
        <v>97</v>
      </c>
      <c r="AR709" s="2" t="s">
        <v>81</v>
      </c>
      <c r="AS709" s="2">
        <v>191</v>
      </c>
      <c r="AT709" s="2">
        <v>9</v>
      </c>
      <c r="AU709" s="2" t="s">
        <v>505</v>
      </c>
      <c r="AV709" s="2">
        <v>99.99</v>
      </c>
      <c r="AW709" s="2">
        <v>0</v>
      </c>
      <c r="AX709" s="3">
        <v>42381.426388888889</v>
      </c>
      <c r="AY709" s="2" t="s">
        <v>83</v>
      </c>
      <c r="AZ709" s="4">
        <v>42703</v>
      </c>
      <c r="BA709" s="5">
        <v>0.42638888888888887</v>
      </c>
      <c r="BB709" s="2">
        <v>2016</v>
      </c>
      <c r="BC709" s="2" t="s">
        <v>455</v>
      </c>
      <c r="BD709" s="2">
        <v>29</v>
      </c>
      <c r="BE709" s="4">
        <v>42381</v>
      </c>
      <c r="BF709" s="5">
        <v>0.42638888888888887</v>
      </c>
      <c r="BG709" s="2" t="str" cm="1">
        <f t="array" ref="BG709">_xlfn.IFS(BF709&lt;TIMEVALUE("06:00"),"Night", BF709&gt;=TIMEVALUE("21:00"),"Night",BF709&gt;=TIMEVALUE("17:00"),"Evening",BF709&gt;=TIMEVALUE("12:00"),"Afternoon", BF709&gt;=TIMEVALUE("06:00"),"Morning")</f>
        <v>Morning</v>
      </c>
      <c r="BH709" s="2">
        <v>2016</v>
      </c>
      <c r="BI709" s="2" t="s">
        <v>84</v>
      </c>
      <c r="BJ709" s="2">
        <v>12</v>
      </c>
    </row>
    <row r="710" spans="1:62" x14ac:dyDescent="0.3">
      <c r="A710" s="2" t="s">
        <v>86</v>
      </c>
      <c r="B710" s="2">
        <v>3</v>
      </c>
      <c r="C710" s="2">
        <v>4</v>
      </c>
      <c r="D710" s="2">
        <v>95.81</v>
      </c>
      <c r="E710" s="2">
        <v>283.45</v>
      </c>
      <c r="F710" s="2" t="s">
        <v>63</v>
      </c>
      <c r="G710" s="2" t="s">
        <v>64</v>
      </c>
      <c r="H710" s="2">
        <v>17</v>
      </c>
      <c r="I710" s="2" t="s">
        <v>412</v>
      </c>
      <c r="J710" s="2" t="s">
        <v>66</v>
      </c>
      <c r="K710" s="2" t="s">
        <v>67</v>
      </c>
      <c r="L710" s="2" t="s">
        <v>777</v>
      </c>
      <c r="M710" s="2">
        <v>8992</v>
      </c>
      <c r="N710" s="2" t="s">
        <v>1275</v>
      </c>
      <c r="O710" s="2" t="s">
        <v>70</v>
      </c>
      <c r="P710" s="2" t="s">
        <v>71</v>
      </c>
      <c r="Q710" s="2" t="s">
        <v>3055</v>
      </c>
      <c r="R710" s="2">
        <v>725</v>
      </c>
      <c r="S710" s="2">
        <v>4</v>
      </c>
      <c r="T710" s="2" t="s">
        <v>417</v>
      </c>
      <c r="U710" s="2">
        <v>18.203718200000001</v>
      </c>
      <c r="V710" s="2">
        <v>-66.370521600000004</v>
      </c>
      <c r="W710" s="2" t="s">
        <v>74</v>
      </c>
      <c r="X710" s="2" t="s">
        <v>2355</v>
      </c>
      <c r="Y710" s="2" t="s">
        <v>93</v>
      </c>
      <c r="Z710" s="2">
        <v>8992</v>
      </c>
      <c r="AA710" s="3">
        <v>42166.339583333334</v>
      </c>
      <c r="AB710" s="2">
        <v>21192</v>
      </c>
      <c r="AC710" s="2">
        <v>365</v>
      </c>
      <c r="AD710" s="2">
        <v>16.5</v>
      </c>
      <c r="AE710" s="2">
        <v>0.06</v>
      </c>
      <c r="AF710" s="2" t="str" cm="1">
        <f t="array" ref="AF710">_xlfn.IFS(AE710=0, "No Discount ", AE710&lt;=0.08,"Low Discount", AE710&lt;=0.16,"Medium Discount", AE710&gt;0.16, "High Discount")</f>
        <v>Low Discount</v>
      </c>
      <c r="AG710" s="2">
        <v>53007</v>
      </c>
      <c r="AH710" s="2">
        <v>59.99</v>
      </c>
      <c r="AI710" s="2">
        <v>0.34</v>
      </c>
      <c r="AJ710" s="2" t="str" cm="1">
        <f t="array" ref="AJ710">_xlfn.IFS(AI710&lt;=0, "No Profit", AI710&lt;=0.16,"Low Profit",AI710&lt;=0.32,"Medium Profit",AI710&gt;0.32,"High Profit")</f>
        <v>High Profit</v>
      </c>
      <c r="AK710" s="2">
        <v>5</v>
      </c>
      <c r="AL710" s="2">
        <v>299.95</v>
      </c>
      <c r="AM710" s="2">
        <v>283.45</v>
      </c>
      <c r="AN710" s="2">
        <v>95.81</v>
      </c>
      <c r="AO710" s="2" t="s">
        <v>95</v>
      </c>
      <c r="AP710" s="2" t="s">
        <v>96</v>
      </c>
      <c r="AQ710" s="2" t="s">
        <v>97</v>
      </c>
      <c r="AR710" s="2" t="s">
        <v>81</v>
      </c>
      <c r="AS710" s="2">
        <v>365</v>
      </c>
      <c r="AT710" s="2">
        <v>17</v>
      </c>
      <c r="AU710" s="2" t="s">
        <v>421</v>
      </c>
      <c r="AV710" s="2">
        <v>59.99</v>
      </c>
      <c r="AW710" s="2">
        <v>0</v>
      </c>
      <c r="AX710" s="3">
        <v>42258.339583333334</v>
      </c>
      <c r="AY710" s="2" t="s">
        <v>83</v>
      </c>
      <c r="AZ710" s="4">
        <v>42166</v>
      </c>
      <c r="BA710" s="5">
        <v>0.33958333333333335</v>
      </c>
      <c r="BB710" s="2">
        <v>2015</v>
      </c>
      <c r="BC710" s="2" t="s">
        <v>474</v>
      </c>
      <c r="BD710" s="2">
        <v>11</v>
      </c>
      <c r="BE710" s="4">
        <v>42258</v>
      </c>
      <c r="BF710" s="5">
        <v>0.33958333333333335</v>
      </c>
      <c r="BG710" s="2" t="str" cm="1">
        <f t="array" ref="BG710">_xlfn.IFS(BF710&lt;TIMEVALUE("06:00"),"Night", BF710&gt;=TIMEVALUE("21:00"),"Night",BF710&gt;=TIMEVALUE("17:00"),"Evening",BF710&gt;=TIMEVALUE("12:00"),"Afternoon", BF710&gt;=TIMEVALUE("06:00"),"Morning")</f>
        <v>Morning</v>
      </c>
      <c r="BH710" s="2">
        <v>2015</v>
      </c>
      <c r="BI710" s="2" t="s">
        <v>552</v>
      </c>
      <c r="BJ710" s="2">
        <v>11</v>
      </c>
    </row>
    <row r="711" spans="1:62" x14ac:dyDescent="0.3">
      <c r="A711" s="2" t="s">
        <v>86</v>
      </c>
      <c r="B711" s="2">
        <v>2</v>
      </c>
      <c r="C711" s="2">
        <v>4</v>
      </c>
      <c r="D711" s="2">
        <v>79.37</v>
      </c>
      <c r="E711" s="2">
        <v>283.45</v>
      </c>
      <c r="F711" s="2" t="s">
        <v>63</v>
      </c>
      <c r="G711" s="2" t="s">
        <v>64</v>
      </c>
      <c r="H711" s="2">
        <v>17</v>
      </c>
      <c r="I711" s="2" t="s">
        <v>412</v>
      </c>
      <c r="J711" s="2" t="s">
        <v>66</v>
      </c>
      <c r="K711" s="2" t="s">
        <v>67</v>
      </c>
      <c r="L711" s="2" t="s">
        <v>3056</v>
      </c>
      <c r="M711" s="2">
        <v>6466</v>
      </c>
      <c r="N711" s="2" t="s">
        <v>619</v>
      </c>
      <c r="O711" s="2" t="s">
        <v>70</v>
      </c>
      <c r="P711" s="2" t="s">
        <v>71</v>
      </c>
      <c r="Q711" s="2" t="s">
        <v>3057</v>
      </c>
      <c r="R711" s="2">
        <v>725</v>
      </c>
      <c r="S711" s="2">
        <v>4</v>
      </c>
      <c r="T711" s="2" t="s">
        <v>417</v>
      </c>
      <c r="U711" s="2">
        <v>18.2147808</v>
      </c>
      <c r="V711" s="2">
        <v>-66.370567300000005</v>
      </c>
      <c r="W711" s="2" t="s">
        <v>74</v>
      </c>
      <c r="X711" s="2" t="s">
        <v>2179</v>
      </c>
      <c r="Y711" s="2" t="s">
        <v>2180</v>
      </c>
      <c r="Z711" s="2">
        <v>6466</v>
      </c>
      <c r="AA711" s="3">
        <v>42136.009027777778</v>
      </c>
      <c r="AB711" s="2">
        <v>23156</v>
      </c>
      <c r="AC711" s="2">
        <v>365</v>
      </c>
      <c r="AD711" s="2">
        <v>16.5</v>
      </c>
      <c r="AE711" s="2">
        <v>0.06</v>
      </c>
      <c r="AF711" s="2" t="str" cm="1">
        <f t="array" ref="AF711">_xlfn.IFS(AE711=0, "No Discount ", AE711&lt;=0.08,"Low Discount", AE711&lt;=0.16,"Medium Discount", AE711&gt;0.16, "High Discount")</f>
        <v>Low Discount</v>
      </c>
      <c r="AG711" s="2">
        <v>57969</v>
      </c>
      <c r="AH711" s="2">
        <v>59.99</v>
      </c>
      <c r="AI711" s="2">
        <v>0.28000000000000003</v>
      </c>
      <c r="AJ711" s="2" t="str" cm="1">
        <f t="array" ref="AJ711">_xlfn.IFS(AI711&lt;=0, "No Profit", AI711&lt;=0.16,"Low Profit",AI711&lt;=0.32,"Medium Profit",AI711&gt;0.32,"High Profit")</f>
        <v>Medium Profit</v>
      </c>
      <c r="AK711" s="2">
        <v>5</v>
      </c>
      <c r="AL711" s="2">
        <v>299.95</v>
      </c>
      <c r="AM711" s="2">
        <v>283.45</v>
      </c>
      <c r="AN711" s="2">
        <v>79.37</v>
      </c>
      <c r="AO711" s="2" t="s">
        <v>78</v>
      </c>
      <c r="AP711" s="2" t="s">
        <v>2181</v>
      </c>
      <c r="AQ711" s="2" t="s">
        <v>97</v>
      </c>
      <c r="AR711" s="2" t="s">
        <v>81</v>
      </c>
      <c r="AS711" s="2">
        <v>365</v>
      </c>
      <c r="AT711" s="2">
        <v>17</v>
      </c>
      <c r="AU711" s="2" t="s">
        <v>421</v>
      </c>
      <c r="AV711" s="2">
        <v>59.99</v>
      </c>
      <c r="AW711" s="2">
        <v>0</v>
      </c>
      <c r="AX711" s="3">
        <v>42197.009027777778</v>
      </c>
      <c r="AY711" s="2" t="s">
        <v>83</v>
      </c>
      <c r="AZ711" s="4">
        <v>42136</v>
      </c>
      <c r="BA711" s="5">
        <v>9.0277777777777769E-3</v>
      </c>
      <c r="BB711" s="2">
        <v>2015</v>
      </c>
      <c r="BC711" s="2" t="s">
        <v>443</v>
      </c>
      <c r="BD711" s="2">
        <v>12</v>
      </c>
      <c r="BE711" s="4">
        <v>42197</v>
      </c>
      <c r="BF711" s="5">
        <v>9.0277777777777769E-3</v>
      </c>
      <c r="BG711" s="2" t="str" cm="1">
        <f t="array" ref="BG711">_xlfn.IFS(BF711&lt;TIMEVALUE("06:00"),"Night", BF711&gt;=TIMEVALUE("21:00"),"Night",BF711&gt;=TIMEVALUE("17:00"),"Evening",BF711&gt;=TIMEVALUE("12:00"),"Afternoon", BF711&gt;=TIMEVALUE("06:00"),"Morning")</f>
        <v>Night</v>
      </c>
      <c r="BH711" s="2">
        <v>2015</v>
      </c>
      <c r="BI711" s="2" t="s">
        <v>533</v>
      </c>
      <c r="BJ711" s="2">
        <v>12</v>
      </c>
    </row>
    <row r="712" spans="1:62" x14ac:dyDescent="0.3">
      <c r="A712" s="2" t="s">
        <v>86</v>
      </c>
      <c r="B712" s="2">
        <v>2</v>
      </c>
      <c r="C712" s="2">
        <v>4</v>
      </c>
      <c r="D712" s="2">
        <v>86.18</v>
      </c>
      <c r="E712" s="2">
        <v>254.96</v>
      </c>
      <c r="F712" s="2" t="s">
        <v>63</v>
      </c>
      <c r="G712" s="2" t="s">
        <v>64</v>
      </c>
      <c r="H712" s="2">
        <v>17</v>
      </c>
      <c r="I712" s="2" t="s">
        <v>412</v>
      </c>
      <c r="J712" s="2" t="s">
        <v>66</v>
      </c>
      <c r="K712" s="2" t="s">
        <v>67</v>
      </c>
      <c r="L712" s="2" t="s">
        <v>2616</v>
      </c>
      <c r="M712" s="2">
        <v>1962</v>
      </c>
      <c r="N712" s="2" t="s">
        <v>425</v>
      </c>
      <c r="O712" s="2" t="s">
        <v>70</v>
      </c>
      <c r="P712" s="2" t="s">
        <v>71</v>
      </c>
      <c r="Q712" s="2" t="s">
        <v>2617</v>
      </c>
      <c r="R712" s="2">
        <v>725</v>
      </c>
      <c r="S712" s="2">
        <v>4</v>
      </c>
      <c r="T712" s="2" t="s">
        <v>417</v>
      </c>
      <c r="U712" s="2">
        <v>18.264230699999999</v>
      </c>
      <c r="V712" s="2">
        <v>-66.370582600000006</v>
      </c>
      <c r="W712" s="2" t="s">
        <v>74</v>
      </c>
      <c r="X712" s="2" t="s">
        <v>3058</v>
      </c>
      <c r="Y712" s="2" t="s">
        <v>143</v>
      </c>
      <c r="Z712" s="2">
        <v>1962</v>
      </c>
      <c r="AA712" s="2" t="s">
        <v>3059</v>
      </c>
      <c r="AB712" s="2">
        <v>22811</v>
      </c>
      <c r="AC712" s="2">
        <v>365</v>
      </c>
      <c r="AD712" s="2">
        <v>44.99</v>
      </c>
      <c r="AE712" s="2">
        <v>0.15</v>
      </c>
      <c r="AF712" s="2" t="str" cm="1">
        <f t="array" ref="AF712">_xlfn.IFS(AE712=0, "No Discount ", AE712&lt;=0.08,"Low Discount", AE712&lt;=0.16,"Medium Discount", AE712&gt;0.16, "High Discount")</f>
        <v>Medium Discount</v>
      </c>
      <c r="AG712" s="2">
        <v>57092</v>
      </c>
      <c r="AH712" s="2">
        <v>59.99</v>
      </c>
      <c r="AI712" s="2">
        <v>0.34</v>
      </c>
      <c r="AJ712" s="2" t="str" cm="1">
        <f t="array" ref="AJ712">_xlfn.IFS(AI712&lt;=0, "No Profit", AI712&lt;=0.16,"Low Profit",AI712&lt;=0.32,"Medium Profit",AI712&gt;0.32,"High Profit")</f>
        <v>High Profit</v>
      </c>
      <c r="AK712" s="2">
        <v>5</v>
      </c>
      <c r="AL712" s="2">
        <v>299.95</v>
      </c>
      <c r="AM712" s="2">
        <v>254.96</v>
      </c>
      <c r="AN712" s="2">
        <v>86.18</v>
      </c>
      <c r="AO712" s="2" t="s">
        <v>145</v>
      </c>
      <c r="AP712" s="2" t="s">
        <v>2115</v>
      </c>
      <c r="AQ712" s="2" t="s">
        <v>97</v>
      </c>
      <c r="AR712" s="2" t="s">
        <v>81</v>
      </c>
      <c r="AS712" s="2">
        <v>365</v>
      </c>
      <c r="AT712" s="2">
        <v>17</v>
      </c>
      <c r="AU712" s="2" t="s">
        <v>421</v>
      </c>
      <c r="AV712" s="2">
        <v>59.99</v>
      </c>
      <c r="AW712" s="2">
        <v>0</v>
      </c>
      <c r="AX712" s="3">
        <v>42016.972916666666</v>
      </c>
      <c r="AY712" s="2" t="s">
        <v>83</v>
      </c>
      <c r="AZ712" s="4">
        <v>42337</v>
      </c>
      <c r="BA712" s="5">
        <v>0.97291666666666665</v>
      </c>
      <c r="BB712" s="2">
        <v>2015</v>
      </c>
      <c r="BC712" s="2" t="s">
        <v>455</v>
      </c>
      <c r="BD712" s="2">
        <v>29</v>
      </c>
      <c r="BE712" s="4">
        <v>42016</v>
      </c>
      <c r="BF712" s="5">
        <v>0.97291666666666665</v>
      </c>
      <c r="BG712" s="2" t="str" cm="1">
        <f t="array" ref="BG712">_xlfn.IFS(BF712&lt;TIMEVALUE("06:00"),"Night", BF712&gt;=TIMEVALUE("21:00"),"Night",BF712&gt;=TIMEVALUE("17:00"),"Evening",BF712&gt;=TIMEVALUE("12:00"),"Afternoon", BF712&gt;=TIMEVALUE("06:00"),"Morning")</f>
        <v>Night</v>
      </c>
      <c r="BH712" s="2">
        <v>2015</v>
      </c>
      <c r="BI712" s="2" t="s">
        <v>84</v>
      </c>
      <c r="BJ712" s="2">
        <v>12</v>
      </c>
    </row>
    <row r="713" spans="1:62" x14ac:dyDescent="0.3">
      <c r="A713" s="2" t="s">
        <v>86</v>
      </c>
      <c r="B713" s="2">
        <v>4</v>
      </c>
      <c r="C713" s="2">
        <v>4</v>
      </c>
      <c r="D713" s="2">
        <v>-97.65</v>
      </c>
      <c r="E713" s="2">
        <v>254.96</v>
      </c>
      <c r="F713" s="2" t="s">
        <v>100</v>
      </c>
      <c r="G713" s="2" t="s">
        <v>64</v>
      </c>
      <c r="H713" s="2">
        <v>17</v>
      </c>
      <c r="I713" s="2" t="s">
        <v>412</v>
      </c>
      <c r="J713" s="2" t="s">
        <v>66</v>
      </c>
      <c r="K713" s="2" t="s">
        <v>67</v>
      </c>
      <c r="L713" s="2" t="s">
        <v>414</v>
      </c>
      <c r="M713" s="2">
        <v>11438</v>
      </c>
      <c r="N713" s="2" t="s">
        <v>3060</v>
      </c>
      <c r="O713" s="2" t="s">
        <v>70</v>
      </c>
      <c r="P713" s="2" t="s">
        <v>71</v>
      </c>
      <c r="Q713" s="2" t="s">
        <v>1876</v>
      </c>
      <c r="R713" s="2">
        <v>725</v>
      </c>
      <c r="S713" s="2">
        <v>4</v>
      </c>
      <c r="T713" s="2" t="s">
        <v>417</v>
      </c>
      <c r="U713" s="2">
        <v>18.242109299999999</v>
      </c>
      <c r="V713" s="2">
        <v>-66.370521600000004</v>
      </c>
      <c r="W713" s="2" t="s">
        <v>74</v>
      </c>
      <c r="X713" s="2" t="s">
        <v>2010</v>
      </c>
      <c r="Y713" s="2" t="s">
        <v>116</v>
      </c>
      <c r="Z713" s="2">
        <v>11438</v>
      </c>
      <c r="AA713" s="3">
        <v>42552.029166666667</v>
      </c>
      <c r="AB713" s="2">
        <v>25418</v>
      </c>
      <c r="AC713" s="2">
        <v>365</v>
      </c>
      <c r="AD713" s="2">
        <v>44.99</v>
      </c>
      <c r="AE713" s="2">
        <v>0.15</v>
      </c>
      <c r="AF713" s="2" t="str" cm="1">
        <f t="array" ref="AF713">_xlfn.IFS(AE713=0, "No Discount ", AE713&lt;=0.08,"Low Discount", AE713&lt;=0.16,"Medium Discount", AE713&gt;0.16, "High Discount")</f>
        <v>Medium Discount</v>
      </c>
      <c r="AG713" s="2">
        <v>63668</v>
      </c>
      <c r="AH713" s="2">
        <v>59.99</v>
      </c>
      <c r="AI713" s="2">
        <v>-0.38</v>
      </c>
      <c r="AJ713" s="2" t="str" cm="1">
        <f t="array" ref="AJ713">_xlfn.IFS(AI713&lt;=0, "No Profit", AI713&lt;=0.16,"Low Profit",AI713&lt;=0.32,"Medium Profit",AI713&gt;0.32,"High Profit")</f>
        <v>No Profit</v>
      </c>
      <c r="AK713" s="2">
        <v>5</v>
      </c>
      <c r="AL713" s="2">
        <v>299.95</v>
      </c>
      <c r="AM713" s="2">
        <v>254.96</v>
      </c>
      <c r="AN713" s="2">
        <v>-97.65</v>
      </c>
      <c r="AO713" s="2" t="s">
        <v>118</v>
      </c>
      <c r="AP713" s="2" t="s">
        <v>355</v>
      </c>
      <c r="AQ713" s="2" t="s">
        <v>97</v>
      </c>
      <c r="AR713" s="2" t="s">
        <v>81</v>
      </c>
      <c r="AS713" s="2">
        <v>365</v>
      </c>
      <c r="AT713" s="2">
        <v>17</v>
      </c>
      <c r="AU713" s="2" t="s">
        <v>421</v>
      </c>
      <c r="AV713" s="2">
        <v>59.99</v>
      </c>
      <c r="AW713" s="2">
        <v>0</v>
      </c>
      <c r="AX713" s="3">
        <v>42675.029166666667</v>
      </c>
      <c r="AY713" s="2" t="s">
        <v>83</v>
      </c>
      <c r="AZ713" s="4">
        <v>42552</v>
      </c>
      <c r="BA713" s="5">
        <v>2.9166666666666667E-2</v>
      </c>
      <c r="BB713" s="2">
        <v>2016</v>
      </c>
      <c r="BC713" s="2" t="s">
        <v>533</v>
      </c>
      <c r="BD713" s="2">
        <v>1</v>
      </c>
      <c r="BE713" s="4">
        <v>42675</v>
      </c>
      <c r="BF713" s="5">
        <v>2.9166666666666667E-2</v>
      </c>
      <c r="BG713" s="2" t="str" cm="1">
        <f t="array" ref="BG713">_xlfn.IFS(BF713&lt;TIMEVALUE("06:00"),"Night", BF713&gt;=TIMEVALUE("21:00"),"Night",BF713&gt;=TIMEVALUE("17:00"),"Evening",BF713&gt;=TIMEVALUE("12:00"),"Afternoon", BF713&gt;=TIMEVALUE("06:00"),"Morning")</f>
        <v>Night</v>
      </c>
      <c r="BH713" s="2">
        <v>2016</v>
      </c>
      <c r="BI713" s="2" t="s">
        <v>455</v>
      </c>
      <c r="BJ713" s="2">
        <v>1</v>
      </c>
    </row>
    <row r="714" spans="1:62" x14ac:dyDescent="0.3">
      <c r="A714" s="2" t="s">
        <v>86</v>
      </c>
      <c r="B714" s="2">
        <v>3</v>
      </c>
      <c r="C714" s="2">
        <v>4</v>
      </c>
      <c r="D714" s="2">
        <v>-420.68</v>
      </c>
      <c r="E714" s="2">
        <v>254.96</v>
      </c>
      <c r="F714" s="2" t="s">
        <v>63</v>
      </c>
      <c r="G714" s="2" t="s">
        <v>64</v>
      </c>
      <c r="H714" s="2">
        <v>17</v>
      </c>
      <c r="I714" s="2" t="s">
        <v>412</v>
      </c>
      <c r="J714" s="2" t="s">
        <v>66</v>
      </c>
      <c r="K714" s="2" t="s">
        <v>67</v>
      </c>
      <c r="L714" s="2" t="s">
        <v>414</v>
      </c>
      <c r="M714" s="2">
        <v>9524</v>
      </c>
      <c r="N714" s="2" t="s">
        <v>540</v>
      </c>
      <c r="O714" s="2" t="s">
        <v>70</v>
      </c>
      <c r="P714" s="2" t="s">
        <v>71</v>
      </c>
      <c r="Q714" s="2" t="s">
        <v>3061</v>
      </c>
      <c r="R714" s="2">
        <v>725</v>
      </c>
      <c r="S714" s="2">
        <v>4</v>
      </c>
      <c r="T714" s="2" t="s">
        <v>417</v>
      </c>
      <c r="U714" s="2">
        <v>18.296855900000001</v>
      </c>
      <c r="V714" s="2">
        <v>-66.370575000000002</v>
      </c>
      <c r="W714" s="2" t="s">
        <v>74</v>
      </c>
      <c r="X714" s="2" t="s">
        <v>3062</v>
      </c>
      <c r="Y714" s="2" t="s">
        <v>429</v>
      </c>
      <c r="Z714" s="2">
        <v>9524</v>
      </c>
      <c r="AA714" s="2" t="s">
        <v>3063</v>
      </c>
      <c r="AB714" s="2">
        <v>47092</v>
      </c>
      <c r="AC714" s="2">
        <v>365</v>
      </c>
      <c r="AD714" s="2">
        <v>44.99</v>
      </c>
      <c r="AE714" s="2">
        <v>0.15</v>
      </c>
      <c r="AF714" s="2" t="str" cm="1">
        <f t="array" ref="AF714">_xlfn.IFS(AE714=0, "No Discount ", AE714&lt;=0.08,"Low Discount", AE714&lt;=0.16,"Medium Discount", AE714&gt;0.16, "High Discount")</f>
        <v>Medium Discount</v>
      </c>
      <c r="AG714" s="2">
        <v>117694</v>
      </c>
      <c r="AH714" s="2">
        <v>59.99</v>
      </c>
      <c r="AI714" s="2">
        <v>-1.65</v>
      </c>
      <c r="AJ714" s="2" t="str" cm="1">
        <f t="array" ref="AJ714">_xlfn.IFS(AI714&lt;=0, "No Profit", AI714&lt;=0.16,"Low Profit",AI714&lt;=0.32,"Medium Profit",AI714&gt;0.32,"High Profit")</f>
        <v>No Profit</v>
      </c>
      <c r="AK714" s="2">
        <v>5</v>
      </c>
      <c r="AL714" s="2">
        <v>299.95</v>
      </c>
      <c r="AM714" s="2">
        <v>254.96</v>
      </c>
      <c r="AN714" s="2">
        <v>-420.68</v>
      </c>
      <c r="AO714" s="2" t="s">
        <v>431</v>
      </c>
      <c r="AP714" s="2" t="s">
        <v>3062</v>
      </c>
      <c r="AQ714" s="2" t="s">
        <v>97</v>
      </c>
      <c r="AR714" s="2" t="s">
        <v>81</v>
      </c>
      <c r="AS714" s="2">
        <v>365</v>
      </c>
      <c r="AT714" s="2">
        <v>17</v>
      </c>
      <c r="AU714" s="2" t="s">
        <v>421</v>
      </c>
      <c r="AV714" s="2">
        <v>59.99</v>
      </c>
      <c r="AW714" s="2">
        <v>0</v>
      </c>
      <c r="AX714" s="2" t="s">
        <v>3064</v>
      </c>
      <c r="AY714" s="2" t="s">
        <v>83</v>
      </c>
      <c r="AZ714" s="4">
        <v>42692</v>
      </c>
      <c r="BA714" s="5">
        <v>0.41944444444444445</v>
      </c>
      <c r="BB714" s="2">
        <v>2016</v>
      </c>
      <c r="BC714" s="2" t="s">
        <v>455</v>
      </c>
      <c r="BD714" s="2">
        <v>18</v>
      </c>
      <c r="BE714" s="4">
        <v>42695</v>
      </c>
      <c r="BF714" s="5">
        <v>0.41944444444444445</v>
      </c>
      <c r="BG714" s="2" t="str" cm="1">
        <f t="array" ref="BG714">_xlfn.IFS(BF714&lt;TIMEVALUE("06:00"),"Night", BF714&gt;=TIMEVALUE("21:00"),"Night",BF714&gt;=TIMEVALUE("17:00"),"Evening",BF714&gt;=TIMEVALUE("12:00"),"Afternoon", BF714&gt;=TIMEVALUE("06:00"),"Morning")</f>
        <v>Morning</v>
      </c>
      <c r="BH714" s="2">
        <v>2016</v>
      </c>
      <c r="BI714" s="2" t="s">
        <v>455</v>
      </c>
      <c r="BJ714" s="2">
        <v>21</v>
      </c>
    </row>
    <row r="715" spans="1:62" x14ac:dyDescent="0.3">
      <c r="A715" s="2" t="s">
        <v>86</v>
      </c>
      <c r="B715" s="2">
        <v>4</v>
      </c>
      <c r="C715" s="2">
        <v>4</v>
      </c>
      <c r="D715" s="2">
        <v>124.93</v>
      </c>
      <c r="E715" s="2">
        <v>254.96</v>
      </c>
      <c r="F715" s="2" t="s">
        <v>100</v>
      </c>
      <c r="G715" s="2" t="s">
        <v>64</v>
      </c>
      <c r="H715" s="2">
        <v>17</v>
      </c>
      <c r="I715" s="2" t="s">
        <v>412</v>
      </c>
      <c r="J715" s="2" t="s">
        <v>2641</v>
      </c>
      <c r="K715" s="2" t="s">
        <v>67</v>
      </c>
      <c r="L715" s="2" t="s">
        <v>1760</v>
      </c>
      <c r="M715" s="2">
        <v>2078</v>
      </c>
      <c r="N715" s="2" t="s">
        <v>2109</v>
      </c>
      <c r="O715" s="2" t="s">
        <v>70</v>
      </c>
      <c r="P715" s="2" t="s">
        <v>71</v>
      </c>
      <c r="Q715" s="2" t="s">
        <v>2642</v>
      </c>
      <c r="R715" s="2">
        <v>921</v>
      </c>
      <c r="S715" s="2">
        <v>4</v>
      </c>
      <c r="T715" s="2" t="s">
        <v>417</v>
      </c>
      <c r="U715" s="2">
        <v>18.385969200000002</v>
      </c>
      <c r="V715" s="2">
        <v>-66.094009400000004</v>
      </c>
      <c r="W715" s="2" t="s">
        <v>74</v>
      </c>
      <c r="X715" s="2" t="s">
        <v>1383</v>
      </c>
      <c r="Y715" s="2" t="s">
        <v>1384</v>
      </c>
      <c r="Z715" s="2">
        <v>2078</v>
      </c>
      <c r="AA715" s="2" t="s">
        <v>3065</v>
      </c>
      <c r="AB715" s="2">
        <v>42658</v>
      </c>
      <c r="AC715" s="2">
        <v>365</v>
      </c>
      <c r="AD715" s="2">
        <v>44.99</v>
      </c>
      <c r="AE715" s="2">
        <v>0.15</v>
      </c>
      <c r="AF715" s="2" t="str" cm="1">
        <f t="array" ref="AF715">_xlfn.IFS(AE715=0, "No Discount ", AE715&lt;=0.08,"Low Discount", AE715&lt;=0.16,"Medium Discount", AE715&gt;0.16, "High Discount")</f>
        <v>Medium Discount</v>
      </c>
      <c r="AG715" s="2">
        <v>106479</v>
      </c>
      <c r="AH715" s="2">
        <v>59.99</v>
      </c>
      <c r="AI715" s="2">
        <v>0.49</v>
      </c>
      <c r="AJ715" s="2" t="str" cm="1">
        <f t="array" ref="AJ715">_xlfn.IFS(AI715&lt;=0, "No Profit", AI715&lt;=0.16,"Low Profit",AI715&lt;=0.32,"Medium Profit",AI715&gt;0.32,"High Profit")</f>
        <v>High Profit</v>
      </c>
      <c r="AK715" s="2">
        <v>5</v>
      </c>
      <c r="AL715" s="2">
        <v>299.95</v>
      </c>
      <c r="AM715" s="2">
        <v>254.96</v>
      </c>
      <c r="AN715" s="2">
        <v>124.93</v>
      </c>
      <c r="AO715" s="2" t="s">
        <v>431</v>
      </c>
      <c r="AP715" s="2" t="s">
        <v>1383</v>
      </c>
      <c r="AQ715" s="2" t="s">
        <v>97</v>
      </c>
      <c r="AR715" s="2" t="s">
        <v>81</v>
      </c>
      <c r="AS715" s="2">
        <v>365</v>
      </c>
      <c r="AT715" s="2">
        <v>17</v>
      </c>
      <c r="AU715" s="2" t="s">
        <v>421</v>
      </c>
      <c r="AV715" s="2">
        <v>59.99</v>
      </c>
      <c r="AW715" s="2">
        <v>0</v>
      </c>
      <c r="AX715" s="2" t="s">
        <v>3066</v>
      </c>
      <c r="AY715" s="2" t="s">
        <v>83</v>
      </c>
      <c r="AZ715" s="4">
        <v>42627</v>
      </c>
      <c r="BA715" s="5">
        <v>0.69305555555555554</v>
      </c>
      <c r="BB715" s="2">
        <v>2016</v>
      </c>
      <c r="BC715" s="2" t="s">
        <v>552</v>
      </c>
      <c r="BD715" s="2">
        <v>14</v>
      </c>
      <c r="BE715" s="4">
        <v>42631</v>
      </c>
      <c r="BF715" s="5">
        <v>0.69305555555555554</v>
      </c>
      <c r="BG715" s="2" t="str" cm="1">
        <f t="array" ref="BG715">_xlfn.IFS(BF715&lt;TIMEVALUE("06:00"),"Night", BF715&gt;=TIMEVALUE("21:00"),"Night",BF715&gt;=TIMEVALUE("17:00"),"Evening",BF715&gt;=TIMEVALUE("12:00"),"Afternoon", BF715&gt;=TIMEVALUE("06:00"),"Morning")</f>
        <v>Afternoon</v>
      </c>
      <c r="BH715" s="2">
        <v>2016</v>
      </c>
      <c r="BI715" s="2" t="s">
        <v>552</v>
      </c>
      <c r="BJ715" s="2">
        <v>18</v>
      </c>
    </row>
    <row r="716" spans="1:62" x14ac:dyDescent="0.3">
      <c r="A716" s="2" t="s">
        <v>86</v>
      </c>
      <c r="B716" s="2">
        <v>5</v>
      </c>
      <c r="C716" s="2">
        <v>4</v>
      </c>
      <c r="D716" s="2">
        <v>88.19</v>
      </c>
      <c r="E716" s="2">
        <v>251.96</v>
      </c>
      <c r="F716" s="2" t="s">
        <v>87</v>
      </c>
      <c r="G716" s="2" t="s">
        <v>88</v>
      </c>
      <c r="H716" s="2">
        <v>17</v>
      </c>
      <c r="I716" s="2" t="s">
        <v>412</v>
      </c>
      <c r="J716" s="2" t="s">
        <v>66</v>
      </c>
      <c r="K716" s="2" t="s">
        <v>67</v>
      </c>
      <c r="L716" s="2" t="s">
        <v>2731</v>
      </c>
      <c r="M716" s="2">
        <v>2464</v>
      </c>
      <c r="N716" s="2" t="s">
        <v>3010</v>
      </c>
      <c r="O716" s="2" t="s">
        <v>70</v>
      </c>
      <c r="P716" s="2" t="s">
        <v>71</v>
      </c>
      <c r="Q716" s="2" t="s">
        <v>3067</v>
      </c>
      <c r="R716" s="2">
        <v>725</v>
      </c>
      <c r="S716" s="2">
        <v>4</v>
      </c>
      <c r="T716" s="2" t="s">
        <v>417</v>
      </c>
      <c r="U716" s="2">
        <v>18.252393699999999</v>
      </c>
      <c r="V716" s="2">
        <v>-66.370552099999998</v>
      </c>
      <c r="W716" s="2" t="s">
        <v>74</v>
      </c>
      <c r="X716" s="2" t="s">
        <v>1361</v>
      </c>
      <c r="Y716" s="2" t="s">
        <v>1362</v>
      </c>
      <c r="Z716" s="2">
        <v>2464</v>
      </c>
      <c r="AA716" s="3">
        <v>42259.943055555559</v>
      </c>
      <c r="AB716" s="2">
        <v>23494</v>
      </c>
      <c r="AC716" s="2">
        <v>365</v>
      </c>
      <c r="AD716" s="2">
        <v>47.99</v>
      </c>
      <c r="AE716" s="2">
        <v>0.16</v>
      </c>
      <c r="AF716" s="2" t="str" cm="1">
        <f t="array" ref="AF716">_xlfn.IFS(AE716=0, "No Discount ", AE716&lt;=0.08,"Low Discount", AE716&lt;=0.16,"Medium Discount", AE716&gt;0.16, "High Discount")</f>
        <v>Medium Discount</v>
      </c>
      <c r="AG716" s="2">
        <v>58784</v>
      </c>
      <c r="AH716" s="2">
        <v>59.99</v>
      </c>
      <c r="AI716" s="2">
        <v>0.35</v>
      </c>
      <c r="AJ716" s="2" t="str" cm="1">
        <f t="array" ref="AJ716">_xlfn.IFS(AI716&lt;=0, "No Profit", AI716&lt;=0.16,"Low Profit",AI716&lt;=0.32,"Medium Profit",AI716&gt;0.32,"High Profit")</f>
        <v>High Profit</v>
      </c>
      <c r="AK716" s="2">
        <v>5</v>
      </c>
      <c r="AL716" s="2">
        <v>299.95</v>
      </c>
      <c r="AM716" s="2">
        <v>251.96</v>
      </c>
      <c r="AN716" s="2">
        <v>88.19</v>
      </c>
      <c r="AO716" s="2" t="s">
        <v>95</v>
      </c>
      <c r="AP716" s="2" t="s">
        <v>1361</v>
      </c>
      <c r="AQ716" s="2" t="s">
        <v>97</v>
      </c>
      <c r="AR716" s="2" t="s">
        <v>81</v>
      </c>
      <c r="AS716" s="2">
        <v>365</v>
      </c>
      <c r="AT716" s="2">
        <v>17</v>
      </c>
      <c r="AU716" s="2" t="s">
        <v>421</v>
      </c>
      <c r="AV716" s="2">
        <v>59.99</v>
      </c>
      <c r="AW716" s="2">
        <v>0</v>
      </c>
      <c r="AX716" s="2" t="s">
        <v>3068</v>
      </c>
      <c r="AY716" s="2" t="s">
        <v>83</v>
      </c>
      <c r="AZ716" s="4">
        <v>42259</v>
      </c>
      <c r="BA716" s="5">
        <v>0.94305555555555554</v>
      </c>
      <c r="BB716" s="2">
        <v>2015</v>
      </c>
      <c r="BC716" s="2" t="s">
        <v>552</v>
      </c>
      <c r="BD716" s="2">
        <v>12</v>
      </c>
      <c r="BE716" s="4">
        <v>42352</v>
      </c>
      <c r="BF716" s="5">
        <v>0.94305555555555554</v>
      </c>
      <c r="BG716" s="2" t="str" cm="1">
        <f t="array" ref="BG716">_xlfn.IFS(BF716&lt;TIMEVALUE("06:00"),"Night", BF716&gt;=TIMEVALUE("21:00"),"Night",BF716&gt;=TIMEVALUE("17:00"),"Evening",BF716&gt;=TIMEVALUE("12:00"),"Afternoon", BF716&gt;=TIMEVALUE("06:00"),"Morning")</f>
        <v>Night</v>
      </c>
      <c r="BH716" s="2">
        <v>2015</v>
      </c>
      <c r="BI716" s="2" t="s">
        <v>357</v>
      </c>
      <c r="BJ716" s="2">
        <v>14</v>
      </c>
    </row>
    <row r="717" spans="1:62" x14ac:dyDescent="0.3">
      <c r="A717" s="2" t="s">
        <v>86</v>
      </c>
      <c r="B717" s="2">
        <v>2</v>
      </c>
      <c r="C717" s="2">
        <v>4</v>
      </c>
      <c r="D717" s="2">
        <v>90.37</v>
      </c>
      <c r="E717" s="2">
        <v>248.96</v>
      </c>
      <c r="F717" s="2" t="s">
        <v>63</v>
      </c>
      <c r="G717" s="2" t="s">
        <v>64</v>
      </c>
      <c r="H717" s="2">
        <v>17</v>
      </c>
      <c r="I717" s="2" t="s">
        <v>412</v>
      </c>
      <c r="J717" s="2" t="s">
        <v>66</v>
      </c>
      <c r="K717" s="2" t="s">
        <v>67</v>
      </c>
      <c r="L717" s="2" t="s">
        <v>414</v>
      </c>
      <c r="M717" s="2">
        <v>11426</v>
      </c>
      <c r="N717" s="2" t="s">
        <v>425</v>
      </c>
      <c r="O717" s="2" t="s">
        <v>70</v>
      </c>
      <c r="P717" s="2" t="s">
        <v>71</v>
      </c>
      <c r="Q717" s="2" t="s">
        <v>3028</v>
      </c>
      <c r="R717" s="2">
        <v>725</v>
      </c>
      <c r="S717" s="2">
        <v>4</v>
      </c>
      <c r="T717" s="2" t="s">
        <v>417</v>
      </c>
      <c r="U717" s="2">
        <v>18.264800999999999</v>
      </c>
      <c r="V717" s="2">
        <v>-66.370575000000002</v>
      </c>
      <c r="W717" s="2" t="s">
        <v>74</v>
      </c>
      <c r="X717" s="2" t="s">
        <v>2323</v>
      </c>
      <c r="Y717" s="2" t="s">
        <v>143</v>
      </c>
      <c r="Z717" s="2">
        <v>11426</v>
      </c>
      <c r="AA717" s="3">
        <v>42431.73541666667</v>
      </c>
      <c r="AB717" s="2">
        <v>27316</v>
      </c>
      <c r="AC717" s="2">
        <v>365</v>
      </c>
      <c r="AD717" s="2">
        <v>50.99</v>
      </c>
      <c r="AE717" s="2">
        <v>0.17</v>
      </c>
      <c r="AF717" s="2" t="str" cm="1">
        <f t="array" ref="AF717">_xlfn.IFS(AE717=0, "No Discount ", AE717&lt;=0.08,"Low Discount", AE717&lt;=0.16,"Medium Discount", AE717&gt;0.16, "High Discount")</f>
        <v>High Discount</v>
      </c>
      <c r="AG717" s="2">
        <v>68417</v>
      </c>
      <c r="AH717" s="2">
        <v>59.99</v>
      </c>
      <c r="AI717" s="2">
        <v>0.36</v>
      </c>
      <c r="AJ717" s="2" t="str" cm="1">
        <f t="array" ref="AJ717">_xlfn.IFS(AI717&lt;=0, "No Profit", AI717&lt;=0.16,"Low Profit",AI717&lt;=0.32,"Medium Profit",AI717&gt;0.32,"High Profit")</f>
        <v>High Profit</v>
      </c>
      <c r="AK717" s="2">
        <v>5</v>
      </c>
      <c r="AL717" s="2">
        <v>299.95</v>
      </c>
      <c r="AM717" s="2">
        <v>248.96</v>
      </c>
      <c r="AN717" s="2">
        <v>90.37</v>
      </c>
      <c r="AO717" s="2" t="s">
        <v>145</v>
      </c>
      <c r="AP717" s="2" t="s">
        <v>146</v>
      </c>
      <c r="AQ717" s="2" t="s">
        <v>97</v>
      </c>
      <c r="AR717" s="2" t="s">
        <v>81</v>
      </c>
      <c r="AS717" s="2">
        <v>365</v>
      </c>
      <c r="AT717" s="2">
        <v>17</v>
      </c>
      <c r="AU717" s="2" t="s">
        <v>421</v>
      </c>
      <c r="AV717" s="2">
        <v>59.99</v>
      </c>
      <c r="AW717" s="2">
        <v>0</v>
      </c>
      <c r="AX717" s="3">
        <v>42492.73541666667</v>
      </c>
      <c r="AY717" s="2" t="s">
        <v>83</v>
      </c>
      <c r="AZ717" s="4">
        <v>42431</v>
      </c>
      <c r="BA717" s="5">
        <v>0.73541666666666672</v>
      </c>
      <c r="BB717" s="2">
        <v>2016</v>
      </c>
      <c r="BC717" s="2" t="s">
        <v>85</v>
      </c>
      <c r="BD717" s="2">
        <v>2</v>
      </c>
      <c r="BE717" s="4">
        <v>42492</v>
      </c>
      <c r="BF717" s="5">
        <v>0.73541666666666672</v>
      </c>
      <c r="BG717" s="2" t="str" cm="1">
        <f t="array" ref="BG717">_xlfn.IFS(BF717&lt;TIMEVALUE("06:00"),"Night", BF717&gt;=TIMEVALUE("21:00"),"Night",BF717&gt;=TIMEVALUE("17:00"),"Evening",BF717&gt;=TIMEVALUE("12:00"),"Afternoon", BF717&gt;=TIMEVALUE("06:00"),"Morning")</f>
        <v>Evening</v>
      </c>
      <c r="BH717" s="2">
        <v>2016</v>
      </c>
      <c r="BI717" s="2" t="s">
        <v>443</v>
      </c>
      <c r="BJ717" s="2">
        <v>2</v>
      </c>
    </row>
    <row r="718" spans="1:62" x14ac:dyDescent="0.3">
      <c r="A718" s="2" t="s">
        <v>86</v>
      </c>
      <c r="B718" s="2">
        <v>2</v>
      </c>
      <c r="C718" s="2">
        <v>4</v>
      </c>
      <c r="D718" s="2">
        <v>74.69</v>
      </c>
      <c r="E718" s="2">
        <v>248.96</v>
      </c>
      <c r="F718" s="2" t="s">
        <v>63</v>
      </c>
      <c r="G718" s="2" t="s">
        <v>64</v>
      </c>
      <c r="H718" s="2">
        <v>17</v>
      </c>
      <c r="I718" s="2" t="s">
        <v>412</v>
      </c>
      <c r="J718" s="2" t="s">
        <v>66</v>
      </c>
      <c r="K718" s="2" t="s">
        <v>67</v>
      </c>
      <c r="L718" s="2" t="s">
        <v>414</v>
      </c>
      <c r="M718" s="2">
        <v>11664</v>
      </c>
      <c r="N718" s="2" t="s">
        <v>425</v>
      </c>
      <c r="O718" s="2" t="s">
        <v>70</v>
      </c>
      <c r="P718" s="2" t="s">
        <v>71</v>
      </c>
      <c r="Q718" s="2" t="s">
        <v>1541</v>
      </c>
      <c r="R718" s="2">
        <v>725</v>
      </c>
      <c r="S718" s="2">
        <v>4</v>
      </c>
      <c r="T718" s="2" t="s">
        <v>417</v>
      </c>
      <c r="U718" s="2">
        <v>18.283336599999998</v>
      </c>
      <c r="V718" s="2">
        <v>-66.370536799999996</v>
      </c>
      <c r="W718" s="2" t="s">
        <v>74</v>
      </c>
      <c r="X718" s="2" t="s">
        <v>1442</v>
      </c>
      <c r="Y718" s="2" t="s">
        <v>1443</v>
      </c>
      <c r="Z718" s="2">
        <v>11664</v>
      </c>
      <c r="AA718" s="3">
        <v>42046.529166666667</v>
      </c>
      <c r="AB718" s="2">
        <v>20931</v>
      </c>
      <c r="AC718" s="2">
        <v>365</v>
      </c>
      <c r="AD718" s="2">
        <v>50.99</v>
      </c>
      <c r="AE718" s="2">
        <v>0.17</v>
      </c>
      <c r="AF718" s="2" t="str" cm="1">
        <f t="array" ref="AF718">_xlfn.IFS(AE718=0, "No Discount ", AE718&lt;=0.08,"Low Discount", AE718&lt;=0.16,"Medium Discount", AE718&gt;0.16, "High Discount")</f>
        <v>High Discount</v>
      </c>
      <c r="AG718" s="2">
        <v>52296</v>
      </c>
      <c r="AH718" s="2">
        <v>59.99</v>
      </c>
      <c r="AI718" s="2">
        <v>0.3</v>
      </c>
      <c r="AJ718" s="2" t="str" cm="1">
        <f t="array" ref="AJ718">_xlfn.IFS(AI718&lt;=0, "No Profit", AI718&lt;=0.16,"Low Profit",AI718&lt;=0.32,"Medium Profit",AI718&gt;0.32,"High Profit")</f>
        <v>Medium Profit</v>
      </c>
      <c r="AK718" s="2">
        <v>5</v>
      </c>
      <c r="AL718" s="2">
        <v>299.95</v>
      </c>
      <c r="AM718" s="2">
        <v>248.96</v>
      </c>
      <c r="AN718" s="2">
        <v>74.69</v>
      </c>
      <c r="AO718" s="2" t="s">
        <v>78</v>
      </c>
      <c r="AP718" s="2" t="s">
        <v>1445</v>
      </c>
      <c r="AQ718" s="2" t="s">
        <v>97</v>
      </c>
      <c r="AR718" s="2" t="s">
        <v>81</v>
      </c>
      <c r="AS718" s="2">
        <v>365</v>
      </c>
      <c r="AT718" s="2">
        <v>17</v>
      </c>
      <c r="AU718" s="2" t="s">
        <v>421</v>
      </c>
      <c r="AV718" s="2">
        <v>59.99</v>
      </c>
      <c r="AW718" s="2">
        <v>0</v>
      </c>
      <c r="AX718" s="3">
        <v>42105.529166666667</v>
      </c>
      <c r="AY718" s="2" t="s">
        <v>83</v>
      </c>
      <c r="AZ718" s="4">
        <v>42046</v>
      </c>
      <c r="BA718" s="5">
        <v>0.52916666666666667</v>
      </c>
      <c r="BB718" s="2">
        <v>2015</v>
      </c>
      <c r="BC718" s="2" t="s">
        <v>423</v>
      </c>
      <c r="BD718" s="2">
        <v>11</v>
      </c>
      <c r="BE718" s="4">
        <v>42105</v>
      </c>
      <c r="BF718" s="5">
        <v>0.52916666666666667</v>
      </c>
      <c r="BG718" s="2" t="str" cm="1">
        <f t="array" ref="BG718">_xlfn.IFS(BF718&lt;TIMEVALUE("06:00"),"Night", BF718&gt;=TIMEVALUE("21:00"),"Night",BF718&gt;=TIMEVALUE("17:00"),"Evening",BF718&gt;=TIMEVALUE("12:00"),"Afternoon", BF718&gt;=TIMEVALUE("06:00"),"Morning")</f>
        <v>Afternoon</v>
      </c>
      <c r="BH718" s="2">
        <v>2015</v>
      </c>
      <c r="BI718" s="2" t="s">
        <v>487</v>
      </c>
      <c r="BJ718" s="2">
        <v>11</v>
      </c>
    </row>
    <row r="719" spans="1:62" x14ac:dyDescent="0.3">
      <c r="A719" s="2" t="s">
        <v>86</v>
      </c>
      <c r="B719" s="2">
        <v>6</v>
      </c>
      <c r="C719" s="2">
        <v>4</v>
      </c>
      <c r="D719" s="2">
        <v>89.28</v>
      </c>
      <c r="E719" s="2">
        <v>245.96</v>
      </c>
      <c r="F719" s="2" t="s">
        <v>87</v>
      </c>
      <c r="G719" s="2" t="s">
        <v>88</v>
      </c>
      <c r="H719" s="2">
        <v>17</v>
      </c>
      <c r="I719" s="2" t="s">
        <v>412</v>
      </c>
      <c r="J719" s="2" t="s">
        <v>2636</v>
      </c>
      <c r="K719" s="2" t="s">
        <v>67</v>
      </c>
      <c r="L719" s="2" t="s">
        <v>414</v>
      </c>
      <c r="M719" s="2">
        <v>3770</v>
      </c>
      <c r="N719" s="2" t="s">
        <v>1462</v>
      </c>
      <c r="O719" s="2" t="s">
        <v>70</v>
      </c>
      <c r="P719" s="2" t="s">
        <v>71</v>
      </c>
      <c r="Q719" s="2" t="s">
        <v>3069</v>
      </c>
      <c r="R719" s="2">
        <v>685</v>
      </c>
      <c r="S719" s="2">
        <v>4</v>
      </c>
      <c r="T719" s="2" t="s">
        <v>417</v>
      </c>
      <c r="U719" s="2">
        <v>18.337108600000001</v>
      </c>
      <c r="V719" s="2">
        <v>-66.992217999999994</v>
      </c>
      <c r="W719" s="2" t="s">
        <v>74</v>
      </c>
      <c r="X719" s="2" t="s">
        <v>1525</v>
      </c>
      <c r="Y719" s="2" t="s">
        <v>76</v>
      </c>
      <c r="Z719" s="2">
        <v>3770</v>
      </c>
      <c r="AA719" s="3">
        <v>42553.224305555559</v>
      </c>
      <c r="AB719" s="2">
        <v>27555</v>
      </c>
      <c r="AC719" s="2">
        <v>365</v>
      </c>
      <c r="AD719" s="2">
        <v>53.99</v>
      </c>
      <c r="AE719" s="2">
        <v>0.18</v>
      </c>
      <c r="AF719" s="2" t="str" cm="1">
        <f t="array" ref="AF719">_xlfn.IFS(AE719=0, "No Discount ", AE719&lt;=0.08,"Low Discount", AE719&lt;=0.16,"Medium Discount", AE719&gt;0.16, "High Discount")</f>
        <v>High Discount</v>
      </c>
      <c r="AG719" s="2">
        <v>68975</v>
      </c>
      <c r="AH719" s="2">
        <v>59.99</v>
      </c>
      <c r="AI719" s="2">
        <v>0.36</v>
      </c>
      <c r="AJ719" s="2" t="str" cm="1">
        <f t="array" ref="AJ719">_xlfn.IFS(AI719&lt;=0, "No Profit", AI719&lt;=0.16,"Low Profit",AI719&lt;=0.32,"Medium Profit",AI719&gt;0.32,"High Profit")</f>
        <v>High Profit</v>
      </c>
      <c r="AK719" s="2">
        <v>5</v>
      </c>
      <c r="AL719" s="2">
        <v>299.95</v>
      </c>
      <c r="AM719" s="2">
        <v>245.96</v>
      </c>
      <c r="AN719" s="2">
        <v>89.28</v>
      </c>
      <c r="AO719" s="2" t="s">
        <v>78</v>
      </c>
      <c r="AP719" s="2" t="s">
        <v>1527</v>
      </c>
      <c r="AQ719" s="2" t="s">
        <v>97</v>
      </c>
      <c r="AR719" s="2" t="s">
        <v>81</v>
      </c>
      <c r="AS719" s="2">
        <v>365</v>
      </c>
      <c r="AT719" s="2">
        <v>17</v>
      </c>
      <c r="AU719" s="2" t="s">
        <v>421</v>
      </c>
      <c r="AV719" s="2">
        <v>59.99</v>
      </c>
      <c r="AW719" s="2">
        <v>0</v>
      </c>
      <c r="AX719" s="2" t="s">
        <v>3070</v>
      </c>
      <c r="AY719" s="2" t="s">
        <v>83</v>
      </c>
      <c r="AZ719" s="4">
        <v>42553</v>
      </c>
      <c r="BA719" s="5">
        <v>0.22430555555555556</v>
      </c>
      <c r="BB719" s="2">
        <v>2016</v>
      </c>
      <c r="BC719" s="2" t="s">
        <v>533</v>
      </c>
      <c r="BD719" s="2">
        <v>2</v>
      </c>
      <c r="BE719" s="4">
        <v>42413</v>
      </c>
      <c r="BF719" s="5">
        <v>0.22430555555555556</v>
      </c>
      <c r="BG719" s="2" t="str" cm="1">
        <f t="array" ref="BG719">_xlfn.IFS(BF719&lt;TIMEVALUE("06:00"),"Night", BF719&gt;=TIMEVALUE("21:00"),"Night",BF719&gt;=TIMEVALUE("17:00"),"Evening",BF719&gt;=TIMEVALUE("12:00"),"Afternoon", BF719&gt;=TIMEVALUE("06:00"),"Morning")</f>
        <v>Night</v>
      </c>
      <c r="BH719" s="2">
        <v>2016</v>
      </c>
      <c r="BI719" s="2" t="s">
        <v>423</v>
      </c>
      <c r="BJ719" s="2">
        <v>13</v>
      </c>
    </row>
    <row r="720" spans="1:62" x14ac:dyDescent="0.3">
      <c r="A720" s="2" t="s">
        <v>86</v>
      </c>
      <c r="B720" s="2">
        <v>3</v>
      </c>
      <c r="C720" s="2">
        <v>4</v>
      </c>
      <c r="D720" s="2">
        <v>95.02</v>
      </c>
      <c r="E720" s="2">
        <v>197.95</v>
      </c>
      <c r="F720" s="2" t="s">
        <v>63</v>
      </c>
      <c r="G720" s="2" t="s">
        <v>64</v>
      </c>
      <c r="H720" s="2">
        <v>29</v>
      </c>
      <c r="I720" s="2" t="s">
        <v>424</v>
      </c>
      <c r="J720" s="2" t="s">
        <v>66</v>
      </c>
      <c r="K720" s="2" t="s">
        <v>67</v>
      </c>
      <c r="L720" s="2" t="s">
        <v>3071</v>
      </c>
      <c r="M720" s="2">
        <v>1306</v>
      </c>
      <c r="N720" s="2" t="s">
        <v>406</v>
      </c>
      <c r="O720" s="2" t="s">
        <v>70</v>
      </c>
      <c r="P720" s="2" t="s">
        <v>71</v>
      </c>
      <c r="Q720" s="2" t="s">
        <v>3072</v>
      </c>
      <c r="R720" s="2">
        <v>725</v>
      </c>
      <c r="S720" s="2">
        <v>5</v>
      </c>
      <c r="T720" s="2" t="s">
        <v>427</v>
      </c>
      <c r="U720" s="2">
        <v>18.236196499999998</v>
      </c>
      <c r="V720" s="2">
        <v>-66.370498699999999</v>
      </c>
      <c r="W720" s="2" t="s">
        <v>74</v>
      </c>
      <c r="X720" s="2" t="s">
        <v>1316</v>
      </c>
      <c r="Y720" s="2" t="s">
        <v>116</v>
      </c>
      <c r="Z720" s="2">
        <v>1306</v>
      </c>
      <c r="AA720" s="2" t="s">
        <v>3073</v>
      </c>
      <c r="AB720" s="2">
        <v>28657</v>
      </c>
      <c r="AC720" s="2">
        <v>627</v>
      </c>
      <c r="AD720" s="2">
        <v>2</v>
      </c>
      <c r="AE720" s="2">
        <v>0.01</v>
      </c>
      <c r="AF720" s="2" t="str" cm="1">
        <f t="array" ref="AF720">_xlfn.IFS(AE720=0, "No Discount ", AE720&lt;=0.08,"Low Discount", AE720&lt;=0.16,"Medium Discount", AE720&gt;0.16, "High Discount")</f>
        <v>Low Discount</v>
      </c>
      <c r="AG720" s="2">
        <v>71724</v>
      </c>
      <c r="AH720" s="2">
        <v>39.99</v>
      </c>
      <c r="AI720" s="2">
        <v>0.48</v>
      </c>
      <c r="AJ720" s="2" t="str" cm="1">
        <f t="array" ref="AJ720">_xlfn.IFS(AI720&lt;=0, "No Profit", AI720&lt;=0.16,"Low Profit",AI720&lt;=0.32,"Medium Profit",AI720&gt;0.32,"High Profit")</f>
        <v>High Profit</v>
      </c>
      <c r="AK720" s="2">
        <v>5</v>
      </c>
      <c r="AL720" s="2">
        <v>199.95</v>
      </c>
      <c r="AM720" s="2">
        <v>197.95</v>
      </c>
      <c r="AN720" s="2">
        <v>95.02</v>
      </c>
      <c r="AO720" s="2" t="s">
        <v>118</v>
      </c>
      <c r="AP720" s="2" t="s">
        <v>355</v>
      </c>
      <c r="AQ720" s="2" t="s">
        <v>97</v>
      </c>
      <c r="AR720" s="2" t="s">
        <v>81</v>
      </c>
      <c r="AS720" s="2">
        <v>627</v>
      </c>
      <c r="AT720" s="2">
        <v>29</v>
      </c>
      <c r="AU720" s="2" t="s">
        <v>432</v>
      </c>
      <c r="AV720" s="2">
        <v>39.99</v>
      </c>
      <c r="AW720" s="2">
        <v>0</v>
      </c>
      <c r="AX720" s="2" t="s">
        <v>3074</v>
      </c>
      <c r="AY720" s="2" t="s">
        <v>83</v>
      </c>
      <c r="AZ720" s="4">
        <v>42423</v>
      </c>
      <c r="BA720" s="5">
        <v>0.31111111111111112</v>
      </c>
      <c r="BB720" s="2">
        <v>2016</v>
      </c>
      <c r="BC720" s="2" t="s">
        <v>423</v>
      </c>
      <c r="BD720" s="2">
        <v>23</v>
      </c>
      <c r="BE720" s="4">
        <v>42426</v>
      </c>
      <c r="BF720" s="5">
        <v>0.31111111111111112</v>
      </c>
      <c r="BG720" s="2" t="str" cm="1">
        <f t="array" ref="BG720">_xlfn.IFS(BF720&lt;TIMEVALUE("06:00"),"Night", BF720&gt;=TIMEVALUE("21:00"),"Night",BF720&gt;=TIMEVALUE("17:00"),"Evening",BF720&gt;=TIMEVALUE("12:00"),"Afternoon", BF720&gt;=TIMEVALUE("06:00"),"Morning")</f>
        <v>Morning</v>
      </c>
      <c r="BH720" s="2">
        <v>2016</v>
      </c>
      <c r="BI720" s="2" t="s">
        <v>423</v>
      </c>
      <c r="BJ720" s="2">
        <v>26</v>
      </c>
    </row>
    <row r="721" spans="1:62" x14ac:dyDescent="0.3">
      <c r="A721" s="2" t="s">
        <v>86</v>
      </c>
      <c r="B721" s="2">
        <v>2</v>
      </c>
      <c r="C721" s="2">
        <v>4</v>
      </c>
      <c r="D721" s="2">
        <v>7.43</v>
      </c>
      <c r="E721" s="2">
        <v>247.5</v>
      </c>
      <c r="F721" s="2" t="s">
        <v>63</v>
      </c>
      <c r="G721" s="2" t="s">
        <v>64</v>
      </c>
      <c r="H721" s="2">
        <v>24</v>
      </c>
      <c r="I721" s="2" t="s">
        <v>435</v>
      </c>
      <c r="J721" s="2" t="s">
        <v>66</v>
      </c>
      <c r="K721" s="2" t="s">
        <v>67</v>
      </c>
      <c r="L721" s="2" t="s">
        <v>2974</v>
      </c>
      <c r="M721" s="2">
        <v>10811</v>
      </c>
      <c r="N721" s="2" t="s">
        <v>1863</v>
      </c>
      <c r="O721" s="2" t="s">
        <v>70</v>
      </c>
      <c r="P721" s="2" t="s">
        <v>71</v>
      </c>
      <c r="Q721" s="2" t="s">
        <v>3075</v>
      </c>
      <c r="R721" s="2">
        <v>725</v>
      </c>
      <c r="S721" s="2">
        <v>5</v>
      </c>
      <c r="T721" s="2" t="s">
        <v>427</v>
      </c>
      <c r="U721" s="2">
        <v>18.222885099999999</v>
      </c>
      <c r="V721" s="2">
        <v>-66.370582600000006</v>
      </c>
      <c r="W721" s="2" t="s">
        <v>74</v>
      </c>
      <c r="X721" s="2" t="s">
        <v>1383</v>
      </c>
      <c r="Y721" s="2" t="s">
        <v>1384</v>
      </c>
      <c r="Z721" s="2">
        <v>10811</v>
      </c>
      <c r="AA721" s="2" t="s">
        <v>3076</v>
      </c>
      <c r="AB721" s="2">
        <v>47011</v>
      </c>
      <c r="AC721" s="2">
        <v>502</v>
      </c>
      <c r="AD721" s="2">
        <v>2.5</v>
      </c>
      <c r="AE721" s="2">
        <v>0.01</v>
      </c>
      <c r="AF721" s="2" t="str" cm="1">
        <f t="array" ref="AF721">_xlfn.IFS(AE721=0, "No Discount ", AE721&lt;=0.08,"Low Discount", AE721&lt;=0.16,"Medium Discount", AE721&gt;0.16, "High Discount")</f>
        <v>Low Discount</v>
      </c>
      <c r="AG721" s="2">
        <v>117485</v>
      </c>
      <c r="AH721" s="2">
        <v>50</v>
      </c>
      <c r="AI721" s="2">
        <v>0.03</v>
      </c>
      <c r="AJ721" s="2" t="str" cm="1">
        <f t="array" ref="AJ721">_xlfn.IFS(AI721&lt;=0, "No Profit", AI721&lt;=0.16,"Low Profit",AI721&lt;=0.32,"Medium Profit",AI721&gt;0.32,"High Profit")</f>
        <v>Low Profit</v>
      </c>
      <c r="AK721" s="2">
        <v>5</v>
      </c>
      <c r="AL721" s="2">
        <v>250</v>
      </c>
      <c r="AM721" s="2">
        <v>247.5</v>
      </c>
      <c r="AN721" s="2">
        <v>7.43</v>
      </c>
      <c r="AO721" s="2" t="s">
        <v>431</v>
      </c>
      <c r="AP721" s="2" t="s">
        <v>1383</v>
      </c>
      <c r="AQ721" s="2" t="s">
        <v>97</v>
      </c>
      <c r="AR721" s="2" t="s">
        <v>81</v>
      </c>
      <c r="AS721" s="2">
        <v>502</v>
      </c>
      <c r="AT721" s="2">
        <v>24</v>
      </c>
      <c r="AU721" s="2" t="s">
        <v>442</v>
      </c>
      <c r="AV721" s="2">
        <v>50</v>
      </c>
      <c r="AW721" s="2">
        <v>0</v>
      </c>
      <c r="AX721" s="2" t="s">
        <v>3077</v>
      </c>
      <c r="AY721" s="2" t="s">
        <v>83</v>
      </c>
      <c r="AZ721" s="4">
        <v>42691</v>
      </c>
      <c r="BA721" s="5">
        <v>0.23680555555555555</v>
      </c>
      <c r="BB721" s="2">
        <v>2016</v>
      </c>
      <c r="BC721" s="2" t="s">
        <v>455</v>
      </c>
      <c r="BD721" s="2">
        <v>17</v>
      </c>
      <c r="BE721" s="4">
        <v>42693</v>
      </c>
      <c r="BF721" s="5">
        <v>0.23680555555555555</v>
      </c>
      <c r="BG721" s="2" t="str" cm="1">
        <f t="array" ref="BG721">_xlfn.IFS(BF721&lt;TIMEVALUE("06:00"),"Night", BF721&gt;=TIMEVALUE("21:00"),"Night",BF721&gt;=TIMEVALUE("17:00"),"Evening",BF721&gt;=TIMEVALUE("12:00"),"Afternoon", BF721&gt;=TIMEVALUE("06:00"),"Morning")</f>
        <v>Night</v>
      </c>
      <c r="BH721" s="2">
        <v>2016</v>
      </c>
      <c r="BI721" s="2" t="s">
        <v>455</v>
      </c>
      <c r="BJ721" s="2">
        <v>19</v>
      </c>
    </row>
    <row r="722" spans="1:62" x14ac:dyDescent="0.3">
      <c r="A722" s="2" t="s">
        <v>86</v>
      </c>
      <c r="B722" s="2">
        <v>2</v>
      </c>
      <c r="C722" s="2">
        <v>4</v>
      </c>
      <c r="D722" s="2">
        <v>27.69</v>
      </c>
      <c r="E722" s="2">
        <v>245</v>
      </c>
      <c r="F722" s="2" t="s">
        <v>63</v>
      </c>
      <c r="G722" s="2" t="s">
        <v>64</v>
      </c>
      <c r="H722" s="2">
        <v>24</v>
      </c>
      <c r="I722" s="2" t="s">
        <v>435</v>
      </c>
      <c r="J722" s="2" t="s">
        <v>66</v>
      </c>
      <c r="K722" s="2" t="s">
        <v>67</v>
      </c>
      <c r="L722" s="2" t="s">
        <v>414</v>
      </c>
      <c r="M722" s="2">
        <v>6073</v>
      </c>
      <c r="N722" s="2" t="s">
        <v>3051</v>
      </c>
      <c r="O722" s="2" t="s">
        <v>70</v>
      </c>
      <c r="P722" s="2" t="s">
        <v>71</v>
      </c>
      <c r="Q722" s="2" t="s">
        <v>3052</v>
      </c>
      <c r="R722" s="2">
        <v>725</v>
      </c>
      <c r="S722" s="2">
        <v>5</v>
      </c>
      <c r="T722" s="2" t="s">
        <v>427</v>
      </c>
      <c r="U722" s="2">
        <v>18.220485700000001</v>
      </c>
      <c r="V722" s="2">
        <v>-66.3706131</v>
      </c>
      <c r="W722" s="2" t="s">
        <v>74</v>
      </c>
      <c r="X722" s="2" t="s">
        <v>3053</v>
      </c>
      <c r="Y722" s="2" t="s">
        <v>429</v>
      </c>
      <c r="Z722" s="2">
        <v>6073</v>
      </c>
      <c r="AA722" s="2" t="s">
        <v>3054</v>
      </c>
      <c r="AB722" s="2">
        <v>47846</v>
      </c>
      <c r="AC722" s="2">
        <v>502</v>
      </c>
      <c r="AD722" s="2">
        <v>5</v>
      </c>
      <c r="AE722" s="2">
        <v>0.02</v>
      </c>
      <c r="AF722" s="2" t="str" cm="1">
        <f t="array" ref="AF722">_xlfn.IFS(AE722=0, "No Discount ", AE722&lt;=0.08,"Low Discount", AE722&lt;=0.16,"Medium Discount", AE722&gt;0.16, "High Discount")</f>
        <v>Low Discount</v>
      </c>
      <c r="AG722" s="2">
        <v>119639</v>
      </c>
      <c r="AH722" s="2">
        <v>50</v>
      </c>
      <c r="AI722" s="2">
        <v>0.11</v>
      </c>
      <c r="AJ722" s="2" t="str" cm="1">
        <f t="array" ref="AJ722">_xlfn.IFS(AI722&lt;=0, "No Profit", AI722&lt;=0.16,"Low Profit",AI722&lt;=0.32,"Medium Profit",AI722&gt;0.32,"High Profit")</f>
        <v>Low Profit</v>
      </c>
      <c r="AK722" s="2">
        <v>5</v>
      </c>
      <c r="AL722" s="2">
        <v>250</v>
      </c>
      <c r="AM722" s="2">
        <v>245</v>
      </c>
      <c r="AN722" s="2">
        <v>27.69</v>
      </c>
      <c r="AO722" s="2" t="s">
        <v>431</v>
      </c>
      <c r="AP722" s="2" t="s">
        <v>3053</v>
      </c>
      <c r="AQ722" s="2" t="s">
        <v>97</v>
      </c>
      <c r="AR722" s="2" t="s">
        <v>81</v>
      </c>
      <c r="AS722" s="2">
        <v>502</v>
      </c>
      <c r="AT722" s="2">
        <v>24</v>
      </c>
      <c r="AU722" s="2" t="s">
        <v>442</v>
      </c>
      <c r="AV722" s="2">
        <v>50</v>
      </c>
      <c r="AW722" s="2">
        <v>0</v>
      </c>
      <c r="AX722" s="3">
        <v>42381.426388888889</v>
      </c>
      <c r="AY722" s="2" t="s">
        <v>83</v>
      </c>
      <c r="AZ722" s="4">
        <v>42703</v>
      </c>
      <c r="BA722" s="5">
        <v>0.42638888888888887</v>
      </c>
      <c r="BB722" s="2">
        <v>2016</v>
      </c>
      <c r="BC722" s="2" t="s">
        <v>455</v>
      </c>
      <c r="BD722" s="2">
        <v>29</v>
      </c>
      <c r="BE722" s="4">
        <v>42381</v>
      </c>
      <c r="BF722" s="5">
        <v>0.42638888888888887</v>
      </c>
      <c r="BG722" s="2" t="str" cm="1">
        <f t="array" ref="BG722">_xlfn.IFS(BF722&lt;TIMEVALUE("06:00"),"Night", BF722&gt;=TIMEVALUE("21:00"),"Night",BF722&gt;=TIMEVALUE("17:00"),"Evening",BF722&gt;=TIMEVALUE("12:00"),"Afternoon", BF722&gt;=TIMEVALUE("06:00"),"Morning")</f>
        <v>Morning</v>
      </c>
      <c r="BH722" s="2">
        <v>2016</v>
      </c>
      <c r="BI722" s="2" t="s">
        <v>84</v>
      </c>
      <c r="BJ722" s="2">
        <v>12</v>
      </c>
    </row>
    <row r="723" spans="1:62" x14ac:dyDescent="0.3">
      <c r="A723" s="2" t="s">
        <v>86</v>
      </c>
      <c r="B723" s="2">
        <v>4</v>
      </c>
      <c r="C723" s="2">
        <v>4</v>
      </c>
      <c r="D723" s="2">
        <v>90.22</v>
      </c>
      <c r="E723" s="2">
        <v>191.95</v>
      </c>
      <c r="F723" s="2" t="s">
        <v>100</v>
      </c>
      <c r="G723" s="2" t="s">
        <v>64</v>
      </c>
      <c r="H723" s="2">
        <v>29</v>
      </c>
      <c r="I723" s="2" t="s">
        <v>424</v>
      </c>
      <c r="J723" s="2" t="s">
        <v>66</v>
      </c>
      <c r="K723" s="2" t="s">
        <v>67</v>
      </c>
      <c r="L723" s="2" t="s">
        <v>2475</v>
      </c>
      <c r="M723" s="2">
        <v>12033</v>
      </c>
      <c r="N723" s="2" t="s">
        <v>3078</v>
      </c>
      <c r="O723" s="2" t="s">
        <v>70</v>
      </c>
      <c r="P723" s="2" t="s">
        <v>71</v>
      </c>
      <c r="Q723" s="2" t="s">
        <v>3079</v>
      </c>
      <c r="R723" s="2">
        <v>725</v>
      </c>
      <c r="S723" s="2">
        <v>5</v>
      </c>
      <c r="T723" s="2" t="s">
        <v>427</v>
      </c>
      <c r="U723" s="2">
        <v>18.2406349</v>
      </c>
      <c r="V723" s="2">
        <v>-66.370506300000002</v>
      </c>
      <c r="W723" s="2" t="s">
        <v>74</v>
      </c>
      <c r="X723" s="2" t="s">
        <v>1471</v>
      </c>
      <c r="Y723" s="2" t="s">
        <v>143</v>
      </c>
      <c r="Z723" s="2">
        <v>12033</v>
      </c>
      <c r="AA723" s="2" t="s">
        <v>3080</v>
      </c>
      <c r="AB723" s="2">
        <v>21973</v>
      </c>
      <c r="AC723" s="2">
        <v>627</v>
      </c>
      <c r="AD723" s="2">
        <v>8</v>
      </c>
      <c r="AE723" s="2">
        <v>0.04</v>
      </c>
      <c r="AF723" s="2" t="str" cm="1">
        <f t="array" ref="AF723">_xlfn.IFS(AE723=0, "No Discount ", AE723&lt;=0.08,"Low Discount", AE723&lt;=0.16,"Medium Discount", AE723&gt;0.16, "High Discount")</f>
        <v>Low Discount</v>
      </c>
      <c r="AG723" s="2">
        <v>54960</v>
      </c>
      <c r="AH723" s="2">
        <v>39.99</v>
      </c>
      <c r="AI723" s="2">
        <v>0.47</v>
      </c>
      <c r="AJ723" s="2" t="str" cm="1">
        <f t="array" ref="AJ723">_xlfn.IFS(AI723&lt;=0, "No Profit", AI723&lt;=0.16,"Low Profit",AI723&lt;=0.32,"Medium Profit",AI723&gt;0.32,"High Profit")</f>
        <v>High Profit</v>
      </c>
      <c r="AK723" s="2">
        <v>5</v>
      </c>
      <c r="AL723" s="2">
        <v>199.95</v>
      </c>
      <c r="AM723" s="2">
        <v>191.95</v>
      </c>
      <c r="AN723" s="2">
        <v>90.22</v>
      </c>
      <c r="AO723" s="2" t="s">
        <v>145</v>
      </c>
      <c r="AP723" s="2" t="s">
        <v>1473</v>
      </c>
      <c r="AQ723" s="2" t="s">
        <v>97</v>
      </c>
      <c r="AR723" s="2" t="s">
        <v>81</v>
      </c>
      <c r="AS723" s="2">
        <v>627</v>
      </c>
      <c r="AT723" s="2">
        <v>29</v>
      </c>
      <c r="AU723" s="2" t="s">
        <v>432</v>
      </c>
      <c r="AV723" s="2">
        <v>39.99</v>
      </c>
      <c r="AW723" s="2">
        <v>0</v>
      </c>
      <c r="AX723" s="2" t="s">
        <v>3081</v>
      </c>
      <c r="AY723" s="2" t="s">
        <v>83</v>
      </c>
      <c r="AZ723" s="4">
        <v>42325</v>
      </c>
      <c r="BA723" s="5">
        <v>0.74027777777777781</v>
      </c>
      <c r="BB723" s="2">
        <v>2015</v>
      </c>
      <c r="BC723" s="2" t="s">
        <v>455</v>
      </c>
      <c r="BD723" s="2">
        <v>17</v>
      </c>
      <c r="BE723" s="4">
        <v>42329</v>
      </c>
      <c r="BF723" s="5">
        <v>0.74027777777777781</v>
      </c>
      <c r="BG723" s="2" t="str" cm="1">
        <f t="array" ref="BG723">_xlfn.IFS(BF723&lt;TIMEVALUE("06:00"),"Night", BF723&gt;=TIMEVALUE("21:00"),"Night",BF723&gt;=TIMEVALUE("17:00"),"Evening",BF723&gt;=TIMEVALUE("12:00"),"Afternoon", BF723&gt;=TIMEVALUE("06:00"),"Morning")</f>
        <v>Evening</v>
      </c>
      <c r="BH723" s="2">
        <v>2015</v>
      </c>
      <c r="BI723" s="2" t="s">
        <v>455</v>
      </c>
      <c r="BJ723" s="2">
        <v>21</v>
      </c>
    </row>
    <row r="724" spans="1:62" x14ac:dyDescent="0.3">
      <c r="A724" s="2" t="s">
        <v>86</v>
      </c>
      <c r="B724" s="2">
        <v>2</v>
      </c>
      <c r="C724" s="2">
        <v>4</v>
      </c>
      <c r="D724" s="2">
        <v>92.63</v>
      </c>
      <c r="E724" s="2">
        <v>237.5</v>
      </c>
      <c r="F724" s="2" t="s">
        <v>63</v>
      </c>
      <c r="G724" s="2" t="s">
        <v>64</v>
      </c>
      <c r="H724" s="2">
        <v>24</v>
      </c>
      <c r="I724" s="2" t="s">
        <v>435</v>
      </c>
      <c r="J724" s="2" t="s">
        <v>66</v>
      </c>
      <c r="K724" s="2" t="s">
        <v>67</v>
      </c>
      <c r="L724" s="2" t="s">
        <v>414</v>
      </c>
      <c r="M724" s="2">
        <v>9248</v>
      </c>
      <c r="N724" s="2" t="s">
        <v>90</v>
      </c>
      <c r="O724" s="2" t="s">
        <v>70</v>
      </c>
      <c r="P724" s="2" t="s">
        <v>71</v>
      </c>
      <c r="Q724" s="2" t="s">
        <v>1477</v>
      </c>
      <c r="R724" s="2">
        <v>725</v>
      </c>
      <c r="S724" s="2">
        <v>5</v>
      </c>
      <c r="T724" s="2" t="s">
        <v>427</v>
      </c>
      <c r="U724" s="2">
        <v>18.220285400000002</v>
      </c>
      <c r="V724" s="2">
        <v>-66.370628400000001</v>
      </c>
      <c r="W724" s="2" t="s">
        <v>74</v>
      </c>
      <c r="X724" s="2" t="s">
        <v>3082</v>
      </c>
      <c r="Y724" s="2" t="s">
        <v>3083</v>
      </c>
      <c r="Z724" s="2">
        <v>9248</v>
      </c>
      <c r="AA724" s="3">
        <v>42795.168749999997</v>
      </c>
      <c r="AB724" s="2">
        <v>50226</v>
      </c>
      <c r="AC724" s="2">
        <v>502</v>
      </c>
      <c r="AD724" s="2">
        <v>12.5</v>
      </c>
      <c r="AE724" s="2">
        <v>0.05</v>
      </c>
      <c r="AF724" s="2" t="str" cm="1">
        <f t="array" ref="AF724">_xlfn.IFS(AE724=0, "No Discount ", AE724&lt;=0.08,"Low Discount", AE724&lt;=0.16,"Medium Discount", AE724&gt;0.16, "High Discount")</f>
        <v>Low Discount</v>
      </c>
      <c r="AG724" s="2">
        <v>125535</v>
      </c>
      <c r="AH724" s="2">
        <v>50</v>
      </c>
      <c r="AI724" s="2">
        <v>0.39</v>
      </c>
      <c r="AJ724" s="2" t="str" cm="1">
        <f t="array" ref="AJ724">_xlfn.IFS(AI724&lt;=0, "No Profit", AI724&lt;=0.16,"Low Profit",AI724&lt;=0.32,"Medium Profit",AI724&gt;0.32,"High Profit")</f>
        <v>High Profit</v>
      </c>
      <c r="AK724" s="2">
        <v>5</v>
      </c>
      <c r="AL724" s="2">
        <v>250</v>
      </c>
      <c r="AM724" s="2">
        <v>237.5</v>
      </c>
      <c r="AN724" s="2">
        <v>92.63</v>
      </c>
      <c r="AO724" s="2" t="s">
        <v>431</v>
      </c>
      <c r="AP724" s="2" t="s">
        <v>3084</v>
      </c>
      <c r="AQ724" s="2" t="s">
        <v>97</v>
      </c>
      <c r="AR724" s="2" t="s">
        <v>81</v>
      </c>
      <c r="AS724" s="2">
        <v>502</v>
      </c>
      <c r="AT724" s="2">
        <v>24</v>
      </c>
      <c r="AU724" s="2" t="s">
        <v>442</v>
      </c>
      <c r="AV724" s="2">
        <v>50</v>
      </c>
      <c r="AW724" s="2">
        <v>0</v>
      </c>
      <c r="AX724" s="3">
        <v>42856.168749999997</v>
      </c>
      <c r="AY724" s="2" t="s">
        <v>83</v>
      </c>
      <c r="AZ724" s="4">
        <v>42795</v>
      </c>
      <c r="BA724" s="5">
        <v>0.16875000000000001</v>
      </c>
      <c r="BB724" s="2">
        <v>2017</v>
      </c>
      <c r="BC724" s="2" t="s">
        <v>85</v>
      </c>
      <c r="BD724" s="2">
        <v>1</v>
      </c>
      <c r="BE724" s="4">
        <v>42856</v>
      </c>
      <c r="BF724" s="5">
        <v>0.16875000000000001</v>
      </c>
      <c r="BG724" s="2" t="str" cm="1">
        <f t="array" ref="BG724">_xlfn.IFS(BF724&lt;TIMEVALUE("06:00"),"Night", BF724&gt;=TIMEVALUE("21:00"),"Night",BF724&gt;=TIMEVALUE("17:00"),"Evening",BF724&gt;=TIMEVALUE("12:00"),"Afternoon", BF724&gt;=TIMEVALUE("06:00"),"Morning")</f>
        <v>Night</v>
      </c>
      <c r="BH724" s="2">
        <v>2017</v>
      </c>
      <c r="BI724" s="2" t="s">
        <v>443</v>
      </c>
      <c r="BJ724" s="2">
        <v>1</v>
      </c>
    </row>
    <row r="725" spans="1:62" x14ac:dyDescent="0.3">
      <c r="A725" s="2" t="s">
        <v>86</v>
      </c>
      <c r="B725" s="2">
        <v>3</v>
      </c>
      <c r="C725" s="2">
        <v>4</v>
      </c>
      <c r="D725" s="2">
        <v>14.96</v>
      </c>
      <c r="E725" s="2">
        <v>237.5</v>
      </c>
      <c r="F725" s="2" t="s">
        <v>63</v>
      </c>
      <c r="G725" s="2" t="s">
        <v>64</v>
      </c>
      <c r="H725" s="2">
        <v>24</v>
      </c>
      <c r="I725" s="2" t="s">
        <v>435</v>
      </c>
      <c r="J725" s="2" t="s">
        <v>66</v>
      </c>
      <c r="K725" s="2" t="s">
        <v>67</v>
      </c>
      <c r="L725" s="2" t="s">
        <v>414</v>
      </c>
      <c r="M725" s="2">
        <v>2214</v>
      </c>
      <c r="N725" s="2" t="s">
        <v>425</v>
      </c>
      <c r="O725" s="2" t="s">
        <v>70</v>
      </c>
      <c r="P725" s="2" t="s">
        <v>71</v>
      </c>
      <c r="Q725" s="2" t="s">
        <v>2956</v>
      </c>
      <c r="R725" s="2">
        <v>725</v>
      </c>
      <c r="S725" s="2">
        <v>5</v>
      </c>
      <c r="T725" s="2" t="s">
        <v>427</v>
      </c>
      <c r="U725" s="2">
        <v>18.272529599999999</v>
      </c>
      <c r="V725" s="2">
        <v>-66.370597799999999</v>
      </c>
      <c r="W725" s="2" t="s">
        <v>74</v>
      </c>
      <c r="X725" s="2" t="s">
        <v>1383</v>
      </c>
      <c r="Y725" s="2" t="s">
        <v>1384</v>
      </c>
      <c r="Z725" s="2">
        <v>2214</v>
      </c>
      <c r="AA725" s="2" t="s">
        <v>3085</v>
      </c>
      <c r="AB725" s="2">
        <v>44617</v>
      </c>
      <c r="AC725" s="2">
        <v>502</v>
      </c>
      <c r="AD725" s="2">
        <v>12.5</v>
      </c>
      <c r="AE725" s="2">
        <v>0.05</v>
      </c>
      <c r="AF725" s="2" t="str" cm="1">
        <f t="array" ref="AF725">_xlfn.IFS(AE725=0, "No Discount ", AE725&lt;=0.08,"Low Discount", AE725&lt;=0.16,"Medium Discount", AE725&gt;0.16, "High Discount")</f>
        <v>Low Discount</v>
      </c>
      <c r="AG725" s="2">
        <v>111395</v>
      </c>
      <c r="AH725" s="2">
        <v>50</v>
      </c>
      <c r="AI725" s="2">
        <v>0.06</v>
      </c>
      <c r="AJ725" s="2" t="str" cm="1">
        <f t="array" ref="AJ725">_xlfn.IFS(AI725&lt;=0, "No Profit", AI725&lt;=0.16,"Low Profit",AI725&lt;=0.32,"Medium Profit",AI725&gt;0.32,"High Profit")</f>
        <v>Low Profit</v>
      </c>
      <c r="AK725" s="2">
        <v>5</v>
      </c>
      <c r="AL725" s="2">
        <v>250</v>
      </c>
      <c r="AM725" s="2">
        <v>237.5</v>
      </c>
      <c r="AN725" s="2">
        <v>14.96</v>
      </c>
      <c r="AO725" s="2" t="s">
        <v>431</v>
      </c>
      <c r="AP725" s="2" t="s">
        <v>1383</v>
      </c>
      <c r="AQ725" s="2" t="s">
        <v>97</v>
      </c>
      <c r="AR725" s="2" t="s">
        <v>81</v>
      </c>
      <c r="AS725" s="2">
        <v>502</v>
      </c>
      <c r="AT725" s="2">
        <v>24</v>
      </c>
      <c r="AU725" s="2" t="s">
        <v>442</v>
      </c>
      <c r="AV725" s="2">
        <v>50</v>
      </c>
      <c r="AW725" s="2">
        <v>0</v>
      </c>
      <c r="AX725" s="2" t="s">
        <v>3086</v>
      </c>
      <c r="AY725" s="2" t="s">
        <v>83</v>
      </c>
      <c r="AZ725" s="4">
        <v>42656</v>
      </c>
      <c r="BA725" s="5">
        <v>0.2902777777777778</v>
      </c>
      <c r="BB725" s="2">
        <v>2016</v>
      </c>
      <c r="BC725" s="2" t="s">
        <v>434</v>
      </c>
      <c r="BD725" s="2">
        <v>13</v>
      </c>
      <c r="BE725" s="4">
        <v>42659</v>
      </c>
      <c r="BF725" s="5">
        <v>0.2902777777777778</v>
      </c>
      <c r="BG725" s="2" t="str" cm="1">
        <f t="array" ref="BG725">_xlfn.IFS(BF725&lt;TIMEVALUE("06:00"),"Night", BF725&gt;=TIMEVALUE("21:00"),"Night",BF725&gt;=TIMEVALUE("17:00"),"Evening",BF725&gt;=TIMEVALUE("12:00"),"Afternoon", BF725&gt;=TIMEVALUE("06:00"),"Morning")</f>
        <v>Morning</v>
      </c>
      <c r="BH725" s="2">
        <v>2016</v>
      </c>
      <c r="BI725" s="2" t="s">
        <v>434</v>
      </c>
      <c r="BJ725" s="2">
        <v>16</v>
      </c>
    </row>
    <row r="726" spans="1:62" x14ac:dyDescent="0.3">
      <c r="A726" s="2" t="s">
        <v>86</v>
      </c>
      <c r="B726" s="2">
        <v>2</v>
      </c>
      <c r="C726" s="2">
        <v>4</v>
      </c>
      <c r="D726" s="2">
        <v>59.06</v>
      </c>
      <c r="E726" s="2">
        <v>236.25</v>
      </c>
      <c r="F726" s="2" t="s">
        <v>63</v>
      </c>
      <c r="G726" s="2" t="s">
        <v>64</v>
      </c>
      <c r="H726" s="2">
        <v>24</v>
      </c>
      <c r="I726" s="2" t="s">
        <v>435</v>
      </c>
      <c r="J726" s="2" t="s">
        <v>66</v>
      </c>
      <c r="K726" s="2" t="s">
        <v>67</v>
      </c>
      <c r="L726" s="2" t="s">
        <v>414</v>
      </c>
      <c r="M726" s="2">
        <v>6738</v>
      </c>
      <c r="N726" s="2" t="s">
        <v>406</v>
      </c>
      <c r="O726" s="2" t="s">
        <v>70</v>
      </c>
      <c r="P726" s="2" t="s">
        <v>71</v>
      </c>
      <c r="Q726" s="2" t="s">
        <v>2673</v>
      </c>
      <c r="R726" s="2">
        <v>725</v>
      </c>
      <c r="S726" s="2">
        <v>5</v>
      </c>
      <c r="T726" s="2" t="s">
        <v>427</v>
      </c>
      <c r="U726" s="2">
        <v>18.274444599999999</v>
      </c>
      <c r="V726" s="2">
        <v>-66.370590199999995</v>
      </c>
      <c r="W726" s="2" t="s">
        <v>74</v>
      </c>
      <c r="X726" s="2" t="s">
        <v>3087</v>
      </c>
      <c r="Y726" s="2" t="s">
        <v>143</v>
      </c>
      <c r="Z726" s="2">
        <v>6738</v>
      </c>
      <c r="AA726" s="3">
        <v>42166.397916666669</v>
      </c>
      <c r="AB726" s="2">
        <v>21196</v>
      </c>
      <c r="AC726" s="2">
        <v>502</v>
      </c>
      <c r="AD726" s="2">
        <v>13.75</v>
      </c>
      <c r="AE726" s="2">
        <v>0.06</v>
      </c>
      <c r="AF726" s="2" t="str" cm="1">
        <f t="array" ref="AF726">_xlfn.IFS(AE726=0, "No Discount ", AE726&lt;=0.08,"Low Discount", AE726&lt;=0.16,"Medium Discount", AE726&gt;0.16, "High Discount")</f>
        <v>Low Discount</v>
      </c>
      <c r="AG726" s="2">
        <v>53018</v>
      </c>
      <c r="AH726" s="2">
        <v>50</v>
      </c>
      <c r="AI726" s="2">
        <v>0.25</v>
      </c>
      <c r="AJ726" s="2" t="str" cm="1">
        <f t="array" ref="AJ726">_xlfn.IFS(AI726&lt;=0, "No Profit", AI726&lt;=0.16,"Low Profit",AI726&lt;=0.32,"Medium Profit",AI726&gt;0.32,"High Profit")</f>
        <v>Medium Profit</v>
      </c>
      <c r="AK726" s="2">
        <v>5</v>
      </c>
      <c r="AL726" s="2">
        <v>250</v>
      </c>
      <c r="AM726" s="2">
        <v>236.25</v>
      </c>
      <c r="AN726" s="2">
        <v>59.06</v>
      </c>
      <c r="AO726" s="2" t="s">
        <v>145</v>
      </c>
      <c r="AP726" s="2" t="s">
        <v>1473</v>
      </c>
      <c r="AQ726" s="2" t="s">
        <v>97</v>
      </c>
      <c r="AR726" s="2" t="s">
        <v>81</v>
      </c>
      <c r="AS726" s="2">
        <v>502</v>
      </c>
      <c r="AT726" s="2">
        <v>24</v>
      </c>
      <c r="AU726" s="2" t="s">
        <v>442</v>
      </c>
      <c r="AV726" s="2">
        <v>50</v>
      </c>
      <c r="AW726" s="2">
        <v>0</v>
      </c>
      <c r="AX726" s="3">
        <v>42227.397916666669</v>
      </c>
      <c r="AY726" s="2" t="s">
        <v>83</v>
      </c>
      <c r="AZ726" s="4">
        <v>42166</v>
      </c>
      <c r="BA726" s="5">
        <v>0.39791666666666664</v>
      </c>
      <c r="BB726" s="2">
        <v>2015</v>
      </c>
      <c r="BC726" s="2" t="s">
        <v>474</v>
      </c>
      <c r="BD726" s="2">
        <v>11</v>
      </c>
      <c r="BE726" s="4">
        <v>42227</v>
      </c>
      <c r="BF726" s="5">
        <v>0.39791666666666664</v>
      </c>
      <c r="BG726" s="2" t="str" cm="1">
        <f t="array" ref="BG726">_xlfn.IFS(BF726&lt;TIMEVALUE("06:00"),"Night", BF726&gt;=TIMEVALUE("21:00"),"Night",BF726&gt;=TIMEVALUE("17:00"),"Evening",BF726&gt;=TIMEVALUE("12:00"),"Afternoon", BF726&gt;=TIMEVALUE("06:00"),"Morning")</f>
        <v>Morning</v>
      </c>
      <c r="BH726" s="2">
        <v>2015</v>
      </c>
      <c r="BI726" s="2" t="s">
        <v>482</v>
      </c>
      <c r="BJ726" s="2">
        <v>11</v>
      </c>
    </row>
    <row r="727" spans="1:62" x14ac:dyDescent="0.3">
      <c r="A727" s="2" t="s">
        <v>86</v>
      </c>
      <c r="B727" s="2">
        <v>4</v>
      </c>
      <c r="C727" s="2">
        <v>4</v>
      </c>
      <c r="D727" s="2">
        <v>72.08</v>
      </c>
      <c r="E727" s="2">
        <v>232.5</v>
      </c>
      <c r="F727" s="2" t="s">
        <v>100</v>
      </c>
      <c r="G727" s="2" t="s">
        <v>64</v>
      </c>
      <c r="H727" s="2">
        <v>24</v>
      </c>
      <c r="I727" s="2" t="s">
        <v>435</v>
      </c>
      <c r="J727" s="2" t="s">
        <v>66</v>
      </c>
      <c r="K727" s="2" t="s">
        <v>67</v>
      </c>
      <c r="L727" s="2" t="s">
        <v>1116</v>
      </c>
      <c r="M727" s="2">
        <v>5074</v>
      </c>
      <c r="N727" s="2" t="s">
        <v>425</v>
      </c>
      <c r="O727" s="2" t="s">
        <v>70</v>
      </c>
      <c r="P727" s="2" t="s">
        <v>71</v>
      </c>
      <c r="Q727" s="2" t="s">
        <v>3088</v>
      </c>
      <c r="R727" s="2">
        <v>725</v>
      </c>
      <c r="S727" s="2">
        <v>5</v>
      </c>
      <c r="T727" s="2" t="s">
        <v>427</v>
      </c>
      <c r="U727" s="2">
        <v>18.205427199999999</v>
      </c>
      <c r="V727" s="2">
        <v>-66.370529199999993</v>
      </c>
      <c r="W727" s="2" t="s">
        <v>74</v>
      </c>
      <c r="X727" s="2" t="s">
        <v>3089</v>
      </c>
      <c r="Y727" s="2" t="s">
        <v>173</v>
      </c>
      <c r="Z727" s="2">
        <v>5074</v>
      </c>
      <c r="AA727" s="3">
        <v>42166.354166666664</v>
      </c>
      <c r="AB727" s="2">
        <v>21193</v>
      </c>
      <c r="AC727" s="2">
        <v>502</v>
      </c>
      <c r="AD727" s="2">
        <v>17.5</v>
      </c>
      <c r="AE727" s="2">
        <v>7.0000000000000007E-2</v>
      </c>
      <c r="AF727" s="2" t="str" cm="1">
        <f t="array" ref="AF727">_xlfn.IFS(AE727=0, "No Discount ", AE727&lt;=0.08,"Low Discount", AE727&lt;=0.16,"Medium Discount", AE727&gt;0.16, "High Discount")</f>
        <v>Low Discount</v>
      </c>
      <c r="AG727" s="2">
        <v>53008</v>
      </c>
      <c r="AH727" s="2">
        <v>50</v>
      </c>
      <c r="AI727" s="2">
        <v>0.31</v>
      </c>
      <c r="AJ727" s="2" t="str" cm="1">
        <f t="array" ref="AJ727">_xlfn.IFS(AI727&lt;=0, "No Profit", AI727&lt;=0.16,"Low Profit",AI727&lt;=0.32,"Medium Profit",AI727&gt;0.32,"High Profit")</f>
        <v>Medium Profit</v>
      </c>
      <c r="AK727" s="2">
        <v>5</v>
      </c>
      <c r="AL727" s="2">
        <v>250</v>
      </c>
      <c r="AM727" s="2">
        <v>232.5</v>
      </c>
      <c r="AN727" s="2">
        <v>72.08</v>
      </c>
      <c r="AO727" s="2" t="s">
        <v>145</v>
      </c>
      <c r="AP727" s="2" t="s">
        <v>3090</v>
      </c>
      <c r="AQ727" s="2" t="s">
        <v>97</v>
      </c>
      <c r="AR727" s="2" t="s">
        <v>81</v>
      </c>
      <c r="AS727" s="2">
        <v>502</v>
      </c>
      <c r="AT727" s="2">
        <v>24</v>
      </c>
      <c r="AU727" s="2" t="s">
        <v>442</v>
      </c>
      <c r="AV727" s="2">
        <v>50</v>
      </c>
      <c r="AW727" s="2">
        <v>0</v>
      </c>
      <c r="AX727" s="3">
        <v>42288.354166666664</v>
      </c>
      <c r="AY727" s="2" t="s">
        <v>83</v>
      </c>
      <c r="AZ727" s="4">
        <v>42166</v>
      </c>
      <c r="BA727" s="5">
        <v>0.35416666666666669</v>
      </c>
      <c r="BB727" s="2">
        <v>2015</v>
      </c>
      <c r="BC727" s="2" t="s">
        <v>474</v>
      </c>
      <c r="BD727" s="2">
        <v>11</v>
      </c>
      <c r="BE727" s="4">
        <v>42288</v>
      </c>
      <c r="BF727" s="5">
        <v>0.35416666666666669</v>
      </c>
      <c r="BG727" s="2" t="str" cm="1">
        <f t="array" ref="BG727">_xlfn.IFS(BF727&lt;TIMEVALUE("06:00"),"Night", BF727&gt;=TIMEVALUE("21:00"),"Night",BF727&gt;=TIMEVALUE("17:00"),"Evening",BF727&gt;=TIMEVALUE("12:00"),"Afternoon", BF727&gt;=TIMEVALUE("06:00"),"Morning")</f>
        <v>Morning</v>
      </c>
      <c r="BH727" s="2">
        <v>2015</v>
      </c>
      <c r="BI727" s="2" t="s">
        <v>434</v>
      </c>
      <c r="BJ727" s="2">
        <v>11</v>
      </c>
    </row>
    <row r="728" spans="1:62" x14ac:dyDescent="0.3">
      <c r="A728" s="2" t="s">
        <v>86</v>
      </c>
      <c r="B728" s="2">
        <v>4</v>
      </c>
      <c r="C728" s="2">
        <v>4</v>
      </c>
      <c r="D728" s="2">
        <v>-55.34</v>
      </c>
      <c r="E728" s="2">
        <v>232.5</v>
      </c>
      <c r="F728" s="2" t="s">
        <v>100</v>
      </c>
      <c r="G728" s="2" t="s">
        <v>64</v>
      </c>
      <c r="H728" s="2">
        <v>24</v>
      </c>
      <c r="I728" s="2" t="s">
        <v>435</v>
      </c>
      <c r="J728" s="2" t="s">
        <v>66</v>
      </c>
      <c r="K728" s="2" t="s">
        <v>67</v>
      </c>
      <c r="L728" s="2" t="s">
        <v>1435</v>
      </c>
      <c r="M728" s="2">
        <v>9148</v>
      </c>
      <c r="N728" s="2" t="s">
        <v>3091</v>
      </c>
      <c r="O728" s="2" t="s">
        <v>70</v>
      </c>
      <c r="P728" s="2" t="s">
        <v>71</v>
      </c>
      <c r="Q728" s="2" t="s">
        <v>3092</v>
      </c>
      <c r="R728" s="2">
        <v>725</v>
      </c>
      <c r="S728" s="2">
        <v>5</v>
      </c>
      <c r="T728" s="2" t="s">
        <v>427</v>
      </c>
      <c r="U728" s="2">
        <v>18.2467766</v>
      </c>
      <c r="V728" s="2">
        <v>-66.370567300000005</v>
      </c>
      <c r="W728" s="2" t="s">
        <v>74</v>
      </c>
      <c r="X728" s="2" t="s">
        <v>2941</v>
      </c>
      <c r="Y728" s="2" t="s">
        <v>1443</v>
      </c>
      <c r="Z728" s="2">
        <v>9148</v>
      </c>
      <c r="AA728" s="2" t="s">
        <v>3093</v>
      </c>
      <c r="AB728" s="2">
        <v>26073</v>
      </c>
      <c r="AC728" s="2">
        <v>502</v>
      </c>
      <c r="AD728" s="2">
        <v>17.5</v>
      </c>
      <c r="AE728" s="2">
        <v>7.0000000000000007E-2</v>
      </c>
      <c r="AF728" s="2" t="str" cm="1">
        <f t="array" ref="AF728">_xlfn.IFS(AE728=0, "No Discount ", AE728&lt;=0.08,"Low Discount", AE728&lt;=0.16,"Medium Discount", AE728&gt;0.16, "High Discount")</f>
        <v>Low Discount</v>
      </c>
      <c r="AG728" s="2">
        <v>65260</v>
      </c>
      <c r="AH728" s="2">
        <v>50</v>
      </c>
      <c r="AI728" s="2">
        <v>-0.24</v>
      </c>
      <c r="AJ728" s="2" t="str" cm="1">
        <f t="array" ref="AJ728">_xlfn.IFS(AI728&lt;=0, "No Profit", AI728&lt;=0.16,"Low Profit",AI728&lt;=0.32,"Medium Profit",AI728&gt;0.32,"High Profit")</f>
        <v>No Profit</v>
      </c>
      <c r="AK728" s="2">
        <v>5</v>
      </c>
      <c r="AL728" s="2">
        <v>250</v>
      </c>
      <c r="AM728" s="2">
        <v>232.5</v>
      </c>
      <c r="AN728" s="2">
        <v>-55.34</v>
      </c>
      <c r="AO728" s="2" t="s">
        <v>78</v>
      </c>
      <c r="AP728" s="2" t="s">
        <v>3094</v>
      </c>
      <c r="AQ728" s="2" t="s">
        <v>97</v>
      </c>
      <c r="AR728" s="2" t="s">
        <v>81</v>
      </c>
      <c r="AS728" s="2">
        <v>502</v>
      </c>
      <c r="AT728" s="2">
        <v>24</v>
      </c>
      <c r="AU728" s="2" t="s">
        <v>442</v>
      </c>
      <c r="AV728" s="2">
        <v>50</v>
      </c>
      <c r="AW728" s="2">
        <v>0</v>
      </c>
      <c r="AX728" s="2" t="s">
        <v>3095</v>
      </c>
      <c r="AY728" s="2" t="s">
        <v>83</v>
      </c>
      <c r="AZ728" s="4">
        <v>42385</v>
      </c>
      <c r="BA728" s="5">
        <v>0.59027777777777779</v>
      </c>
      <c r="BB728" s="2">
        <v>2016</v>
      </c>
      <c r="BC728" s="2" t="s">
        <v>84</v>
      </c>
      <c r="BD728" s="2">
        <v>16</v>
      </c>
      <c r="BE728" s="4">
        <v>42389</v>
      </c>
      <c r="BF728" s="5">
        <v>0.59027777777777779</v>
      </c>
      <c r="BG728" s="2" t="str" cm="1">
        <f t="array" ref="BG728">_xlfn.IFS(BF728&lt;TIMEVALUE("06:00"),"Night", BF728&gt;=TIMEVALUE("21:00"),"Night",BF728&gt;=TIMEVALUE("17:00"),"Evening",BF728&gt;=TIMEVALUE("12:00"),"Afternoon", BF728&gt;=TIMEVALUE("06:00"),"Morning")</f>
        <v>Afternoon</v>
      </c>
      <c r="BH728" s="2">
        <v>2016</v>
      </c>
      <c r="BI728" s="2" t="s">
        <v>84</v>
      </c>
      <c r="BJ728" s="2">
        <v>20</v>
      </c>
    </row>
    <row r="729" spans="1:62" x14ac:dyDescent="0.3">
      <c r="A729" s="2" t="s">
        <v>86</v>
      </c>
      <c r="B729" s="2">
        <v>6</v>
      </c>
      <c r="C729" s="2">
        <v>4</v>
      </c>
      <c r="D729" s="2">
        <v>82.99</v>
      </c>
      <c r="E729" s="2">
        <v>331.97</v>
      </c>
      <c r="F729" s="2" t="s">
        <v>87</v>
      </c>
      <c r="G729" s="2" t="s">
        <v>88</v>
      </c>
      <c r="H729" s="2">
        <v>9</v>
      </c>
      <c r="I729" s="2" t="s">
        <v>496</v>
      </c>
      <c r="J729" s="2" t="s">
        <v>1401</v>
      </c>
      <c r="K729" s="2" t="s">
        <v>102</v>
      </c>
      <c r="L729" s="2" t="s">
        <v>414</v>
      </c>
      <c r="M729" s="2">
        <v>3497</v>
      </c>
      <c r="N729" s="2" t="s">
        <v>425</v>
      </c>
      <c r="O729" s="2" t="s">
        <v>70</v>
      </c>
      <c r="P729" s="2" t="s">
        <v>133</v>
      </c>
      <c r="Q729" s="2" t="s">
        <v>3096</v>
      </c>
      <c r="R729" s="2">
        <v>10016</v>
      </c>
      <c r="S729" s="2">
        <v>3</v>
      </c>
      <c r="T729" s="2" t="s">
        <v>466</v>
      </c>
      <c r="U729" s="2">
        <v>40.745590200000002</v>
      </c>
      <c r="V729" s="2">
        <v>-73.979278600000001</v>
      </c>
      <c r="W729" s="2" t="s">
        <v>500</v>
      </c>
      <c r="X729" s="2" t="s">
        <v>3097</v>
      </c>
      <c r="Y729" s="2" t="s">
        <v>522</v>
      </c>
      <c r="Z729" s="2">
        <v>3497</v>
      </c>
      <c r="AA729" s="3">
        <v>42653.487500000003</v>
      </c>
      <c r="AB729" s="2">
        <v>44425</v>
      </c>
      <c r="AC729" s="2">
        <v>191</v>
      </c>
      <c r="AD729" s="2">
        <v>67.989999999999995</v>
      </c>
      <c r="AE729" s="2">
        <v>0.17</v>
      </c>
      <c r="AF729" s="2" t="str" cm="1">
        <f t="array" ref="AF729">_xlfn.IFS(AE729=0, "No Discount ", AE729&lt;=0.08,"Low Discount", AE729&lt;=0.16,"Medium Discount", AE729&gt;0.16, "High Discount")</f>
        <v>High Discount</v>
      </c>
      <c r="AG729" s="2">
        <v>110912</v>
      </c>
      <c r="AH729" s="2">
        <v>99.99</v>
      </c>
      <c r="AI729" s="2">
        <v>0.25</v>
      </c>
      <c r="AJ729" s="2" t="str" cm="1">
        <f t="array" ref="AJ729">_xlfn.IFS(AI729&lt;=0, "No Profit", AI729&lt;=0.16,"Low Profit",AI729&lt;=0.32,"Medium Profit",AI729&gt;0.32,"High Profit")</f>
        <v>Medium Profit</v>
      </c>
      <c r="AK729" s="2">
        <v>4</v>
      </c>
      <c r="AL729" s="2">
        <v>399.96</v>
      </c>
      <c r="AM729" s="2">
        <v>331.97</v>
      </c>
      <c r="AN729" s="2">
        <v>82.99</v>
      </c>
      <c r="AO729" s="2" t="s">
        <v>523</v>
      </c>
      <c r="AP729" s="2" t="s">
        <v>3098</v>
      </c>
      <c r="AQ729" s="2" t="s">
        <v>155</v>
      </c>
      <c r="AR729" s="2" t="s">
        <v>81</v>
      </c>
      <c r="AS729" s="2">
        <v>191</v>
      </c>
      <c r="AT729" s="2">
        <v>9</v>
      </c>
      <c r="AU729" s="2" t="s">
        <v>505</v>
      </c>
      <c r="AV729" s="2">
        <v>99.99</v>
      </c>
      <c r="AW729" s="2">
        <v>0</v>
      </c>
      <c r="AX729" s="2" t="s">
        <v>3099</v>
      </c>
      <c r="AY729" s="2" t="s">
        <v>83</v>
      </c>
      <c r="AZ729" s="4">
        <v>42653</v>
      </c>
      <c r="BA729" s="5">
        <v>0.48749999999999999</v>
      </c>
      <c r="BB729" s="2">
        <v>2016</v>
      </c>
      <c r="BC729" s="2" t="s">
        <v>434</v>
      </c>
      <c r="BD729" s="2">
        <v>10</v>
      </c>
      <c r="BE729" s="4">
        <v>42659</v>
      </c>
      <c r="BF729" s="5">
        <v>0.48749999999999999</v>
      </c>
      <c r="BG729" s="2" t="str" cm="1">
        <f t="array" ref="BG729">_xlfn.IFS(BF729&lt;TIMEVALUE("06:00"),"Night", BF729&gt;=TIMEVALUE("21:00"),"Night",BF729&gt;=TIMEVALUE("17:00"),"Evening",BF729&gt;=TIMEVALUE("12:00"),"Afternoon", BF729&gt;=TIMEVALUE("06:00"),"Morning")</f>
        <v>Morning</v>
      </c>
      <c r="BH729" s="2">
        <v>2016</v>
      </c>
      <c r="BI729" s="2" t="s">
        <v>434</v>
      </c>
      <c r="BJ729" s="2">
        <v>16</v>
      </c>
    </row>
    <row r="730" spans="1:62" x14ac:dyDescent="0.3">
      <c r="A730" s="2" t="s">
        <v>86</v>
      </c>
      <c r="B730" s="2">
        <v>6</v>
      </c>
      <c r="C730" s="2">
        <v>4</v>
      </c>
      <c r="D730" s="2">
        <v>103.91</v>
      </c>
      <c r="E730" s="2">
        <v>331.97</v>
      </c>
      <c r="F730" s="2" t="s">
        <v>87</v>
      </c>
      <c r="G730" s="2" t="s">
        <v>88</v>
      </c>
      <c r="H730" s="2">
        <v>9</v>
      </c>
      <c r="I730" s="2" t="s">
        <v>496</v>
      </c>
      <c r="J730" s="2" t="s">
        <v>1736</v>
      </c>
      <c r="K730" s="2" t="s">
        <v>102</v>
      </c>
      <c r="L730" s="2" t="s">
        <v>3100</v>
      </c>
      <c r="M730" s="2">
        <v>10066</v>
      </c>
      <c r="N730" s="2" t="s">
        <v>425</v>
      </c>
      <c r="O730" s="2" t="s">
        <v>70</v>
      </c>
      <c r="P730" s="2" t="s">
        <v>1254</v>
      </c>
      <c r="Q730" s="2" t="s">
        <v>3101</v>
      </c>
      <c r="R730" s="2">
        <v>85033</v>
      </c>
      <c r="S730" s="2">
        <v>3</v>
      </c>
      <c r="T730" s="2" t="s">
        <v>466</v>
      </c>
      <c r="U730" s="2">
        <v>33.492679600000002</v>
      </c>
      <c r="V730" s="2">
        <v>-112.20886230000001</v>
      </c>
      <c r="W730" s="2" t="s">
        <v>500</v>
      </c>
      <c r="X730" s="2" t="s">
        <v>1269</v>
      </c>
      <c r="Y730" s="2" t="s">
        <v>502</v>
      </c>
      <c r="Z730" s="2">
        <v>10066</v>
      </c>
      <c r="AA730" s="2" t="s">
        <v>3102</v>
      </c>
      <c r="AB730" s="2">
        <v>49570</v>
      </c>
      <c r="AC730" s="2">
        <v>191</v>
      </c>
      <c r="AD730" s="2">
        <v>67.989999999999995</v>
      </c>
      <c r="AE730" s="2">
        <v>0.17</v>
      </c>
      <c r="AF730" s="2" t="str" cm="1">
        <f t="array" ref="AF730">_xlfn.IFS(AE730=0, "No Discount ", AE730&lt;=0.08,"Low Discount", AE730&lt;=0.16,"Medium Discount", AE730&gt;0.16, "High Discount")</f>
        <v>High Discount</v>
      </c>
      <c r="AG730" s="2">
        <v>123876</v>
      </c>
      <c r="AH730" s="2">
        <v>99.99</v>
      </c>
      <c r="AI730" s="2">
        <v>0.31</v>
      </c>
      <c r="AJ730" s="2" t="str" cm="1">
        <f t="array" ref="AJ730">_xlfn.IFS(AI730&lt;=0, "No Profit", AI730&lt;=0.16,"Low Profit",AI730&lt;=0.32,"Medium Profit",AI730&gt;0.32,"High Profit")</f>
        <v>Medium Profit</v>
      </c>
      <c r="AK730" s="2">
        <v>4</v>
      </c>
      <c r="AL730" s="2">
        <v>399.96</v>
      </c>
      <c r="AM730" s="2">
        <v>331.97</v>
      </c>
      <c r="AN730" s="2">
        <v>103.91</v>
      </c>
      <c r="AO730" s="2" t="s">
        <v>503</v>
      </c>
      <c r="AP730" s="2" t="s">
        <v>1269</v>
      </c>
      <c r="AQ730" s="2" t="s">
        <v>155</v>
      </c>
      <c r="AR730" s="2" t="s">
        <v>81</v>
      </c>
      <c r="AS730" s="2">
        <v>191</v>
      </c>
      <c r="AT730" s="2">
        <v>9</v>
      </c>
      <c r="AU730" s="2" t="s">
        <v>505</v>
      </c>
      <c r="AV730" s="2">
        <v>99.99</v>
      </c>
      <c r="AW730" s="2">
        <v>0</v>
      </c>
      <c r="AX730" s="2" t="s">
        <v>3103</v>
      </c>
      <c r="AY730" s="2" t="s">
        <v>83</v>
      </c>
      <c r="AZ730" s="4">
        <v>42728</v>
      </c>
      <c r="BA730" s="5">
        <v>0.59236111111111112</v>
      </c>
      <c r="BB730" s="2">
        <v>2016</v>
      </c>
      <c r="BC730" s="2" t="s">
        <v>357</v>
      </c>
      <c r="BD730" s="2">
        <v>24</v>
      </c>
      <c r="BE730" s="4">
        <v>42734</v>
      </c>
      <c r="BF730" s="5">
        <v>0.59236111111111112</v>
      </c>
      <c r="BG730" s="2" t="str" cm="1">
        <f t="array" ref="BG730">_xlfn.IFS(BF730&lt;TIMEVALUE("06:00"),"Night", BF730&gt;=TIMEVALUE("21:00"),"Night",BF730&gt;=TIMEVALUE("17:00"),"Evening",BF730&gt;=TIMEVALUE("12:00"),"Afternoon", BF730&gt;=TIMEVALUE("06:00"),"Morning")</f>
        <v>Afternoon</v>
      </c>
      <c r="BH730" s="2">
        <v>2016</v>
      </c>
      <c r="BI730" s="2" t="s">
        <v>357</v>
      </c>
      <c r="BJ730" s="2">
        <v>30</v>
      </c>
    </row>
    <row r="731" spans="1:62" x14ac:dyDescent="0.3">
      <c r="A731" s="2" t="s">
        <v>86</v>
      </c>
      <c r="B731" s="2">
        <v>5</v>
      </c>
      <c r="C731" s="2">
        <v>4</v>
      </c>
      <c r="D731" s="2">
        <v>76.430000000000007</v>
      </c>
      <c r="E731" s="2">
        <v>218.36</v>
      </c>
      <c r="F731" s="2" t="s">
        <v>87</v>
      </c>
      <c r="G731" s="2" t="s">
        <v>88</v>
      </c>
      <c r="H731" s="2">
        <v>17</v>
      </c>
      <c r="I731" s="2" t="s">
        <v>412</v>
      </c>
      <c r="J731" s="2" t="s">
        <v>782</v>
      </c>
      <c r="K731" s="2" t="s">
        <v>102</v>
      </c>
      <c r="L731" s="2" t="s">
        <v>1380</v>
      </c>
      <c r="M731" s="2">
        <v>4248</v>
      </c>
      <c r="N731" s="2" t="s">
        <v>425</v>
      </c>
      <c r="O731" s="2" t="s">
        <v>70</v>
      </c>
      <c r="P731" s="2" t="s">
        <v>1365</v>
      </c>
      <c r="Q731" s="2" t="s">
        <v>1852</v>
      </c>
      <c r="R731" s="2">
        <v>97402</v>
      </c>
      <c r="S731" s="2">
        <v>4</v>
      </c>
      <c r="T731" s="2" t="s">
        <v>417</v>
      </c>
      <c r="U731" s="2">
        <v>44.050071699999997</v>
      </c>
      <c r="V731" s="2">
        <v>-123.1093521</v>
      </c>
      <c r="W731" s="2" t="s">
        <v>500</v>
      </c>
      <c r="X731" s="2" t="s">
        <v>1220</v>
      </c>
      <c r="Y731" s="2" t="s">
        <v>895</v>
      </c>
      <c r="Z731" s="2">
        <v>4248</v>
      </c>
      <c r="AA731" s="3">
        <v>42530.533333333333</v>
      </c>
      <c r="AB731" s="2">
        <v>42099</v>
      </c>
      <c r="AC731" s="2">
        <v>365</v>
      </c>
      <c r="AD731" s="2">
        <v>21.6</v>
      </c>
      <c r="AE731" s="2">
        <v>0.09</v>
      </c>
      <c r="AF731" s="2" t="str" cm="1">
        <f t="array" ref="AF731">_xlfn.IFS(AE731=0, "No Discount ", AE731&lt;=0.08,"Low Discount", AE731&lt;=0.16,"Medium Discount", AE731&gt;0.16, "High Discount")</f>
        <v>Medium Discount</v>
      </c>
      <c r="AG731" s="2">
        <v>105110</v>
      </c>
      <c r="AH731" s="2">
        <v>59.99</v>
      </c>
      <c r="AI731" s="2">
        <v>0.35</v>
      </c>
      <c r="AJ731" s="2" t="str" cm="1">
        <f t="array" ref="AJ731">_xlfn.IFS(AI731&lt;=0, "No Profit", AI731&lt;=0.16,"Low Profit",AI731&lt;=0.32,"Medium Profit",AI731&gt;0.32,"High Profit")</f>
        <v>High Profit</v>
      </c>
      <c r="AK731" s="2">
        <v>4</v>
      </c>
      <c r="AL731" s="2">
        <v>239.96</v>
      </c>
      <c r="AM731" s="2">
        <v>218.36</v>
      </c>
      <c r="AN731" s="2">
        <v>76.430000000000007</v>
      </c>
      <c r="AO731" s="2" t="s">
        <v>523</v>
      </c>
      <c r="AP731" s="2" t="s">
        <v>1221</v>
      </c>
      <c r="AQ731" s="2" t="s">
        <v>155</v>
      </c>
      <c r="AR731" s="2" t="s">
        <v>81</v>
      </c>
      <c r="AS731" s="2">
        <v>365</v>
      </c>
      <c r="AT731" s="2">
        <v>17</v>
      </c>
      <c r="AU731" s="2" t="s">
        <v>421</v>
      </c>
      <c r="AV731" s="2">
        <v>59.99</v>
      </c>
      <c r="AW731" s="2">
        <v>0</v>
      </c>
      <c r="AX731" s="3">
        <v>42683.533333333333</v>
      </c>
      <c r="AY731" s="2" t="s">
        <v>83</v>
      </c>
      <c r="AZ731" s="4">
        <v>42530</v>
      </c>
      <c r="BA731" s="5">
        <v>0.53333333333333333</v>
      </c>
      <c r="BB731" s="2">
        <v>2016</v>
      </c>
      <c r="BC731" s="2" t="s">
        <v>474</v>
      </c>
      <c r="BD731" s="2">
        <v>9</v>
      </c>
      <c r="BE731" s="4">
        <v>42683</v>
      </c>
      <c r="BF731" s="5">
        <v>0.53333333333333333</v>
      </c>
      <c r="BG731" s="2" t="str" cm="1">
        <f t="array" ref="BG731">_xlfn.IFS(BF731&lt;TIMEVALUE("06:00"),"Night", BF731&gt;=TIMEVALUE("21:00"),"Night",BF731&gt;=TIMEVALUE("17:00"),"Evening",BF731&gt;=TIMEVALUE("12:00"),"Afternoon", BF731&gt;=TIMEVALUE("06:00"),"Morning")</f>
        <v>Afternoon</v>
      </c>
      <c r="BH731" s="2">
        <v>2016</v>
      </c>
      <c r="BI731" s="2" t="s">
        <v>455</v>
      </c>
      <c r="BJ731" s="2">
        <v>9</v>
      </c>
    </row>
    <row r="732" spans="1:62" x14ac:dyDescent="0.3">
      <c r="A732" s="2" t="s">
        <v>86</v>
      </c>
      <c r="B732" s="2">
        <v>2</v>
      </c>
      <c r="C732" s="2">
        <v>4</v>
      </c>
      <c r="D732" s="2">
        <v>65.510000000000005</v>
      </c>
      <c r="E732" s="2">
        <v>218.36</v>
      </c>
      <c r="F732" s="2" t="s">
        <v>63</v>
      </c>
      <c r="G732" s="2" t="s">
        <v>64</v>
      </c>
      <c r="H732" s="2">
        <v>17</v>
      </c>
      <c r="I732" s="2" t="s">
        <v>412</v>
      </c>
      <c r="J732" s="2" t="s">
        <v>239</v>
      </c>
      <c r="K732" s="2" t="s">
        <v>102</v>
      </c>
      <c r="L732" s="2" t="s">
        <v>414</v>
      </c>
      <c r="M732" s="2">
        <v>6473</v>
      </c>
      <c r="N732" s="2" t="s">
        <v>1332</v>
      </c>
      <c r="O732" s="2" t="s">
        <v>70</v>
      </c>
      <c r="P732" s="2" t="s">
        <v>105</v>
      </c>
      <c r="Q732" s="2" t="s">
        <v>3104</v>
      </c>
      <c r="R732" s="2">
        <v>90806</v>
      </c>
      <c r="S732" s="2">
        <v>4</v>
      </c>
      <c r="T732" s="2" t="s">
        <v>417</v>
      </c>
      <c r="U732" s="2">
        <v>33.789825399999998</v>
      </c>
      <c r="V732" s="2">
        <v>-118.18199920000001</v>
      </c>
      <c r="W732" s="2" t="s">
        <v>500</v>
      </c>
      <c r="X732" s="2" t="s">
        <v>3105</v>
      </c>
      <c r="Y732" s="2" t="s">
        <v>3106</v>
      </c>
      <c r="Z732" s="2">
        <v>6473</v>
      </c>
      <c r="AA732" s="2" t="s">
        <v>3107</v>
      </c>
      <c r="AB732" s="2">
        <v>47731</v>
      </c>
      <c r="AC732" s="2">
        <v>365</v>
      </c>
      <c r="AD732" s="2">
        <v>21.6</v>
      </c>
      <c r="AE732" s="2">
        <v>0.09</v>
      </c>
      <c r="AF732" s="2" t="str" cm="1">
        <f t="array" ref="AF732">_xlfn.IFS(AE732=0, "No Discount ", AE732&lt;=0.08,"Low Discount", AE732&lt;=0.16,"Medium Discount", AE732&gt;0.16, "High Discount")</f>
        <v>Medium Discount</v>
      </c>
      <c r="AG732" s="2">
        <v>119355</v>
      </c>
      <c r="AH732" s="2">
        <v>59.99</v>
      </c>
      <c r="AI732" s="2">
        <v>0.3</v>
      </c>
      <c r="AJ732" s="2" t="str" cm="1">
        <f t="array" ref="AJ732">_xlfn.IFS(AI732&lt;=0, "No Profit", AI732&lt;=0.16,"Low Profit",AI732&lt;=0.32,"Medium Profit",AI732&gt;0.32,"High Profit")</f>
        <v>Medium Profit</v>
      </c>
      <c r="AK732" s="2">
        <v>4</v>
      </c>
      <c r="AL732" s="2">
        <v>239.96</v>
      </c>
      <c r="AM732" s="2">
        <v>218.36</v>
      </c>
      <c r="AN732" s="2">
        <v>65.510000000000005</v>
      </c>
      <c r="AO732" s="2" t="s">
        <v>503</v>
      </c>
      <c r="AP732" s="2" t="s">
        <v>3108</v>
      </c>
      <c r="AQ732" s="2" t="s">
        <v>155</v>
      </c>
      <c r="AR732" s="2" t="s">
        <v>81</v>
      </c>
      <c r="AS732" s="2">
        <v>365</v>
      </c>
      <c r="AT732" s="2">
        <v>17</v>
      </c>
      <c r="AU732" s="2" t="s">
        <v>421</v>
      </c>
      <c r="AV732" s="2">
        <v>59.99</v>
      </c>
      <c r="AW732" s="2">
        <v>0</v>
      </c>
      <c r="AX732" s="2" t="s">
        <v>3109</v>
      </c>
      <c r="AY732" s="2" t="s">
        <v>83</v>
      </c>
      <c r="AZ732" s="4">
        <v>42701</v>
      </c>
      <c r="BA732" s="5">
        <v>0.74722222222222223</v>
      </c>
      <c r="BB732" s="2">
        <v>2016</v>
      </c>
      <c r="BC732" s="2" t="s">
        <v>455</v>
      </c>
      <c r="BD732" s="2">
        <v>27</v>
      </c>
      <c r="BE732" s="4">
        <v>42703</v>
      </c>
      <c r="BF732" s="5">
        <v>0.74722222222222223</v>
      </c>
      <c r="BG732" s="2" t="str" cm="1">
        <f t="array" ref="BG732">_xlfn.IFS(BF732&lt;TIMEVALUE("06:00"),"Night", BF732&gt;=TIMEVALUE("21:00"),"Night",BF732&gt;=TIMEVALUE("17:00"),"Evening",BF732&gt;=TIMEVALUE("12:00"),"Afternoon", BF732&gt;=TIMEVALUE("06:00"),"Morning")</f>
        <v>Evening</v>
      </c>
      <c r="BH732" s="2">
        <v>2016</v>
      </c>
      <c r="BI732" s="2" t="s">
        <v>455</v>
      </c>
      <c r="BJ732" s="2">
        <v>29</v>
      </c>
    </row>
    <row r="733" spans="1:62" x14ac:dyDescent="0.3">
      <c r="A733" s="2" t="s">
        <v>86</v>
      </c>
      <c r="B733" s="2">
        <v>3</v>
      </c>
      <c r="C733" s="2">
        <v>4</v>
      </c>
      <c r="D733" s="2">
        <v>76.02</v>
      </c>
      <c r="E733" s="2">
        <v>211.16</v>
      </c>
      <c r="F733" s="2" t="s">
        <v>63</v>
      </c>
      <c r="G733" s="2" t="s">
        <v>64</v>
      </c>
      <c r="H733" s="2">
        <v>17</v>
      </c>
      <c r="I733" s="2" t="s">
        <v>412</v>
      </c>
      <c r="J733" s="2" t="s">
        <v>3110</v>
      </c>
      <c r="K733" s="2" t="s">
        <v>102</v>
      </c>
      <c r="L733" s="2" t="s">
        <v>1116</v>
      </c>
      <c r="M733" s="2">
        <v>12288</v>
      </c>
      <c r="N733" s="2" t="s">
        <v>425</v>
      </c>
      <c r="O733" s="2" t="s">
        <v>70</v>
      </c>
      <c r="P733" s="2" t="s">
        <v>234</v>
      </c>
      <c r="Q733" s="2" t="s">
        <v>3111</v>
      </c>
      <c r="R733" s="2">
        <v>60102</v>
      </c>
      <c r="S733" s="2">
        <v>4</v>
      </c>
      <c r="T733" s="2" t="s">
        <v>417</v>
      </c>
      <c r="U733" s="2">
        <v>42.175750700000002</v>
      </c>
      <c r="V733" s="2">
        <v>-88.321571399999996</v>
      </c>
      <c r="W733" s="2" t="s">
        <v>500</v>
      </c>
      <c r="X733" s="2" t="s">
        <v>3112</v>
      </c>
      <c r="Y733" s="2" t="s">
        <v>1176</v>
      </c>
      <c r="Z733" s="2">
        <v>12288</v>
      </c>
      <c r="AA733" s="3">
        <v>42440.384027777778</v>
      </c>
      <c r="AB733" s="2">
        <v>46062</v>
      </c>
      <c r="AC733" s="2">
        <v>365</v>
      </c>
      <c r="AD733" s="2">
        <v>28.8</v>
      </c>
      <c r="AE733" s="2">
        <v>0.12</v>
      </c>
      <c r="AF733" s="2" t="str" cm="1">
        <f t="array" ref="AF733">_xlfn.IFS(AE733=0, "No Discount ", AE733&lt;=0.08,"Low Discount", AE733&lt;=0.16,"Medium Discount", AE733&gt;0.16, "High Discount")</f>
        <v>Medium Discount</v>
      </c>
      <c r="AG733" s="2">
        <v>115136</v>
      </c>
      <c r="AH733" s="2">
        <v>59.99</v>
      </c>
      <c r="AI733" s="2">
        <v>0.36</v>
      </c>
      <c r="AJ733" s="2" t="str" cm="1">
        <f t="array" ref="AJ733">_xlfn.IFS(AI733&lt;=0, "No Profit", AI733&lt;=0.16,"Low Profit",AI733&lt;=0.32,"Medium Profit",AI733&gt;0.32,"High Profit")</f>
        <v>High Profit</v>
      </c>
      <c r="AK733" s="2">
        <v>4</v>
      </c>
      <c r="AL733" s="2">
        <v>239.96</v>
      </c>
      <c r="AM733" s="2">
        <v>211.16</v>
      </c>
      <c r="AN733" s="2">
        <v>76.02</v>
      </c>
      <c r="AO733" s="2" t="s">
        <v>523</v>
      </c>
      <c r="AP733" s="2" t="s">
        <v>3113</v>
      </c>
      <c r="AQ733" s="2" t="s">
        <v>155</v>
      </c>
      <c r="AR733" s="2" t="s">
        <v>81</v>
      </c>
      <c r="AS733" s="2">
        <v>365</v>
      </c>
      <c r="AT733" s="2">
        <v>17</v>
      </c>
      <c r="AU733" s="2" t="s">
        <v>421</v>
      </c>
      <c r="AV733" s="2">
        <v>59.99</v>
      </c>
      <c r="AW733" s="2">
        <v>0</v>
      </c>
      <c r="AX733" s="3">
        <v>42532.384027777778</v>
      </c>
      <c r="AY733" s="2" t="s">
        <v>83</v>
      </c>
      <c r="AZ733" s="4">
        <v>42440</v>
      </c>
      <c r="BA733" s="5">
        <v>0.3840277777777778</v>
      </c>
      <c r="BB733" s="2">
        <v>2016</v>
      </c>
      <c r="BC733" s="2" t="s">
        <v>85</v>
      </c>
      <c r="BD733" s="2">
        <v>11</v>
      </c>
      <c r="BE733" s="4">
        <v>42532</v>
      </c>
      <c r="BF733" s="5">
        <v>0.3840277777777778</v>
      </c>
      <c r="BG733" s="2" t="str" cm="1">
        <f t="array" ref="BG733">_xlfn.IFS(BF733&lt;TIMEVALUE("06:00"),"Night", BF733&gt;=TIMEVALUE("21:00"),"Night",BF733&gt;=TIMEVALUE("17:00"),"Evening",BF733&gt;=TIMEVALUE("12:00"),"Afternoon", BF733&gt;=TIMEVALUE("06:00"),"Morning")</f>
        <v>Morning</v>
      </c>
      <c r="BH733" s="2">
        <v>2016</v>
      </c>
      <c r="BI733" s="2" t="s">
        <v>474</v>
      </c>
      <c r="BJ733" s="2">
        <v>11</v>
      </c>
    </row>
    <row r="734" spans="1:62" x14ac:dyDescent="0.3">
      <c r="A734" s="2" t="s">
        <v>86</v>
      </c>
      <c r="B734" s="2">
        <v>4</v>
      </c>
      <c r="C734" s="2">
        <v>4</v>
      </c>
      <c r="D734" s="2">
        <v>-154.78</v>
      </c>
      <c r="E734" s="2">
        <v>211.16</v>
      </c>
      <c r="F734" s="2" t="s">
        <v>100</v>
      </c>
      <c r="G734" s="2" t="s">
        <v>64</v>
      </c>
      <c r="H734" s="2">
        <v>17</v>
      </c>
      <c r="I734" s="2" t="s">
        <v>412</v>
      </c>
      <c r="J734" s="2" t="s">
        <v>3114</v>
      </c>
      <c r="K734" s="2" t="s">
        <v>102</v>
      </c>
      <c r="L734" s="2" t="s">
        <v>414</v>
      </c>
      <c r="M734" s="2">
        <v>7764</v>
      </c>
      <c r="N734" s="2" t="s">
        <v>1839</v>
      </c>
      <c r="O734" s="2" t="s">
        <v>70</v>
      </c>
      <c r="P734" s="2" t="s">
        <v>3115</v>
      </c>
      <c r="Q734" s="2" t="s">
        <v>3116</v>
      </c>
      <c r="R734" s="2">
        <v>46227</v>
      </c>
      <c r="S734" s="2">
        <v>4</v>
      </c>
      <c r="T734" s="2" t="s">
        <v>417</v>
      </c>
      <c r="U734" s="2">
        <v>39.646053299999998</v>
      </c>
      <c r="V734" s="2">
        <v>-86.119613700000002</v>
      </c>
      <c r="W734" s="2" t="s">
        <v>500</v>
      </c>
      <c r="X734" s="2" t="s">
        <v>3117</v>
      </c>
      <c r="Y734" s="2" t="s">
        <v>522</v>
      </c>
      <c r="Z734" s="2">
        <v>7764</v>
      </c>
      <c r="AA734" s="2" t="s">
        <v>3118</v>
      </c>
      <c r="AB734" s="2">
        <v>44938</v>
      </c>
      <c r="AC734" s="2">
        <v>365</v>
      </c>
      <c r="AD734" s="2">
        <v>28.8</v>
      </c>
      <c r="AE734" s="2">
        <v>0.12</v>
      </c>
      <c r="AF734" s="2" t="str" cm="1">
        <f t="array" ref="AF734">_xlfn.IFS(AE734=0, "No Discount ", AE734&lt;=0.08,"Low Discount", AE734&lt;=0.16,"Medium Discount", AE734&gt;0.16, "High Discount")</f>
        <v>Medium Discount</v>
      </c>
      <c r="AG734" s="2">
        <v>112233</v>
      </c>
      <c r="AH734" s="2">
        <v>59.99</v>
      </c>
      <c r="AI734" s="2">
        <v>-0.73</v>
      </c>
      <c r="AJ734" s="2" t="str" cm="1">
        <f t="array" ref="AJ734">_xlfn.IFS(AI734&lt;=0, "No Profit", AI734&lt;=0.16,"Low Profit",AI734&lt;=0.32,"Medium Profit",AI734&gt;0.32,"High Profit")</f>
        <v>No Profit</v>
      </c>
      <c r="AK734" s="2">
        <v>4</v>
      </c>
      <c r="AL734" s="2">
        <v>239.96</v>
      </c>
      <c r="AM734" s="2">
        <v>211.16</v>
      </c>
      <c r="AN734" s="2">
        <v>-154.78</v>
      </c>
      <c r="AO734" s="2" t="s">
        <v>523</v>
      </c>
      <c r="AP734" s="2" t="s">
        <v>3119</v>
      </c>
      <c r="AQ734" s="2" t="s">
        <v>155</v>
      </c>
      <c r="AR734" s="2" t="s">
        <v>81</v>
      </c>
      <c r="AS734" s="2">
        <v>365</v>
      </c>
      <c r="AT734" s="2">
        <v>17</v>
      </c>
      <c r="AU734" s="2" t="s">
        <v>421</v>
      </c>
      <c r="AV734" s="2">
        <v>59.99</v>
      </c>
      <c r="AW734" s="2">
        <v>0</v>
      </c>
      <c r="AX734" s="2" t="s">
        <v>3120</v>
      </c>
      <c r="AY734" s="2" t="s">
        <v>83</v>
      </c>
      <c r="AZ734" s="4">
        <v>42660</v>
      </c>
      <c r="BA734" s="5">
        <v>0.97569444444444442</v>
      </c>
      <c r="BB734" s="2">
        <v>2016</v>
      </c>
      <c r="BC734" s="2" t="s">
        <v>434</v>
      </c>
      <c r="BD734" s="2">
        <v>17</v>
      </c>
      <c r="BE734" s="4">
        <v>42664</v>
      </c>
      <c r="BF734" s="5">
        <v>0.97569444444444442</v>
      </c>
      <c r="BG734" s="2" t="str" cm="1">
        <f t="array" ref="BG734">_xlfn.IFS(BF734&lt;TIMEVALUE("06:00"),"Night", BF734&gt;=TIMEVALUE("21:00"),"Night",BF734&gt;=TIMEVALUE("17:00"),"Evening",BF734&gt;=TIMEVALUE("12:00"),"Afternoon", BF734&gt;=TIMEVALUE("06:00"),"Morning")</f>
        <v>Night</v>
      </c>
      <c r="BH734" s="2">
        <v>2016</v>
      </c>
      <c r="BI734" s="2" t="s">
        <v>434</v>
      </c>
      <c r="BJ734" s="2">
        <v>21</v>
      </c>
    </row>
    <row r="735" spans="1:62" x14ac:dyDescent="0.3">
      <c r="A735" s="2" t="s">
        <v>86</v>
      </c>
      <c r="B735" s="2">
        <v>4</v>
      </c>
      <c r="C735" s="2">
        <v>4</v>
      </c>
      <c r="D735" s="2">
        <v>71.39</v>
      </c>
      <c r="E735" s="2">
        <v>203.97</v>
      </c>
      <c r="F735" s="2" t="s">
        <v>100</v>
      </c>
      <c r="G735" s="2" t="s">
        <v>64</v>
      </c>
      <c r="H735" s="2">
        <v>17</v>
      </c>
      <c r="I735" s="2" t="s">
        <v>412</v>
      </c>
      <c r="J735" s="2" t="s">
        <v>110</v>
      </c>
      <c r="K735" s="2" t="s">
        <v>102</v>
      </c>
      <c r="L735" s="2" t="s">
        <v>414</v>
      </c>
      <c r="M735" s="2">
        <v>11720</v>
      </c>
      <c r="N735" s="2" t="s">
        <v>425</v>
      </c>
      <c r="O735" s="2" t="s">
        <v>70</v>
      </c>
      <c r="P735" s="2" t="s">
        <v>105</v>
      </c>
      <c r="Q735" s="2" t="s">
        <v>3121</v>
      </c>
      <c r="R735" s="2">
        <v>90003</v>
      </c>
      <c r="S735" s="2">
        <v>4</v>
      </c>
      <c r="T735" s="2" t="s">
        <v>417</v>
      </c>
      <c r="U735" s="2">
        <v>33.959846499999998</v>
      </c>
      <c r="V735" s="2">
        <v>-118.3780823</v>
      </c>
      <c r="W735" s="2" t="s">
        <v>500</v>
      </c>
      <c r="X735" s="2" t="s">
        <v>887</v>
      </c>
      <c r="Y735" s="2" t="s">
        <v>888</v>
      </c>
      <c r="Z735" s="2">
        <v>11720</v>
      </c>
      <c r="AA735" s="3">
        <v>42979.912499999999</v>
      </c>
      <c r="AB735" s="2">
        <v>50688</v>
      </c>
      <c r="AC735" s="2">
        <v>365</v>
      </c>
      <c r="AD735" s="2">
        <v>35.99</v>
      </c>
      <c r="AE735" s="2">
        <v>0.15</v>
      </c>
      <c r="AF735" s="2" t="str" cm="1">
        <f t="array" ref="AF735">_xlfn.IFS(AE735=0, "No Discount ", AE735&lt;=0.08,"Low Discount", AE735&lt;=0.16,"Medium Discount", AE735&gt;0.16, "High Discount")</f>
        <v>Medium Discount</v>
      </c>
      <c r="AG735" s="2">
        <v>126673</v>
      </c>
      <c r="AH735" s="2">
        <v>59.99</v>
      </c>
      <c r="AI735" s="2">
        <v>0.35</v>
      </c>
      <c r="AJ735" s="2" t="str" cm="1">
        <f t="array" ref="AJ735">_xlfn.IFS(AI735&lt;=0, "No Profit", AI735&lt;=0.16,"Low Profit",AI735&lt;=0.32,"Medium Profit",AI735&gt;0.32,"High Profit")</f>
        <v>High Profit</v>
      </c>
      <c r="AK735" s="2">
        <v>4</v>
      </c>
      <c r="AL735" s="2">
        <v>239.96</v>
      </c>
      <c r="AM735" s="2">
        <v>203.97</v>
      </c>
      <c r="AN735" s="2">
        <v>71.39</v>
      </c>
      <c r="AO735" s="2" t="s">
        <v>503</v>
      </c>
      <c r="AP735" s="2" t="s">
        <v>889</v>
      </c>
      <c r="AQ735" s="2" t="s">
        <v>155</v>
      </c>
      <c r="AR735" s="2" t="s">
        <v>81</v>
      </c>
      <c r="AS735" s="2">
        <v>365</v>
      </c>
      <c r="AT735" s="2">
        <v>17</v>
      </c>
      <c r="AU735" s="2" t="s">
        <v>421</v>
      </c>
      <c r="AV735" s="2">
        <v>59.99</v>
      </c>
      <c r="AW735" s="2">
        <v>0</v>
      </c>
      <c r="AX735" s="2" t="s">
        <v>3122</v>
      </c>
      <c r="AY735" s="2" t="s">
        <v>83</v>
      </c>
      <c r="AZ735" s="4">
        <v>42979</v>
      </c>
      <c r="BA735" s="5">
        <v>0.91249999999999998</v>
      </c>
      <c r="BB735" s="2">
        <v>2017</v>
      </c>
      <c r="BC735" s="2" t="s">
        <v>552</v>
      </c>
      <c r="BD735" s="2">
        <v>1</v>
      </c>
      <c r="BE735" s="4">
        <v>42748</v>
      </c>
      <c r="BF735" s="5">
        <v>0.91249999999999998</v>
      </c>
      <c r="BG735" s="2" t="str" cm="1">
        <f t="array" ref="BG735">_xlfn.IFS(BF735&lt;TIMEVALUE("06:00"),"Night", BF735&gt;=TIMEVALUE("21:00"),"Night",BF735&gt;=TIMEVALUE("17:00"),"Evening",BF735&gt;=TIMEVALUE("12:00"),"Afternoon", BF735&gt;=TIMEVALUE("06:00"),"Morning")</f>
        <v>Night</v>
      </c>
      <c r="BH735" s="2">
        <v>2017</v>
      </c>
      <c r="BI735" s="2" t="s">
        <v>84</v>
      </c>
      <c r="BJ735" s="2">
        <v>13</v>
      </c>
    </row>
    <row r="736" spans="1:62" x14ac:dyDescent="0.3">
      <c r="A736" s="2" t="s">
        <v>86</v>
      </c>
      <c r="B736" s="2">
        <v>6</v>
      </c>
      <c r="C736" s="2">
        <v>4</v>
      </c>
      <c r="D736" s="2">
        <v>65.510000000000005</v>
      </c>
      <c r="E736" s="2">
        <v>201.57</v>
      </c>
      <c r="F736" s="2" t="s">
        <v>87</v>
      </c>
      <c r="G736" s="2" t="s">
        <v>88</v>
      </c>
      <c r="H736" s="2">
        <v>17</v>
      </c>
      <c r="I736" s="2" t="s">
        <v>412</v>
      </c>
      <c r="J736" s="2" t="s">
        <v>3123</v>
      </c>
      <c r="K736" s="2" t="s">
        <v>102</v>
      </c>
      <c r="L736" s="2" t="s">
        <v>2664</v>
      </c>
      <c r="M736" s="2">
        <v>3935</v>
      </c>
      <c r="N736" s="2" t="s">
        <v>719</v>
      </c>
      <c r="O736" s="2" t="s">
        <v>70</v>
      </c>
      <c r="P736" s="2" t="s">
        <v>105</v>
      </c>
      <c r="Q736" s="2" t="s">
        <v>3124</v>
      </c>
      <c r="R736" s="2">
        <v>90620</v>
      </c>
      <c r="S736" s="2">
        <v>4</v>
      </c>
      <c r="T736" s="2" t="s">
        <v>417</v>
      </c>
      <c r="U736" s="2">
        <v>34.138992299999998</v>
      </c>
      <c r="V736" s="2">
        <v>-118.3884659</v>
      </c>
      <c r="W736" s="2" t="s">
        <v>500</v>
      </c>
      <c r="X736" s="2" t="s">
        <v>3125</v>
      </c>
      <c r="Y736" s="2" t="s">
        <v>1617</v>
      </c>
      <c r="Z736" s="2">
        <v>3935</v>
      </c>
      <c r="AA736" s="2" t="s">
        <v>3126</v>
      </c>
      <c r="AB736" s="2">
        <v>49445</v>
      </c>
      <c r="AC736" s="2">
        <v>365</v>
      </c>
      <c r="AD736" s="2">
        <v>38.39</v>
      </c>
      <c r="AE736" s="2">
        <v>0.16</v>
      </c>
      <c r="AF736" s="2" t="str" cm="1">
        <f t="array" ref="AF736">_xlfn.IFS(AE736=0, "No Discount ", AE736&lt;=0.08,"Low Discount", AE736&lt;=0.16,"Medium Discount", AE736&gt;0.16, "High Discount")</f>
        <v>Medium Discount</v>
      </c>
      <c r="AG736" s="2">
        <v>123581</v>
      </c>
      <c r="AH736" s="2">
        <v>59.99</v>
      </c>
      <c r="AI736" s="2">
        <v>0.33</v>
      </c>
      <c r="AJ736" s="2" t="str" cm="1">
        <f t="array" ref="AJ736">_xlfn.IFS(AI736&lt;=0, "No Profit", AI736&lt;=0.16,"Low Profit",AI736&lt;=0.32,"Medium Profit",AI736&gt;0.32,"High Profit")</f>
        <v>High Profit</v>
      </c>
      <c r="AK736" s="2">
        <v>4</v>
      </c>
      <c r="AL736" s="2">
        <v>239.96</v>
      </c>
      <c r="AM736" s="2">
        <v>201.57</v>
      </c>
      <c r="AN736" s="2">
        <v>65.510000000000005</v>
      </c>
      <c r="AO736" s="2" t="s">
        <v>876</v>
      </c>
      <c r="AP736" s="2" t="s">
        <v>3127</v>
      </c>
      <c r="AQ736" s="2" t="s">
        <v>155</v>
      </c>
      <c r="AR736" s="2" t="s">
        <v>81</v>
      </c>
      <c r="AS736" s="2">
        <v>365</v>
      </c>
      <c r="AT736" s="2">
        <v>17</v>
      </c>
      <c r="AU736" s="2" t="s">
        <v>421</v>
      </c>
      <c r="AV736" s="2">
        <v>59.99</v>
      </c>
      <c r="AW736" s="2">
        <v>0</v>
      </c>
      <c r="AX736" s="2" t="s">
        <v>3128</v>
      </c>
      <c r="AY736" s="2" t="s">
        <v>83</v>
      </c>
      <c r="AZ736" s="4">
        <v>42726</v>
      </c>
      <c r="BA736" s="5">
        <v>0.7680555555555556</v>
      </c>
      <c r="BB736" s="2">
        <v>2016</v>
      </c>
      <c r="BC736" s="2" t="s">
        <v>357</v>
      </c>
      <c r="BD736" s="2">
        <v>22</v>
      </c>
      <c r="BE736" s="4">
        <v>42732</v>
      </c>
      <c r="BF736" s="5">
        <v>0.7680555555555556</v>
      </c>
      <c r="BG736" s="2" t="str" cm="1">
        <f t="array" ref="BG736">_xlfn.IFS(BF736&lt;TIMEVALUE("06:00"),"Night", BF736&gt;=TIMEVALUE("21:00"),"Night",BF736&gt;=TIMEVALUE("17:00"),"Evening",BF736&gt;=TIMEVALUE("12:00"),"Afternoon", BF736&gt;=TIMEVALUE("06:00"),"Morning")</f>
        <v>Evening</v>
      </c>
      <c r="BH736" s="2">
        <v>2016</v>
      </c>
      <c r="BI736" s="2" t="s">
        <v>357</v>
      </c>
      <c r="BJ736" s="2">
        <v>28</v>
      </c>
    </row>
    <row r="737" spans="1:62" x14ac:dyDescent="0.3">
      <c r="A737" s="2" t="s">
        <v>86</v>
      </c>
      <c r="B737" s="2">
        <v>4</v>
      </c>
      <c r="C737" s="2">
        <v>4</v>
      </c>
      <c r="D737" s="2">
        <v>72.849999999999994</v>
      </c>
      <c r="E737" s="2">
        <v>158.36000000000001</v>
      </c>
      <c r="F737" s="2" t="s">
        <v>100</v>
      </c>
      <c r="G737" s="2" t="s">
        <v>64</v>
      </c>
      <c r="H737" s="2">
        <v>29</v>
      </c>
      <c r="I737" s="2" t="s">
        <v>424</v>
      </c>
      <c r="J737" s="2" t="s">
        <v>1900</v>
      </c>
      <c r="K737" s="2" t="s">
        <v>102</v>
      </c>
      <c r="L737" s="2" t="s">
        <v>414</v>
      </c>
      <c r="M737" s="2">
        <v>8792</v>
      </c>
      <c r="N737" s="2" t="s">
        <v>425</v>
      </c>
      <c r="O737" s="2" t="s">
        <v>70</v>
      </c>
      <c r="P737" s="2" t="s">
        <v>105</v>
      </c>
      <c r="Q737" s="2" t="s">
        <v>3129</v>
      </c>
      <c r="R737" s="2">
        <v>94541</v>
      </c>
      <c r="S737" s="2">
        <v>5</v>
      </c>
      <c r="T737" s="2" t="s">
        <v>427</v>
      </c>
      <c r="U737" s="2">
        <v>37.6755104</v>
      </c>
      <c r="V737" s="2">
        <v>-122.0496826</v>
      </c>
      <c r="W737" s="2" t="s">
        <v>500</v>
      </c>
      <c r="X737" s="2" t="s">
        <v>1210</v>
      </c>
      <c r="Y737" s="2" t="s">
        <v>895</v>
      </c>
      <c r="Z737" s="2">
        <v>8792</v>
      </c>
      <c r="AA737" s="2" t="s">
        <v>3130</v>
      </c>
      <c r="AB737" s="2">
        <v>47938</v>
      </c>
      <c r="AC737" s="2">
        <v>627</v>
      </c>
      <c r="AD737" s="2">
        <v>1.6</v>
      </c>
      <c r="AE737" s="2">
        <v>0.01</v>
      </c>
      <c r="AF737" s="2" t="str" cm="1">
        <f t="array" ref="AF737">_xlfn.IFS(AE737=0, "No Discount ", AE737&lt;=0.08,"Low Discount", AE737&lt;=0.16,"Medium Discount", AE737&gt;0.16, "High Discount")</f>
        <v>Low Discount</v>
      </c>
      <c r="AG737" s="2">
        <v>119885</v>
      </c>
      <c r="AH737" s="2">
        <v>39.99</v>
      </c>
      <c r="AI737" s="2">
        <v>0.46</v>
      </c>
      <c r="AJ737" s="2" t="str" cm="1">
        <f t="array" ref="AJ737">_xlfn.IFS(AI737&lt;=0, "No Profit", AI737&lt;=0.16,"Low Profit",AI737&lt;=0.32,"Medium Profit",AI737&gt;0.32,"High Profit")</f>
        <v>High Profit</v>
      </c>
      <c r="AK737" s="2">
        <v>4</v>
      </c>
      <c r="AL737" s="2">
        <v>159.96</v>
      </c>
      <c r="AM737" s="2">
        <v>158.36000000000001</v>
      </c>
      <c r="AN737" s="2">
        <v>72.849999999999994</v>
      </c>
      <c r="AO737" s="2" t="s">
        <v>523</v>
      </c>
      <c r="AP737" s="2" t="s">
        <v>1211</v>
      </c>
      <c r="AQ737" s="2" t="s">
        <v>155</v>
      </c>
      <c r="AR737" s="2" t="s">
        <v>81</v>
      </c>
      <c r="AS737" s="2">
        <v>627</v>
      </c>
      <c r="AT737" s="2">
        <v>29</v>
      </c>
      <c r="AU737" s="2" t="s">
        <v>432</v>
      </c>
      <c r="AV737" s="2">
        <v>39.99</v>
      </c>
      <c r="AW737" s="2">
        <v>0</v>
      </c>
      <c r="AX737" s="3">
        <v>42472.768750000003</v>
      </c>
      <c r="AY737" s="2" t="s">
        <v>83</v>
      </c>
      <c r="AZ737" s="4">
        <v>42704</v>
      </c>
      <c r="BA737" s="5">
        <v>0.76875000000000004</v>
      </c>
      <c r="BB737" s="2">
        <v>2016</v>
      </c>
      <c r="BC737" s="2" t="s">
        <v>455</v>
      </c>
      <c r="BD737" s="2">
        <v>30</v>
      </c>
      <c r="BE737" s="4">
        <v>42472</v>
      </c>
      <c r="BF737" s="5">
        <v>0.76875000000000004</v>
      </c>
      <c r="BG737" s="2" t="str" cm="1">
        <f t="array" ref="BG737">_xlfn.IFS(BF737&lt;TIMEVALUE("06:00"),"Night", BF737&gt;=TIMEVALUE("21:00"),"Night",BF737&gt;=TIMEVALUE("17:00"),"Evening",BF737&gt;=TIMEVALUE("12:00"),"Afternoon", BF737&gt;=TIMEVALUE("06:00"),"Morning")</f>
        <v>Evening</v>
      </c>
      <c r="BH737" s="2">
        <v>2016</v>
      </c>
      <c r="BI737" s="2" t="s">
        <v>487</v>
      </c>
      <c r="BJ737" s="2">
        <v>12</v>
      </c>
    </row>
    <row r="738" spans="1:62" x14ac:dyDescent="0.3">
      <c r="A738" s="2" t="s">
        <v>86</v>
      </c>
      <c r="B738" s="2">
        <v>5</v>
      </c>
      <c r="C738" s="2">
        <v>4</v>
      </c>
      <c r="D738" s="2">
        <v>60.18</v>
      </c>
      <c r="E738" s="2">
        <v>158.36000000000001</v>
      </c>
      <c r="F738" s="2" t="s">
        <v>87</v>
      </c>
      <c r="G738" s="2" t="s">
        <v>88</v>
      </c>
      <c r="H738" s="2">
        <v>29</v>
      </c>
      <c r="I738" s="2" t="s">
        <v>424</v>
      </c>
      <c r="J738" s="2" t="s">
        <v>3131</v>
      </c>
      <c r="K738" s="2" t="s">
        <v>102</v>
      </c>
      <c r="L738" s="2" t="s">
        <v>414</v>
      </c>
      <c r="M738" s="2">
        <v>10416</v>
      </c>
      <c r="N738" s="2" t="s">
        <v>3132</v>
      </c>
      <c r="O738" s="2" t="s">
        <v>70</v>
      </c>
      <c r="P738" s="2" t="s">
        <v>1102</v>
      </c>
      <c r="Q738" s="2" t="s">
        <v>3133</v>
      </c>
      <c r="R738" s="2">
        <v>21228</v>
      </c>
      <c r="S738" s="2">
        <v>5</v>
      </c>
      <c r="T738" s="2" t="s">
        <v>427</v>
      </c>
      <c r="U738" s="2">
        <v>39.265152</v>
      </c>
      <c r="V738" s="2">
        <v>-76.772842400000002</v>
      </c>
      <c r="W738" s="2" t="s">
        <v>500</v>
      </c>
      <c r="X738" s="2" t="s">
        <v>3134</v>
      </c>
      <c r="Y738" s="2" t="s">
        <v>867</v>
      </c>
      <c r="Z738" s="2">
        <v>10416</v>
      </c>
      <c r="AA738" s="2" t="s">
        <v>3135</v>
      </c>
      <c r="AB738" s="2">
        <v>45249</v>
      </c>
      <c r="AC738" s="2">
        <v>627</v>
      </c>
      <c r="AD738" s="2">
        <v>1.6</v>
      </c>
      <c r="AE738" s="2">
        <v>0.01</v>
      </c>
      <c r="AF738" s="2" t="str" cm="1">
        <f t="array" ref="AF738">_xlfn.IFS(AE738=0, "No Discount ", AE738&lt;=0.08,"Low Discount", AE738&lt;=0.16,"Medium Discount", AE738&gt;0.16, "High Discount")</f>
        <v>Low Discount</v>
      </c>
      <c r="AG738" s="2">
        <v>113056</v>
      </c>
      <c r="AH738" s="2">
        <v>39.99</v>
      </c>
      <c r="AI738" s="2">
        <v>0.38</v>
      </c>
      <c r="AJ738" s="2" t="str" cm="1">
        <f t="array" ref="AJ738">_xlfn.IFS(AI738&lt;=0, "No Profit", AI738&lt;=0.16,"Low Profit",AI738&lt;=0.32,"Medium Profit",AI738&gt;0.32,"High Profit")</f>
        <v>High Profit</v>
      </c>
      <c r="AK738" s="2">
        <v>4</v>
      </c>
      <c r="AL738" s="2">
        <v>159.96</v>
      </c>
      <c r="AM738" s="2">
        <v>158.36000000000001</v>
      </c>
      <c r="AN738" s="2">
        <v>60.18</v>
      </c>
      <c r="AO738" s="2" t="s">
        <v>523</v>
      </c>
      <c r="AP738" s="2" t="s">
        <v>3136</v>
      </c>
      <c r="AQ738" s="2" t="s">
        <v>155</v>
      </c>
      <c r="AR738" s="2" t="s">
        <v>81</v>
      </c>
      <c r="AS738" s="2">
        <v>627</v>
      </c>
      <c r="AT738" s="2">
        <v>29</v>
      </c>
      <c r="AU738" s="2" t="s">
        <v>432</v>
      </c>
      <c r="AV738" s="2">
        <v>39.99</v>
      </c>
      <c r="AW738" s="2">
        <v>0</v>
      </c>
      <c r="AX738" s="2" t="s">
        <v>3137</v>
      </c>
      <c r="AY738" s="2" t="s">
        <v>83</v>
      </c>
      <c r="AZ738" s="4">
        <v>42665</v>
      </c>
      <c r="BA738" s="5">
        <v>0.51597222222222228</v>
      </c>
      <c r="BB738" s="2">
        <v>2016</v>
      </c>
      <c r="BC738" s="2" t="s">
        <v>434</v>
      </c>
      <c r="BD738" s="2">
        <v>22</v>
      </c>
      <c r="BE738" s="4">
        <v>42670</v>
      </c>
      <c r="BF738" s="5">
        <v>0.51597222222222228</v>
      </c>
      <c r="BG738" s="2" t="str" cm="1">
        <f t="array" ref="BG738">_xlfn.IFS(BF738&lt;TIMEVALUE("06:00"),"Night", BF738&gt;=TIMEVALUE("21:00"),"Night",BF738&gt;=TIMEVALUE("17:00"),"Evening",BF738&gt;=TIMEVALUE("12:00"),"Afternoon", BF738&gt;=TIMEVALUE("06:00"),"Morning")</f>
        <v>Afternoon</v>
      </c>
      <c r="BH738" s="2">
        <v>2016</v>
      </c>
      <c r="BI738" s="2" t="s">
        <v>434</v>
      </c>
      <c r="BJ738" s="2">
        <v>27</v>
      </c>
    </row>
    <row r="739" spans="1:62" x14ac:dyDescent="0.3">
      <c r="A739" s="2" t="s">
        <v>86</v>
      </c>
      <c r="B739" s="2">
        <v>5</v>
      </c>
      <c r="C739" s="2">
        <v>4</v>
      </c>
      <c r="D739" s="2">
        <v>93.12</v>
      </c>
      <c r="E739" s="2">
        <v>194</v>
      </c>
      <c r="F739" s="2" t="s">
        <v>87</v>
      </c>
      <c r="G739" s="2" t="s">
        <v>88</v>
      </c>
      <c r="H739" s="2">
        <v>24</v>
      </c>
      <c r="I739" s="2" t="s">
        <v>435</v>
      </c>
      <c r="J739" s="2" t="s">
        <v>343</v>
      </c>
      <c r="K739" s="2" t="s">
        <v>102</v>
      </c>
      <c r="L739" s="2" t="s">
        <v>1297</v>
      </c>
      <c r="M739" s="2">
        <v>424</v>
      </c>
      <c r="N739" s="2" t="s">
        <v>624</v>
      </c>
      <c r="O739" s="2" t="s">
        <v>70</v>
      </c>
      <c r="P739" s="2" t="s">
        <v>280</v>
      </c>
      <c r="Q739" s="2" t="s">
        <v>3138</v>
      </c>
      <c r="R739" s="2">
        <v>17013</v>
      </c>
      <c r="S739" s="2">
        <v>5</v>
      </c>
      <c r="T739" s="2" t="s">
        <v>427</v>
      </c>
      <c r="U739" s="2">
        <v>40.218029000000001</v>
      </c>
      <c r="V739" s="2">
        <v>-77.182853699999995</v>
      </c>
      <c r="W739" s="2" t="s">
        <v>500</v>
      </c>
      <c r="X739" s="2" t="s">
        <v>894</v>
      </c>
      <c r="Y739" s="2" t="s">
        <v>895</v>
      </c>
      <c r="Z739" s="2">
        <v>424</v>
      </c>
      <c r="AA739" s="3">
        <v>42438.248611111114</v>
      </c>
      <c r="AB739" s="2">
        <v>41874</v>
      </c>
      <c r="AC739" s="2">
        <v>502</v>
      </c>
      <c r="AD739" s="2">
        <v>6</v>
      </c>
      <c r="AE739" s="2">
        <v>0.03</v>
      </c>
      <c r="AF739" s="2" t="str" cm="1">
        <f t="array" ref="AF739">_xlfn.IFS(AE739=0, "No Discount ", AE739&lt;=0.08,"Low Discount", AE739&lt;=0.16,"Medium Discount", AE739&gt;0.16, "High Discount")</f>
        <v>Low Discount</v>
      </c>
      <c r="AG739" s="2">
        <v>104525</v>
      </c>
      <c r="AH739" s="2">
        <v>50</v>
      </c>
      <c r="AI739" s="2">
        <v>0.48</v>
      </c>
      <c r="AJ739" s="2" t="str" cm="1">
        <f t="array" ref="AJ739">_xlfn.IFS(AI739&lt;=0, "No Profit", AI739&lt;=0.16,"Low Profit",AI739&lt;=0.32,"Medium Profit",AI739&gt;0.32,"High Profit")</f>
        <v>High Profit</v>
      </c>
      <c r="AK739" s="2">
        <v>4</v>
      </c>
      <c r="AL739" s="2">
        <v>200</v>
      </c>
      <c r="AM739" s="2">
        <v>194</v>
      </c>
      <c r="AN739" s="2">
        <v>93.12</v>
      </c>
      <c r="AO739" s="2" t="s">
        <v>523</v>
      </c>
      <c r="AP739" s="2" t="s">
        <v>896</v>
      </c>
      <c r="AQ739" s="2" t="s">
        <v>155</v>
      </c>
      <c r="AR739" s="2" t="s">
        <v>81</v>
      </c>
      <c r="AS739" s="2">
        <v>502</v>
      </c>
      <c r="AT739" s="2">
        <v>24</v>
      </c>
      <c r="AU739" s="2" t="s">
        <v>442</v>
      </c>
      <c r="AV739" s="2">
        <v>50</v>
      </c>
      <c r="AW739" s="2">
        <v>0</v>
      </c>
      <c r="AX739" s="3">
        <v>42591.248611111114</v>
      </c>
      <c r="AY739" s="2" t="s">
        <v>83</v>
      </c>
      <c r="AZ739" s="4">
        <v>42438</v>
      </c>
      <c r="BA739" s="5">
        <v>0.24861111111111112</v>
      </c>
      <c r="BB739" s="2">
        <v>2016</v>
      </c>
      <c r="BC739" s="2" t="s">
        <v>85</v>
      </c>
      <c r="BD739" s="2">
        <v>9</v>
      </c>
      <c r="BE739" s="4">
        <v>42591</v>
      </c>
      <c r="BF739" s="5">
        <v>0.24861111111111112</v>
      </c>
      <c r="BG739" s="2" t="str" cm="1">
        <f t="array" ref="BG739">_xlfn.IFS(BF739&lt;TIMEVALUE("06:00"),"Night", BF739&gt;=TIMEVALUE("21:00"),"Night",BF739&gt;=TIMEVALUE("17:00"),"Evening",BF739&gt;=TIMEVALUE("12:00"),"Afternoon", BF739&gt;=TIMEVALUE("06:00"),"Morning")</f>
        <v>Night</v>
      </c>
      <c r="BH739" s="2">
        <v>2016</v>
      </c>
      <c r="BI739" s="2" t="s">
        <v>482</v>
      </c>
      <c r="BJ739" s="2">
        <v>9</v>
      </c>
    </row>
    <row r="740" spans="1:62" x14ac:dyDescent="0.3">
      <c r="A740" s="2" t="s">
        <v>86</v>
      </c>
      <c r="B740" s="2">
        <v>3</v>
      </c>
      <c r="C740" s="2">
        <v>4</v>
      </c>
      <c r="D740" s="2">
        <v>87.42</v>
      </c>
      <c r="E740" s="2">
        <v>186</v>
      </c>
      <c r="F740" s="2" t="s">
        <v>63</v>
      </c>
      <c r="G740" s="2" t="s">
        <v>64</v>
      </c>
      <c r="H740" s="2">
        <v>24</v>
      </c>
      <c r="I740" s="2" t="s">
        <v>435</v>
      </c>
      <c r="J740" s="2" t="s">
        <v>1628</v>
      </c>
      <c r="K740" s="2" t="s">
        <v>102</v>
      </c>
      <c r="L740" s="2" t="s">
        <v>3139</v>
      </c>
      <c r="M740" s="2">
        <v>10031</v>
      </c>
      <c r="N740" s="2" t="s">
        <v>3140</v>
      </c>
      <c r="O740" s="2" t="s">
        <v>70</v>
      </c>
      <c r="P740" s="2" t="s">
        <v>133</v>
      </c>
      <c r="Q740" s="2" t="s">
        <v>3141</v>
      </c>
      <c r="R740" s="2">
        <v>10306</v>
      </c>
      <c r="S740" s="2">
        <v>5</v>
      </c>
      <c r="T740" s="2" t="s">
        <v>427</v>
      </c>
      <c r="U740" s="2">
        <v>40.566780100000003</v>
      </c>
      <c r="V740" s="2">
        <v>-74.117347699999996</v>
      </c>
      <c r="W740" s="2" t="s">
        <v>500</v>
      </c>
      <c r="X740" s="2" t="s">
        <v>3142</v>
      </c>
      <c r="Y740" s="2" t="s">
        <v>895</v>
      </c>
      <c r="Z740" s="2">
        <v>10031</v>
      </c>
      <c r="AA740" s="2" t="s">
        <v>3143</v>
      </c>
      <c r="AB740" s="2">
        <v>41572</v>
      </c>
      <c r="AC740" s="2">
        <v>502</v>
      </c>
      <c r="AD740" s="2">
        <v>14</v>
      </c>
      <c r="AE740" s="2">
        <v>7.0000000000000007E-2</v>
      </c>
      <c r="AF740" s="2" t="str" cm="1">
        <f t="array" ref="AF740">_xlfn.IFS(AE740=0, "No Discount ", AE740&lt;=0.08,"Low Discount", AE740&lt;=0.16,"Medium Discount", AE740&gt;0.16, "High Discount")</f>
        <v>Low Discount</v>
      </c>
      <c r="AG740" s="2">
        <v>103766</v>
      </c>
      <c r="AH740" s="2">
        <v>50</v>
      </c>
      <c r="AI740" s="2">
        <v>0.47</v>
      </c>
      <c r="AJ740" s="2" t="str" cm="1">
        <f t="array" ref="AJ740">_xlfn.IFS(AI740&lt;=0, "No Profit", AI740&lt;=0.16,"Low Profit",AI740&lt;=0.32,"Medium Profit",AI740&gt;0.32,"High Profit")</f>
        <v>High Profit</v>
      </c>
      <c r="AK740" s="2">
        <v>4</v>
      </c>
      <c r="AL740" s="2">
        <v>200</v>
      </c>
      <c r="AM740" s="2">
        <v>186</v>
      </c>
      <c r="AN740" s="2">
        <v>87.42</v>
      </c>
      <c r="AO740" s="2" t="s">
        <v>523</v>
      </c>
      <c r="AP740" s="2" t="s">
        <v>3144</v>
      </c>
      <c r="AQ740" s="2" t="s">
        <v>155</v>
      </c>
      <c r="AR740" s="2" t="s">
        <v>81</v>
      </c>
      <c r="AS740" s="2">
        <v>502</v>
      </c>
      <c r="AT740" s="2">
        <v>24</v>
      </c>
      <c r="AU740" s="2" t="s">
        <v>442</v>
      </c>
      <c r="AV740" s="2">
        <v>50</v>
      </c>
      <c r="AW740" s="2">
        <v>0</v>
      </c>
      <c r="AX740" s="3">
        <v>42378.840277777781</v>
      </c>
      <c r="AY740" s="2" t="s">
        <v>83</v>
      </c>
      <c r="AZ740" s="4">
        <v>42611</v>
      </c>
      <c r="BA740" s="5">
        <v>0.84027777777777779</v>
      </c>
      <c r="BB740" s="2">
        <v>2016</v>
      </c>
      <c r="BC740" s="2" t="s">
        <v>482</v>
      </c>
      <c r="BD740" s="2">
        <v>29</v>
      </c>
      <c r="BE740" s="4">
        <v>42378</v>
      </c>
      <c r="BF740" s="5">
        <v>0.84027777777777779</v>
      </c>
      <c r="BG740" s="2" t="str" cm="1">
        <f t="array" ref="BG740">_xlfn.IFS(BF740&lt;TIMEVALUE("06:00"),"Night", BF740&gt;=TIMEVALUE("21:00"),"Night",BF740&gt;=TIMEVALUE("17:00"),"Evening",BF740&gt;=TIMEVALUE("12:00"),"Afternoon", BF740&gt;=TIMEVALUE("06:00"),"Morning")</f>
        <v>Evening</v>
      </c>
      <c r="BH740" s="2">
        <v>2016</v>
      </c>
      <c r="BI740" s="2" t="s">
        <v>84</v>
      </c>
      <c r="BJ740" s="2">
        <v>9</v>
      </c>
    </row>
    <row r="741" spans="1:62" x14ac:dyDescent="0.3">
      <c r="A741" s="2" t="s">
        <v>86</v>
      </c>
      <c r="B741" s="2">
        <v>3</v>
      </c>
      <c r="C741" s="2">
        <v>4</v>
      </c>
      <c r="D741" s="2">
        <v>45</v>
      </c>
      <c r="E741" s="2">
        <v>180</v>
      </c>
      <c r="F741" s="2" t="s">
        <v>63</v>
      </c>
      <c r="G741" s="2" t="s">
        <v>64</v>
      </c>
      <c r="H741" s="2">
        <v>24</v>
      </c>
      <c r="I741" s="2" t="s">
        <v>435</v>
      </c>
      <c r="J741" s="2" t="s">
        <v>3110</v>
      </c>
      <c r="K741" s="2" t="s">
        <v>102</v>
      </c>
      <c r="L741" s="2" t="s">
        <v>1116</v>
      </c>
      <c r="M741" s="2">
        <v>12288</v>
      </c>
      <c r="N741" s="2" t="s">
        <v>425</v>
      </c>
      <c r="O741" s="2" t="s">
        <v>70</v>
      </c>
      <c r="P741" s="2" t="s">
        <v>234</v>
      </c>
      <c r="Q741" s="2" t="s">
        <v>3111</v>
      </c>
      <c r="R741" s="2">
        <v>60102</v>
      </c>
      <c r="S741" s="2">
        <v>5</v>
      </c>
      <c r="T741" s="2" t="s">
        <v>427</v>
      </c>
      <c r="U741" s="2">
        <v>42.175750700000002</v>
      </c>
      <c r="V741" s="2">
        <v>-88.321571399999996</v>
      </c>
      <c r="W741" s="2" t="s">
        <v>500</v>
      </c>
      <c r="X741" s="2" t="s">
        <v>3112</v>
      </c>
      <c r="Y741" s="2" t="s">
        <v>1176</v>
      </c>
      <c r="Z741" s="2">
        <v>12288</v>
      </c>
      <c r="AA741" s="3">
        <v>42440.384027777778</v>
      </c>
      <c r="AB741" s="2">
        <v>46062</v>
      </c>
      <c r="AC741" s="2">
        <v>502</v>
      </c>
      <c r="AD741" s="2">
        <v>20</v>
      </c>
      <c r="AE741" s="2">
        <v>0.1</v>
      </c>
      <c r="AF741" s="2" t="str" cm="1">
        <f t="array" ref="AF741">_xlfn.IFS(AE741=0, "No Discount ", AE741&lt;=0.08,"Low Discount", AE741&lt;=0.16,"Medium Discount", AE741&gt;0.16, "High Discount")</f>
        <v>Medium Discount</v>
      </c>
      <c r="AG741" s="2">
        <v>115138</v>
      </c>
      <c r="AH741" s="2">
        <v>50</v>
      </c>
      <c r="AI741" s="2">
        <v>0.25</v>
      </c>
      <c r="AJ741" s="2" t="str" cm="1">
        <f t="array" ref="AJ741">_xlfn.IFS(AI741&lt;=0, "No Profit", AI741&lt;=0.16,"Low Profit",AI741&lt;=0.32,"Medium Profit",AI741&gt;0.32,"High Profit")</f>
        <v>Medium Profit</v>
      </c>
      <c r="AK741" s="2">
        <v>4</v>
      </c>
      <c r="AL741" s="2">
        <v>200</v>
      </c>
      <c r="AM741" s="2">
        <v>180</v>
      </c>
      <c r="AN741" s="2">
        <v>45</v>
      </c>
      <c r="AO741" s="2" t="s">
        <v>523</v>
      </c>
      <c r="AP741" s="2" t="s">
        <v>3113</v>
      </c>
      <c r="AQ741" s="2" t="s">
        <v>155</v>
      </c>
      <c r="AR741" s="2" t="s">
        <v>81</v>
      </c>
      <c r="AS741" s="2">
        <v>502</v>
      </c>
      <c r="AT741" s="2">
        <v>24</v>
      </c>
      <c r="AU741" s="2" t="s">
        <v>442</v>
      </c>
      <c r="AV741" s="2">
        <v>50</v>
      </c>
      <c r="AW741" s="2">
        <v>0</v>
      </c>
      <c r="AX741" s="3">
        <v>42532.384027777778</v>
      </c>
      <c r="AY741" s="2" t="s">
        <v>83</v>
      </c>
      <c r="AZ741" s="4">
        <v>42440</v>
      </c>
      <c r="BA741" s="5">
        <v>0.3840277777777778</v>
      </c>
      <c r="BB741" s="2">
        <v>2016</v>
      </c>
      <c r="BC741" s="2" t="s">
        <v>85</v>
      </c>
      <c r="BD741" s="2">
        <v>11</v>
      </c>
      <c r="BE741" s="4">
        <v>42532</v>
      </c>
      <c r="BF741" s="5">
        <v>0.3840277777777778</v>
      </c>
      <c r="BG741" s="2" t="str" cm="1">
        <f t="array" ref="BG741">_xlfn.IFS(BF741&lt;TIMEVALUE("06:00"),"Night", BF741&gt;=TIMEVALUE("21:00"),"Night",BF741&gt;=TIMEVALUE("17:00"),"Evening",BF741&gt;=TIMEVALUE("12:00"),"Afternoon", BF741&gt;=TIMEVALUE("06:00"),"Morning")</f>
        <v>Morning</v>
      </c>
      <c r="BH741" s="2">
        <v>2016</v>
      </c>
      <c r="BI741" s="2" t="s">
        <v>474</v>
      </c>
      <c r="BJ741" s="2">
        <v>11</v>
      </c>
    </row>
    <row r="742" spans="1:62" x14ac:dyDescent="0.3">
      <c r="A742" s="2" t="s">
        <v>86</v>
      </c>
      <c r="B742" s="2">
        <v>6</v>
      </c>
      <c r="C742" s="2">
        <v>4</v>
      </c>
      <c r="D742" s="2">
        <v>69.58</v>
      </c>
      <c r="E742" s="2">
        <v>139.16999999999999</v>
      </c>
      <c r="F742" s="2" t="s">
        <v>87</v>
      </c>
      <c r="G742" s="2" t="s">
        <v>88</v>
      </c>
      <c r="H742" s="2">
        <v>29</v>
      </c>
      <c r="I742" s="2" t="s">
        <v>424</v>
      </c>
      <c r="J742" s="2" t="s">
        <v>239</v>
      </c>
      <c r="K742" s="2" t="s">
        <v>102</v>
      </c>
      <c r="L742" s="2" t="s">
        <v>3145</v>
      </c>
      <c r="M742" s="2">
        <v>10819</v>
      </c>
      <c r="N742" s="2" t="s">
        <v>1524</v>
      </c>
      <c r="O742" s="2" t="s">
        <v>70</v>
      </c>
      <c r="P742" s="2" t="s">
        <v>105</v>
      </c>
      <c r="Q742" s="2" t="s">
        <v>3146</v>
      </c>
      <c r="R742" s="2">
        <v>90806</v>
      </c>
      <c r="S742" s="2">
        <v>5</v>
      </c>
      <c r="T742" s="2" t="s">
        <v>427</v>
      </c>
      <c r="U742" s="2">
        <v>33.888984700000002</v>
      </c>
      <c r="V742" s="2">
        <v>-118.2071152</v>
      </c>
      <c r="W742" s="2" t="s">
        <v>500</v>
      </c>
      <c r="X742" s="2" t="s">
        <v>521</v>
      </c>
      <c r="Y742" s="2" t="s">
        <v>522</v>
      </c>
      <c r="Z742" s="2">
        <v>10819</v>
      </c>
      <c r="AA742" s="3">
        <v>42378.949305555558</v>
      </c>
      <c r="AB742" s="2">
        <v>41785</v>
      </c>
      <c r="AC742" s="2">
        <v>627</v>
      </c>
      <c r="AD742" s="2">
        <v>20.79</v>
      </c>
      <c r="AE742" s="2">
        <v>0.13</v>
      </c>
      <c r="AF742" s="2" t="str" cm="1">
        <f t="array" ref="AF742">_xlfn.IFS(AE742=0, "No Discount ", AE742&lt;=0.08,"Low Discount", AE742&lt;=0.16,"Medium Discount", AE742&gt;0.16, "High Discount")</f>
        <v>Medium Discount</v>
      </c>
      <c r="AG742" s="2">
        <v>104306</v>
      </c>
      <c r="AH742" s="2">
        <v>39.99</v>
      </c>
      <c r="AI742" s="2">
        <v>0.5</v>
      </c>
      <c r="AJ742" s="2" t="str" cm="1">
        <f t="array" ref="AJ742">_xlfn.IFS(AI742&lt;=0, "No Profit", AI742&lt;=0.16,"Low Profit",AI742&lt;=0.32,"Medium Profit",AI742&gt;0.32,"High Profit")</f>
        <v>High Profit</v>
      </c>
      <c r="AK742" s="2">
        <v>4</v>
      </c>
      <c r="AL742" s="2">
        <v>159.96</v>
      </c>
      <c r="AM742" s="2">
        <v>139.16999999999999</v>
      </c>
      <c r="AN742" s="2">
        <v>69.58</v>
      </c>
      <c r="AO742" s="2" t="s">
        <v>523</v>
      </c>
      <c r="AP742" s="2" t="s">
        <v>524</v>
      </c>
      <c r="AQ742" s="2" t="s">
        <v>155</v>
      </c>
      <c r="AR742" s="2" t="s">
        <v>81</v>
      </c>
      <c r="AS742" s="2">
        <v>627</v>
      </c>
      <c r="AT742" s="2">
        <v>29</v>
      </c>
      <c r="AU742" s="2" t="s">
        <v>432</v>
      </c>
      <c r="AV742" s="2">
        <v>39.99</v>
      </c>
      <c r="AW742" s="2">
        <v>0</v>
      </c>
      <c r="AX742" s="3">
        <v>42560.949305555558</v>
      </c>
      <c r="AY742" s="2" t="s">
        <v>83</v>
      </c>
      <c r="AZ742" s="4">
        <v>42378</v>
      </c>
      <c r="BA742" s="5">
        <v>0.94930555555555551</v>
      </c>
      <c r="BB742" s="2">
        <v>2016</v>
      </c>
      <c r="BC742" s="2" t="s">
        <v>84</v>
      </c>
      <c r="BD742" s="2">
        <v>9</v>
      </c>
      <c r="BE742" s="4">
        <v>42560</v>
      </c>
      <c r="BF742" s="5">
        <v>0.94930555555555551</v>
      </c>
      <c r="BG742" s="2" t="str" cm="1">
        <f t="array" ref="BG742">_xlfn.IFS(BF742&lt;TIMEVALUE("06:00"),"Night", BF742&gt;=TIMEVALUE("21:00"),"Night",BF742&gt;=TIMEVALUE("17:00"),"Evening",BF742&gt;=TIMEVALUE("12:00"),"Afternoon", BF742&gt;=TIMEVALUE("06:00"),"Morning")</f>
        <v>Night</v>
      </c>
      <c r="BH742" s="2">
        <v>2016</v>
      </c>
      <c r="BI742" s="2" t="s">
        <v>533</v>
      </c>
      <c r="BJ742" s="2">
        <v>9</v>
      </c>
    </row>
    <row r="743" spans="1:62" x14ac:dyDescent="0.3">
      <c r="A743" s="2" t="s">
        <v>86</v>
      </c>
      <c r="B743" s="2">
        <v>2</v>
      </c>
      <c r="C743" s="2">
        <v>4</v>
      </c>
      <c r="D743" s="2">
        <v>40.36</v>
      </c>
      <c r="E743" s="2">
        <v>139.16999999999999</v>
      </c>
      <c r="F743" s="2" t="s">
        <v>63</v>
      </c>
      <c r="G743" s="2" t="s">
        <v>64</v>
      </c>
      <c r="H743" s="2">
        <v>29</v>
      </c>
      <c r="I743" s="2" t="s">
        <v>424</v>
      </c>
      <c r="J743" s="2" t="s">
        <v>2082</v>
      </c>
      <c r="K743" s="2" t="s">
        <v>102</v>
      </c>
      <c r="L743" s="2" t="s">
        <v>414</v>
      </c>
      <c r="M743" s="2">
        <v>5418</v>
      </c>
      <c r="N743" s="2" t="s">
        <v>807</v>
      </c>
      <c r="O743" s="2" t="s">
        <v>70</v>
      </c>
      <c r="P743" s="2" t="s">
        <v>380</v>
      </c>
      <c r="Q743" s="2" t="s">
        <v>3147</v>
      </c>
      <c r="R743" s="2">
        <v>30066</v>
      </c>
      <c r="S743" s="2">
        <v>5</v>
      </c>
      <c r="T743" s="2" t="s">
        <v>427</v>
      </c>
      <c r="U743" s="2">
        <v>34.032123599999998</v>
      </c>
      <c r="V743" s="2">
        <v>-84.512886100000003</v>
      </c>
      <c r="W743" s="2" t="s">
        <v>500</v>
      </c>
      <c r="X743" s="2" t="s">
        <v>1242</v>
      </c>
      <c r="Y743" s="2" t="s">
        <v>522</v>
      </c>
      <c r="Z743" s="2">
        <v>5418</v>
      </c>
      <c r="AA743" s="2" t="s">
        <v>3148</v>
      </c>
      <c r="AB743" s="2">
        <v>42971</v>
      </c>
      <c r="AC743" s="2">
        <v>627</v>
      </c>
      <c r="AD743" s="2">
        <v>20.79</v>
      </c>
      <c r="AE743" s="2">
        <v>0.13</v>
      </c>
      <c r="AF743" s="2" t="str" cm="1">
        <f t="array" ref="AF743">_xlfn.IFS(AE743=0, "No Discount ", AE743&lt;=0.08,"Low Discount", AE743&lt;=0.16,"Medium Discount", AE743&gt;0.16, "High Discount")</f>
        <v>Medium Discount</v>
      </c>
      <c r="AG743" s="2">
        <v>107336</v>
      </c>
      <c r="AH743" s="2">
        <v>39.99</v>
      </c>
      <c r="AI743" s="2">
        <v>0.28999999999999998</v>
      </c>
      <c r="AJ743" s="2" t="str" cm="1">
        <f t="array" ref="AJ743">_xlfn.IFS(AI743&lt;=0, "No Profit", AI743&lt;=0.16,"Low Profit",AI743&lt;=0.32,"Medium Profit",AI743&gt;0.32,"High Profit")</f>
        <v>Medium Profit</v>
      </c>
      <c r="AK743" s="2">
        <v>4</v>
      </c>
      <c r="AL743" s="2">
        <v>159.96</v>
      </c>
      <c r="AM743" s="2">
        <v>139.16999999999999</v>
      </c>
      <c r="AN743" s="2">
        <v>40.36</v>
      </c>
      <c r="AO743" s="2" t="s">
        <v>523</v>
      </c>
      <c r="AP743" s="2" t="s">
        <v>1244</v>
      </c>
      <c r="AQ743" s="2" t="s">
        <v>155</v>
      </c>
      <c r="AR743" s="2" t="s">
        <v>81</v>
      </c>
      <c r="AS743" s="2">
        <v>627</v>
      </c>
      <c r="AT743" s="2">
        <v>29</v>
      </c>
      <c r="AU743" s="2" t="s">
        <v>432</v>
      </c>
      <c r="AV743" s="2">
        <v>39.99</v>
      </c>
      <c r="AW743" s="2">
        <v>0</v>
      </c>
      <c r="AX743" s="2" t="s">
        <v>3149</v>
      </c>
      <c r="AY743" s="2" t="s">
        <v>83</v>
      </c>
      <c r="AZ743" s="4">
        <v>42632</v>
      </c>
      <c r="BA743" s="5">
        <v>0.26250000000000001</v>
      </c>
      <c r="BB743" s="2">
        <v>2016</v>
      </c>
      <c r="BC743" s="2" t="s">
        <v>552</v>
      </c>
      <c r="BD743" s="2">
        <v>19</v>
      </c>
      <c r="BE743" s="4">
        <v>42634</v>
      </c>
      <c r="BF743" s="5">
        <v>0.26250000000000001</v>
      </c>
      <c r="BG743" s="2" t="str" cm="1">
        <f t="array" ref="BG743">_xlfn.IFS(BF743&lt;TIMEVALUE("06:00"),"Night", BF743&gt;=TIMEVALUE("21:00"),"Night",BF743&gt;=TIMEVALUE("17:00"),"Evening",BF743&gt;=TIMEVALUE("12:00"),"Afternoon", BF743&gt;=TIMEVALUE("06:00"),"Morning")</f>
        <v>Morning</v>
      </c>
      <c r="BH743" s="2">
        <v>2016</v>
      </c>
      <c r="BI743" s="2" t="s">
        <v>552</v>
      </c>
      <c r="BJ743" s="2">
        <v>21</v>
      </c>
    </row>
    <row r="744" spans="1:62" x14ac:dyDescent="0.3">
      <c r="A744" s="2" t="s">
        <v>86</v>
      </c>
      <c r="B744" s="2">
        <v>3</v>
      </c>
      <c r="C744" s="2">
        <v>4</v>
      </c>
      <c r="D744" s="2">
        <v>-290.5</v>
      </c>
      <c r="E744" s="2">
        <v>166</v>
      </c>
      <c r="F744" s="2" t="s">
        <v>63</v>
      </c>
      <c r="G744" s="2" t="s">
        <v>64</v>
      </c>
      <c r="H744" s="2">
        <v>24</v>
      </c>
      <c r="I744" s="2" t="s">
        <v>435</v>
      </c>
      <c r="J744" s="2" t="s">
        <v>3150</v>
      </c>
      <c r="K744" s="2" t="s">
        <v>102</v>
      </c>
      <c r="L744" s="2" t="s">
        <v>1694</v>
      </c>
      <c r="M744" s="2">
        <v>7272</v>
      </c>
      <c r="N744" s="2" t="s">
        <v>3151</v>
      </c>
      <c r="O744" s="2" t="s">
        <v>70</v>
      </c>
      <c r="P744" s="2" t="s">
        <v>1163</v>
      </c>
      <c r="Q744" s="2" t="s">
        <v>3152</v>
      </c>
      <c r="R744" s="2">
        <v>7305</v>
      </c>
      <c r="S744" s="2">
        <v>5</v>
      </c>
      <c r="T744" s="2" t="s">
        <v>427</v>
      </c>
      <c r="U744" s="2">
        <v>40.7060204</v>
      </c>
      <c r="V744" s="2">
        <v>-74.086853000000005</v>
      </c>
      <c r="W744" s="2" t="s">
        <v>500</v>
      </c>
      <c r="X744" s="2" t="s">
        <v>3153</v>
      </c>
      <c r="Y744" s="2" t="s">
        <v>509</v>
      </c>
      <c r="Z744" s="2">
        <v>7272</v>
      </c>
      <c r="AA744" s="2" t="s">
        <v>3154</v>
      </c>
      <c r="AB744" s="2">
        <v>44677</v>
      </c>
      <c r="AC744" s="2">
        <v>502</v>
      </c>
      <c r="AD744" s="2">
        <v>34</v>
      </c>
      <c r="AE744" s="2">
        <v>0.17</v>
      </c>
      <c r="AF744" s="2" t="str" cm="1">
        <f t="array" ref="AF744">_xlfn.IFS(AE744=0, "No Discount ", AE744&lt;=0.08,"Low Discount", AE744&lt;=0.16,"Medium Discount", AE744&gt;0.16, "High Discount")</f>
        <v>High Discount</v>
      </c>
      <c r="AG744" s="2">
        <v>111568</v>
      </c>
      <c r="AH744" s="2">
        <v>50</v>
      </c>
      <c r="AI744" s="2">
        <v>-1.75</v>
      </c>
      <c r="AJ744" s="2" t="str" cm="1">
        <f t="array" ref="AJ744">_xlfn.IFS(AI744&lt;=0, "No Profit", AI744&lt;=0.16,"Low Profit",AI744&lt;=0.32,"Medium Profit",AI744&gt;0.32,"High Profit")</f>
        <v>No Profit</v>
      </c>
      <c r="AK744" s="2">
        <v>4</v>
      </c>
      <c r="AL744" s="2">
        <v>200</v>
      </c>
      <c r="AM744" s="2">
        <v>166</v>
      </c>
      <c r="AN744" s="2">
        <v>-290.5</v>
      </c>
      <c r="AO744" s="2" t="s">
        <v>510</v>
      </c>
      <c r="AP744" s="2" t="s">
        <v>3155</v>
      </c>
      <c r="AQ744" s="2" t="s">
        <v>155</v>
      </c>
      <c r="AR744" s="2" t="s">
        <v>81</v>
      </c>
      <c r="AS744" s="2">
        <v>502</v>
      </c>
      <c r="AT744" s="2">
        <v>24</v>
      </c>
      <c r="AU744" s="2" t="s">
        <v>442</v>
      </c>
      <c r="AV744" s="2">
        <v>50</v>
      </c>
      <c r="AW744" s="2">
        <v>0</v>
      </c>
      <c r="AX744" s="2" t="s">
        <v>3156</v>
      </c>
      <c r="AY744" s="2" t="s">
        <v>83</v>
      </c>
      <c r="AZ744" s="4">
        <v>42657</v>
      </c>
      <c r="BA744" s="5">
        <v>0.16597222222222222</v>
      </c>
      <c r="BB744" s="2">
        <v>2016</v>
      </c>
      <c r="BC744" s="2" t="s">
        <v>434</v>
      </c>
      <c r="BD744" s="2">
        <v>14</v>
      </c>
      <c r="BE744" s="4">
        <v>42660</v>
      </c>
      <c r="BF744" s="5">
        <v>0.16597222222222222</v>
      </c>
      <c r="BG744" s="2" t="str" cm="1">
        <f t="array" ref="BG744">_xlfn.IFS(BF744&lt;TIMEVALUE("06:00"),"Night", BF744&gt;=TIMEVALUE("21:00"),"Night",BF744&gt;=TIMEVALUE("17:00"),"Evening",BF744&gt;=TIMEVALUE("12:00"),"Afternoon", BF744&gt;=TIMEVALUE("06:00"),"Morning")</f>
        <v>Night</v>
      </c>
      <c r="BH744" s="2">
        <v>2016</v>
      </c>
      <c r="BI744" s="2" t="s">
        <v>434</v>
      </c>
      <c r="BJ744" s="2">
        <v>17</v>
      </c>
    </row>
    <row r="745" spans="1:62" x14ac:dyDescent="0.3">
      <c r="A745" s="2" t="s">
        <v>86</v>
      </c>
      <c r="B745" s="2">
        <v>2</v>
      </c>
      <c r="C745" s="2">
        <v>4</v>
      </c>
      <c r="D745" s="2">
        <v>-265.60000000000002</v>
      </c>
      <c r="E745" s="2">
        <v>166</v>
      </c>
      <c r="F745" s="2" t="s">
        <v>63</v>
      </c>
      <c r="G745" s="2" t="s">
        <v>64</v>
      </c>
      <c r="H745" s="2">
        <v>24</v>
      </c>
      <c r="I745" s="2" t="s">
        <v>435</v>
      </c>
      <c r="J745" s="2" t="s">
        <v>239</v>
      </c>
      <c r="K745" s="2" t="s">
        <v>102</v>
      </c>
      <c r="L745" s="2" t="s">
        <v>891</v>
      </c>
      <c r="M745" s="2">
        <v>5329</v>
      </c>
      <c r="N745" s="2" t="s">
        <v>3157</v>
      </c>
      <c r="O745" s="2" t="s">
        <v>70</v>
      </c>
      <c r="P745" s="2" t="s">
        <v>105</v>
      </c>
      <c r="Q745" s="2" t="s">
        <v>3158</v>
      </c>
      <c r="R745" s="2">
        <v>90805</v>
      </c>
      <c r="S745" s="2">
        <v>5</v>
      </c>
      <c r="T745" s="2" t="s">
        <v>427</v>
      </c>
      <c r="U745" s="2">
        <v>33.837104799999999</v>
      </c>
      <c r="V745" s="2">
        <v>-118.19004820000001</v>
      </c>
      <c r="W745" s="2" t="s">
        <v>500</v>
      </c>
      <c r="X745" s="2" t="s">
        <v>3159</v>
      </c>
      <c r="Y745" s="2" t="s">
        <v>867</v>
      </c>
      <c r="Z745" s="2">
        <v>5329</v>
      </c>
      <c r="AA745" s="2" t="s">
        <v>3160</v>
      </c>
      <c r="AB745" s="2">
        <v>43266</v>
      </c>
      <c r="AC745" s="2">
        <v>502</v>
      </c>
      <c r="AD745" s="2">
        <v>34</v>
      </c>
      <c r="AE745" s="2">
        <v>0.17</v>
      </c>
      <c r="AF745" s="2" t="str" cm="1">
        <f t="array" ref="AF745">_xlfn.IFS(AE745=0, "No Discount ", AE745&lt;=0.08,"Low Discount", AE745&lt;=0.16,"Medium Discount", AE745&gt;0.16, "High Discount")</f>
        <v>High Discount</v>
      </c>
      <c r="AG745" s="2">
        <v>108079</v>
      </c>
      <c r="AH745" s="2">
        <v>50</v>
      </c>
      <c r="AI745" s="2">
        <v>-1.6</v>
      </c>
      <c r="AJ745" s="2" t="str" cm="1">
        <f t="array" ref="AJ745">_xlfn.IFS(AI745&lt;=0, "No Profit", AI745&lt;=0.16,"Low Profit",AI745&lt;=0.32,"Medium Profit",AI745&gt;0.32,"High Profit")</f>
        <v>No Profit</v>
      </c>
      <c r="AK745" s="2">
        <v>4</v>
      </c>
      <c r="AL745" s="2">
        <v>200</v>
      </c>
      <c r="AM745" s="2">
        <v>166</v>
      </c>
      <c r="AN745" s="2">
        <v>-265.60000000000002</v>
      </c>
      <c r="AO745" s="2" t="s">
        <v>523</v>
      </c>
      <c r="AP745" s="2" t="s">
        <v>3161</v>
      </c>
      <c r="AQ745" s="2" t="s">
        <v>155</v>
      </c>
      <c r="AR745" s="2" t="s">
        <v>81</v>
      </c>
      <c r="AS745" s="2">
        <v>502</v>
      </c>
      <c r="AT745" s="2">
        <v>24</v>
      </c>
      <c r="AU745" s="2" t="s">
        <v>442</v>
      </c>
      <c r="AV745" s="2">
        <v>50</v>
      </c>
      <c r="AW745" s="2">
        <v>0</v>
      </c>
      <c r="AX745" s="2" t="s">
        <v>3162</v>
      </c>
      <c r="AY745" s="2" t="s">
        <v>83</v>
      </c>
      <c r="AZ745" s="4">
        <v>42636</v>
      </c>
      <c r="BA745" s="5">
        <v>0.56874999999999998</v>
      </c>
      <c r="BB745" s="2">
        <v>2016</v>
      </c>
      <c r="BC745" s="2" t="s">
        <v>552</v>
      </c>
      <c r="BD745" s="2">
        <v>23</v>
      </c>
      <c r="BE745" s="4">
        <v>42638</v>
      </c>
      <c r="BF745" s="5">
        <v>0.56874999999999998</v>
      </c>
      <c r="BG745" s="2" t="str" cm="1">
        <f t="array" ref="BG745">_xlfn.IFS(BF745&lt;TIMEVALUE("06:00"),"Night", BF745&gt;=TIMEVALUE("21:00"),"Night",BF745&gt;=TIMEVALUE("17:00"),"Evening",BF745&gt;=TIMEVALUE("12:00"),"Afternoon", BF745&gt;=TIMEVALUE("06:00"),"Morning")</f>
        <v>Afternoon</v>
      </c>
      <c r="BH745" s="2">
        <v>2016</v>
      </c>
      <c r="BI745" s="2" t="s">
        <v>552</v>
      </c>
      <c r="BJ745" s="2">
        <v>25</v>
      </c>
    </row>
    <row r="746" spans="1:62" x14ac:dyDescent="0.3">
      <c r="A746" s="2" t="s">
        <v>86</v>
      </c>
      <c r="B746" s="2">
        <v>4</v>
      </c>
      <c r="C746" s="2">
        <v>4</v>
      </c>
      <c r="D746" s="2">
        <v>15</v>
      </c>
      <c r="E746" s="2">
        <v>132.77000000000001</v>
      </c>
      <c r="F746" s="2" t="s">
        <v>100</v>
      </c>
      <c r="G746" s="2" t="s">
        <v>64</v>
      </c>
      <c r="H746" s="2">
        <v>29</v>
      </c>
      <c r="I746" s="2" t="s">
        <v>424</v>
      </c>
      <c r="J746" s="2" t="s">
        <v>110</v>
      </c>
      <c r="K746" s="2" t="s">
        <v>102</v>
      </c>
      <c r="L746" s="2" t="s">
        <v>414</v>
      </c>
      <c r="M746" s="2">
        <v>11720</v>
      </c>
      <c r="N746" s="2" t="s">
        <v>425</v>
      </c>
      <c r="O746" s="2" t="s">
        <v>70</v>
      </c>
      <c r="P746" s="2" t="s">
        <v>105</v>
      </c>
      <c r="Q746" s="2" t="s">
        <v>3121</v>
      </c>
      <c r="R746" s="2">
        <v>90003</v>
      </c>
      <c r="S746" s="2">
        <v>5</v>
      </c>
      <c r="T746" s="2" t="s">
        <v>427</v>
      </c>
      <c r="U746" s="2">
        <v>33.959846499999998</v>
      </c>
      <c r="V746" s="2">
        <v>-118.3780823</v>
      </c>
      <c r="W746" s="2" t="s">
        <v>500</v>
      </c>
      <c r="X746" s="2" t="s">
        <v>887</v>
      </c>
      <c r="Y746" s="2" t="s">
        <v>888</v>
      </c>
      <c r="Z746" s="2">
        <v>11720</v>
      </c>
      <c r="AA746" s="3">
        <v>42979.912499999999</v>
      </c>
      <c r="AB746" s="2">
        <v>50688</v>
      </c>
      <c r="AC746" s="2">
        <v>627</v>
      </c>
      <c r="AD746" s="2">
        <v>27.19</v>
      </c>
      <c r="AE746" s="2">
        <v>0.17</v>
      </c>
      <c r="AF746" s="2" t="str" cm="1">
        <f t="array" ref="AF746">_xlfn.IFS(AE746=0, "No Discount ", AE746&lt;=0.08,"Low Discount", AE746&lt;=0.16,"Medium Discount", AE746&gt;0.16, "High Discount")</f>
        <v>High Discount</v>
      </c>
      <c r="AG746" s="2">
        <v>126672</v>
      </c>
      <c r="AH746" s="2">
        <v>39.99</v>
      </c>
      <c r="AI746" s="2">
        <v>0.11</v>
      </c>
      <c r="AJ746" s="2" t="str" cm="1">
        <f t="array" ref="AJ746">_xlfn.IFS(AI746&lt;=0, "No Profit", AI746&lt;=0.16,"Low Profit",AI746&lt;=0.32,"Medium Profit",AI746&gt;0.32,"High Profit")</f>
        <v>Low Profit</v>
      </c>
      <c r="AK746" s="2">
        <v>4</v>
      </c>
      <c r="AL746" s="2">
        <v>159.96</v>
      </c>
      <c r="AM746" s="2">
        <v>132.77000000000001</v>
      </c>
      <c r="AN746" s="2">
        <v>15</v>
      </c>
      <c r="AO746" s="2" t="s">
        <v>503</v>
      </c>
      <c r="AP746" s="2" t="s">
        <v>889</v>
      </c>
      <c r="AQ746" s="2" t="s">
        <v>155</v>
      </c>
      <c r="AR746" s="2" t="s">
        <v>81</v>
      </c>
      <c r="AS746" s="2">
        <v>627</v>
      </c>
      <c r="AT746" s="2">
        <v>29</v>
      </c>
      <c r="AU746" s="2" t="s">
        <v>432</v>
      </c>
      <c r="AV746" s="2">
        <v>39.99</v>
      </c>
      <c r="AW746" s="2">
        <v>0</v>
      </c>
      <c r="AX746" s="2" t="s">
        <v>3122</v>
      </c>
      <c r="AY746" s="2" t="s">
        <v>83</v>
      </c>
      <c r="AZ746" s="4">
        <v>42979</v>
      </c>
      <c r="BA746" s="5">
        <v>0.91249999999999998</v>
      </c>
      <c r="BB746" s="2">
        <v>2017</v>
      </c>
      <c r="BC746" s="2" t="s">
        <v>552</v>
      </c>
      <c r="BD746" s="2">
        <v>1</v>
      </c>
      <c r="BE746" s="4">
        <v>42748</v>
      </c>
      <c r="BF746" s="5">
        <v>0.91249999999999998</v>
      </c>
      <c r="BG746" s="2" t="str" cm="1">
        <f t="array" ref="BG746">_xlfn.IFS(BF746&lt;TIMEVALUE("06:00"),"Night", BF746&gt;=TIMEVALUE("21:00"),"Night",BF746&gt;=TIMEVALUE("17:00"),"Evening",BF746&gt;=TIMEVALUE("12:00"),"Afternoon", BF746&gt;=TIMEVALUE("06:00"),"Morning")</f>
        <v>Night</v>
      </c>
      <c r="BH746" s="2">
        <v>2017</v>
      </c>
      <c r="BI746" s="2" t="s">
        <v>84</v>
      </c>
      <c r="BJ746" s="2">
        <v>13</v>
      </c>
    </row>
    <row r="747" spans="1:62" x14ac:dyDescent="0.3">
      <c r="A747" s="2" t="s">
        <v>86</v>
      </c>
      <c r="B747" s="2">
        <v>3</v>
      </c>
      <c r="C747" s="2">
        <v>4</v>
      </c>
      <c r="D747" s="2">
        <v>47.56</v>
      </c>
      <c r="E747" s="2">
        <v>164</v>
      </c>
      <c r="F747" s="2" t="s">
        <v>63</v>
      </c>
      <c r="G747" s="2" t="s">
        <v>64</v>
      </c>
      <c r="H747" s="2">
        <v>24</v>
      </c>
      <c r="I747" s="2" t="s">
        <v>435</v>
      </c>
      <c r="J747" s="2" t="s">
        <v>1764</v>
      </c>
      <c r="K747" s="2" t="s">
        <v>102</v>
      </c>
      <c r="L747" s="2" t="s">
        <v>3163</v>
      </c>
      <c r="M747" s="2">
        <v>7810</v>
      </c>
      <c r="N747" s="2" t="s">
        <v>425</v>
      </c>
      <c r="O747" s="2" t="s">
        <v>70</v>
      </c>
      <c r="P747" s="2" t="s">
        <v>1765</v>
      </c>
      <c r="Q747" s="2" t="s">
        <v>3164</v>
      </c>
      <c r="R747" s="2">
        <v>38109</v>
      </c>
      <c r="S747" s="2">
        <v>5</v>
      </c>
      <c r="T747" s="2" t="s">
        <v>427</v>
      </c>
      <c r="U747" s="2">
        <v>35.096527100000003</v>
      </c>
      <c r="V747" s="2">
        <v>-90.067863500000001</v>
      </c>
      <c r="W747" s="2" t="s">
        <v>500</v>
      </c>
      <c r="X747" s="2" t="s">
        <v>508</v>
      </c>
      <c r="Y747" s="2" t="s">
        <v>509</v>
      </c>
      <c r="Z747" s="2">
        <v>7810</v>
      </c>
      <c r="AA747" s="2" t="s">
        <v>3165</v>
      </c>
      <c r="AB747" s="2">
        <v>47917</v>
      </c>
      <c r="AC747" s="2">
        <v>502</v>
      </c>
      <c r="AD747" s="2">
        <v>36</v>
      </c>
      <c r="AE747" s="2">
        <v>0.18</v>
      </c>
      <c r="AF747" s="2" t="str" cm="1">
        <f t="array" ref="AF747">_xlfn.IFS(AE747=0, "No Discount ", AE747&lt;=0.08,"Low Discount", AE747&lt;=0.16,"Medium Discount", AE747&gt;0.16, "High Discount")</f>
        <v>High Discount</v>
      </c>
      <c r="AG747" s="2">
        <v>119835</v>
      </c>
      <c r="AH747" s="2">
        <v>50</v>
      </c>
      <c r="AI747" s="2">
        <v>0.28999999999999998</v>
      </c>
      <c r="AJ747" s="2" t="str" cm="1">
        <f t="array" ref="AJ747">_xlfn.IFS(AI747&lt;=0, "No Profit", AI747&lt;=0.16,"Low Profit",AI747&lt;=0.32,"Medium Profit",AI747&gt;0.32,"High Profit")</f>
        <v>Medium Profit</v>
      </c>
      <c r="AK747" s="2">
        <v>4</v>
      </c>
      <c r="AL747" s="2">
        <v>200</v>
      </c>
      <c r="AM747" s="2">
        <v>164</v>
      </c>
      <c r="AN747" s="2">
        <v>47.56</v>
      </c>
      <c r="AO747" s="2" t="s">
        <v>510</v>
      </c>
      <c r="AP747" s="2" t="s">
        <v>508</v>
      </c>
      <c r="AQ747" s="2" t="s">
        <v>155</v>
      </c>
      <c r="AR747" s="2" t="s">
        <v>81</v>
      </c>
      <c r="AS747" s="2">
        <v>502</v>
      </c>
      <c r="AT747" s="2">
        <v>24</v>
      </c>
      <c r="AU747" s="2" t="s">
        <v>442</v>
      </c>
      <c r="AV747" s="2">
        <v>50</v>
      </c>
      <c r="AW747" s="2">
        <v>0</v>
      </c>
      <c r="AX747" s="3">
        <v>42441.462500000001</v>
      </c>
      <c r="AY747" s="2" t="s">
        <v>83</v>
      </c>
      <c r="AZ747" s="4">
        <v>42704</v>
      </c>
      <c r="BA747" s="5">
        <v>0.46250000000000002</v>
      </c>
      <c r="BB747" s="2">
        <v>2016</v>
      </c>
      <c r="BC747" s="2" t="s">
        <v>455</v>
      </c>
      <c r="BD747" s="2">
        <v>30</v>
      </c>
      <c r="BE747" s="4">
        <v>42441</v>
      </c>
      <c r="BF747" s="5">
        <v>0.46250000000000002</v>
      </c>
      <c r="BG747" s="2" t="str" cm="1">
        <f t="array" ref="BG747">_xlfn.IFS(BF747&lt;TIMEVALUE("06:00"),"Night", BF747&gt;=TIMEVALUE("21:00"),"Night",BF747&gt;=TIMEVALUE("17:00"),"Evening",BF747&gt;=TIMEVALUE("12:00"),"Afternoon", BF747&gt;=TIMEVALUE("06:00"),"Morning")</f>
        <v>Morning</v>
      </c>
      <c r="BH747" s="2">
        <v>2016</v>
      </c>
      <c r="BI747" s="2" t="s">
        <v>85</v>
      </c>
      <c r="BJ747" s="2">
        <v>12</v>
      </c>
    </row>
    <row r="748" spans="1:62" x14ac:dyDescent="0.3">
      <c r="A748" s="2" t="s">
        <v>86</v>
      </c>
      <c r="B748" s="2">
        <v>2</v>
      </c>
      <c r="C748" s="2">
        <v>4</v>
      </c>
      <c r="D748" s="2">
        <v>27.54</v>
      </c>
      <c r="E748" s="2">
        <v>67.17</v>
      </c>
      <c r="F748" s="2" t="s">
        <v>63</v>
      </c>
      <c r="G748" s="2" t="s">
        <v>64</v>
      </c>
      <c r="H748" s="2">
        <v>36</v>
      </c>
      <c r="I748" s="2" t="s">
        <v>1967</v>
      </c>
      <c r="J748" s="2" t="s">
        <v>1357</v>
      </c>
      <c r="K748" s="2" t="s">
        <v>102</v>
      </c>
      <c r="L748" s="2" t="s">
        <v>611</v>
      </c>
      <c r="M748" s="2">
        <v>3624</v>
      </c>
      <c r="N748" s="2" t="s">
        <v>3166</v>
      </c>
      <c r="O748" s="2" t="s">
        <v>70</v>
      </c>
      <c r="P748" s="2" t="s">
        <v>152</v>
      </c>
      <c r="Q748" s="2" t="s">
        <v>3167</v>
      </c>
      <c r="R748" s="2">
        <v>33549</v>
      </c>
      <c r="S748" s="2">
        <v>6</v>
      </c>
      <c r="T748" s="2" t="s">
        <v>515</v>
      </c>
      <c r="U748" s="2">
        <v>28.086812999999999</v>
      </c>
      <c r="V748" s="2">
        <v>-82.438987699999998</v>
      </c>
      <c r="W748" s="2" t="s">
        <v>500</v>
      </c>
      <c r="X748" s="2" t="s">
        <v>3168</v>
      </c>
      <c r="Y748" s="2" t="s">
        <v>874</v>
      </c>
      <c r="Z748" s="2">
        <v>3624</v>
      </c>
      <c r="AA748" s="2" t="s">
        <v>3169</v>
      </c>
      <c r="AB748" s="2">
        <v>48901</v>
      </c>
      <c r="AC748" s="2">
        <v>810</v>
      </c>
      <c r="AD748" s="2">
        <v>12.79</v>
      </c>
      <c r="AE748" s="2">
        <v>0.16</v>
      </c>
      <c r="AF748" s="2" t="str" cm="1">
        <f t="array" ref="AF748">_xlfn.IFS(AE748=0, "No Discount ", AE748&lt;=0.08,"Low Discount", AE748&lt;=0.16,"Medium Discount", AE748&gt;0.16, "High Discount")</f>
        <v>Medium Discount</v>
      </c>
      <c r="AG748" s="2">
        <v>122273</v>
      </c>
      <c r="AH748" s="2">
        <v>19.989999999999998</v>
      </c>
      <c r="AI748" s="2">
        <v>0.41</v>
      </c>
      <c r="AJ748" s="2" t="str" cm="1">
        <f t="array" ref="AJ748">_xlfn.IFS(AI748&lt;=0, "No Profit", AI748&lt;=0.16,"Low Profit",AI748&lt;=0.32,"Medium Profit",AI748&gt;0.32,"High Profit")</f>
        <v>High Profit</v>
      </c>
      <c r="AK748" s="2">
        <v>4</v>
      </c>
      <c r="AL748" s="2">
        <v>79.959999999999994</v>
      </c>
      <c r="AM748" s="2">
        <v>67.17</v>
      </c>
      <c r="AN748" s="2">
        <v>27.54</v>
      </c>
      <c r="AO748" s="2" t="s">
        <v>876</v>
      </c>
      <c r="AP748" s="2" t="s">
        <v>3170</v>
      </c>
      <c r="AQ748" s="2" t="s">
        <v>155</v>
      </c>
      <c r="AR748" s="2" t="s">
        <v>81</v>
      </c>
      <c r="AS748" s="2">
        <v>810</v>
      </c>
      <c r="AT748" s="2">
        <v>36</v>
      </c>
      <c r="AU748" s="2" t="s">
        <v>3171</v>
      </c>
      <c r="AV748" s="2">
        <v>19.989999999999998</v>
      </c>
      <c r="AW748" s="2">
        <v>0</v>
      </c>
      <c r="AX748" s="2" t="s">
        <v>3172</v>
      </c>
      <c r="AY748" s="2" t="s">
        <v>83</v>
      </c>
      <c r="AZ748" s="4">
        <v>42718</v>
      </c>
      <c r="BA748" s="5">
        <v>0.82638888888888884</v>
      </c>
      <c r="BB748" s="2">
        <v>2016</v>
      </c>
      <c r="BC748" s="2" t="s">
        <v>357</v>
      </c>
      <c r="BD748" s="2">
        <v>14</v>
      </c>
      <c r="BE748" s="4">
        <v>42720</v>
      </c>
      <c r="BF748" s="5">
        <v>0.82638888888888884</v>
      </c>
      <c r="BG748" s="2" t="str" cm="1">
        <f t="array" ref="BG748">_xlfn.IFS(BF748&lt;TIMEVALUE("06:00"),"Night", BF748&gt;=TIMEVALUE("21:00"),"Night",BF748&gt;=TIMEVALUE("17:00"),"Evening",BF748&gt;=TIMEVALUE("12:00"),"Afternoon", BF748&gt;=TIMEVALUE("06:00"),"Morning")</f>
        <v>Evening</v>
      </c>
      <c r="BH748" s="2">
        <v>2016</v>
      </c>
      <c r="BI748" s="2" t="s">
        <v>357</v>
      </c>
      <c r="BJ748" s="2">
        <v>16</v>
      </c>
    </row>
    <row r="749" spans="1:62" x14ac:dyDescent="0.3">
      <c r="A749" s="2" t="s">
        <v>86</v>
      </c>
      <c r="B749" s="2">
        <v>6</v>
      </c>
      <c r="C749" s="2">
        <v>4</v>
      </c>
      <c r="D749" s="2">
        <v>62.06</v>
      </c>
      <c r="E749" s="2">
        <v>170.96</v>
      </c>
      <c r="F749" s="2" t="s">
        <v>129</v>
      </c>
      <c r="G749" s="2" t="s">
        <v>64</v>
      </c>
      <c r="H749" s="2">
        <v>6</v>
      </c>
      <c r="I749" s="2" t="s">
        <v>1675</v>
      </c>
      <c r="J749" s="2" t="s">
        <v>3173</v>
      </c>
      <c r="K749" s="2" t="s">
        <v>102</v>
      </c>
      <c r="L749" s="2" t="s">
        <v>1235</v>
      </c>
      <c r="M749" s="2">
        <v>7331</v>
      </c>
      <c r="N749" s="2" t="s">
        <v>3174</v>
      </c>
      <c r="O749" s="2" t="s">
        <v>70</v>
      </c>
      <c r="P749" s="2" t="s">
        <v>234</v>
      </c>
      <c r="Q749" s="2" t="s">
        <v>3175</v>
      </c>
      <c r="R749" s="2">
        <v>60148</v>
      </c>
      <c r="S749" s="2">
        <v>2</v>
      </c>
      <c r="T749" s="2" t="s">
        <v>73</v>
      </c>
      <c r="U749" s="2">
        <v>41.855777699999997</v>
      </c>
      <c r="V749" s="2">
        <v>-88.008567799999994</v>
      </c>
      <c r="W749" s="2" t="s">
        <v>500</v>
      </c>
      <c r="X749" s="2" t="s">
        <v>1605</v>
      </c>
      <c r="Y749" s="2" t="s">
        <v>859</v>
      </c>
      <c r="Z749" s="2">
        <v>7331</v>
      </c>
      <c r="AA749" s="3">
        <v>42592.152083333334</v>
      </c>
      <c r="AB749" s="2">
        <v>44265</v>
      </c>
      <c r="AC749" s="2">
        <v>116</v>
      </c>
      <c r="AD749" s="2">
        <v>9</v>
      </c>
      <c r="AE749" s="2">
        <v>0.05</v>
      </c>
      <c r="AF749" s="2" t="str" cm="1">
        <f t="array" ref="AF749">_xlfn.IFS(AE749=0, "No Discount ", AE749&lt;=0.08,"Low Discount", AE749&lt;=0.16,"Medium Discount", AE749&gt;0.16, "High Discount")</f>
        <v>Low Discount</v>
      </c>
      <c r="AG749" s="2">
        <v>110520</v>
      </c>
      <c r="AH749" s="2">
        <v>44.99</v>
      </c>
      <c r="AI749" s="2">
        <v>0.36</v>
      </c>
      <c r="AJ749" s="2" t="str" cm="1">
        <f t="array" ref="AJ749">_xlfn.IFS(AI749&lt;=0, "No Profit", AI749&lt;=0.16,"Low Profit",AI749&lt;=0.32,"Medium Profit",AI749&gt;0.32,"High Profit")</f>
        <v>High Profit</v>
      </c>
      <c r="AK749" s="2">
        <v>4</v>
      </c>
      <c r="AL749" s="2">
        <v>179.96</v>
      </c>
      <c r="AM749" s="2">
        <v>170.96</v>
      </c>
      <c r="AN749" s="2">
        <v>62.06</v>
      </c>
      <c r="AO749" s="2" t="s">
        <v>510</v>
      </c>
      <c r="AP749" s="2" t="s">
        <v>1605</v>
      </c>
      <c r="AQ749" s="2" t="s">
        <v>175</v>
      </c>
      <c r="AR749" s="2" t="s">
        <v>81</v>
      </c>
      <c r="AS749" s="2">
        <v>116</v>
      </c>
      <c r="AT749" s="2">
        <v>6</v>
      </c>
      <c r="AU749" s="2" t="s">
        <v>1681</v>
      </c>
      <c r="AV749" s="2">
        <v>44.99</v>
      </c>
      <c r="AW749" s="2">
        <v>0</v>
      </c>
      <c r="AX749" s="2" t="s">
        <v>3176</v>
      </c>
      <c r="AY749" s="2" t="s">
        <v>83</v>
      </c>
      <c r="AZ749" s="4">
        <v>42592</v>
      </c>
      <c r="BA749" s="5">
        <v>0.15208333333333332</v>
      </c>
      <c r="BB749" s="2">
        <v>2016</v>
      </c>
      <c r="BC749" s="2" t="s">
        <v>482</v>
      </c>
      <c r="BD749" s="2">
        <v>10</v>
      </c>
      <c r="BE749" s="4">
        <v>42657</v>
      </c>
      <c r="BF749" s="5">
        <v>0.15208333333333332</v>
      </c>
      <c r="BG749" s="2" t="str" cm="1">
        <f t="array" ref="BG749">_xlfn.IFS(BF749&lt;TIMEVALUE("06:00"),"Night", BF749&gt;=TIMEVALUE("21:00"),"Night",BF749&gt;=TIMEVALUE("17:00"),"Evening",BF749&gt;=TIMEVALUE("12:00"),"Afternoon", BF749&gt;=TIMEVALUE("06:00"),"Morning")</f>
        <v>Night</v>
      </c>
      <c r="BH749" s="2">
        <v>2016</v>
      </c>
      <c r="BI749" s="2" t="s">
        <v>434</v>
      </c>
      <c r="BJ749" s="2">
        <v>14</v>
      </c>
    </row>
    <row r="750" spans="1:62" x14ac:dyDescent="0.3">
      <c r="A750" s="2" t="s">
        <v>86</v>
      </c>
      <c r="B750" s="2">
        <v>6</v>
      </c>
      <c r="C750" s="2">
        <v>4</v>
      </c>
      <c r="D750" s="2">
        <v>186.22</v>
      </c>
      <c r="E750" s="2">
        <v>387.96</v>
      </c>
      <c r="F750" s="2" t="s">
        <v>129</v>
      </c>
      <c r="G750" s="2" t="s">
        <v>64</v>
      </c>
      <c r="H750" s="2">
        <v>9</v>
      </c>
      <c r="I750" s="2" t="s">
        <v>496</v>
      </c>
      <c r="J750" s="2" t="s">
        <v>1337</v>
      </c>
      <c r="K750" s="2" t="s">
        <v>102</v>
      </c>
      <c r="L750" s="2" t="s">
        <v>414</v>
      </c>
      <c r="M750" s="2">
        <v>125</v>
      </c>
      <c r="N750" s="2" t="s">
        <v>3091</v>
      </c>
      <c r="O750" s="2" t="s">
        <v>70</v>
      </c>
      <c r="P750" s="2" t="s">
        <v>105</v>
      </c>
      <c r="Q750" s="2" t="s">
        <v>3177</v>
      </c>
      <c r="R750" s="2">
        <v>93030</v>
      </c>
      <c r="S750" s="2">
        <v>3</v>
      </c>
      <c r="T750" s="2" t="s">
        <v>466</v>
      </c>
      <c r="U750" s="2">
        <v>33.790241199999997</v>
      </c>
      <c r="V750" s="2">
        <v>-118.2131653</v>
      </c>
      <c r="W750" s="2" t="s">
        <v>500</v>
      </c>
      <c r="X750" s="2" t="s">
        <v>1686</v>
      </c>
      <c r="Y750" s="2" t="s">
        <v>1293</v>
      </c>
      <c r="Z750" s="2">
        <v>125</v>
      </c>
      <c r="AA750" s="2" t="s">
        <v>3178</v>
      </c>
      <c r="AB750" s="2">
        <v>41590</v>
      </c>
      <c r="AC750" s="2">
        <v>191</v>
      </c>
      <c r="AD750" s="2">
        <v>12</v>
      </c>
      <c r="AE750" s="2">
        <v>0.03</v>
      </c>
      <c r="AF750" s="2" t="str" cm="1">
        <f t="array" ref="AF750">_xlfn.IFS(AE750=0, "No Discount ", AE750&lt;=0.08,"Low Discount", AE750&lt;=0.16,"Medium Discount", AE750&gt;0.16, "High Discount")</f>
        <v>Low Discount</v>
      </c>
      <c r="AG750" s="2">
        <v>103813</v>
      </c>
      <c r="AH750" s="2">
        <v>99.99</v>
      </c>
      <c r="AI750" s="2">
        <v>0.48</v>
      </c>
      <c r="AJ750" s="2" t="str" cm="1">
        <f t="array" ref="AJ750">_xlfn.IFS(AI750&lt;=0, "No Profit", AI750&lt;=0.16,"Low Profit",AI750&lt;=0.32,"Medium Profit",AI750&gt;0.32,"High Profit")</f>
        <v>High Profit</v>
      </c>
      <c r="AK750" s="2">
        <v>4</v>
      </c>
      <c r="AL750" s="2">
        <v>399.96</v>
      </c>
      <c r="AM750" s="2">
        <v>387.96</v>
      </c>
      <c r="AN750" s="2">
        <v>186.22</v>
      </c>
      <c r="AO750" s="2" t="s">
        <v>876</v>
      </c>
      <c r="AP750" s="2" t="s">
        <v>1686</v>
      </c>
      <c r="AQ750" s="2" t="s">
        <v>175</v>
      </c>
      <c r="AR750" s="2" t="s">
        <v>81</v>
      </c>
      <c r="AS750" s="2">
        <v>191</v>
      </c>
      <c r="AT750" s="2">
        <v>9</v>
      </c>
      <c r="AU750" s="2" t="s">
        <v>505</v>
      </c>
      <c r="AV750" s="2">
        <v>99.99</v>
      </c>
      <c r="AW750" s="2">
        <v>0</v>
      </c>
      <c r="AX750" s="3">
        <v>42499.102777777778</v>
      </c>
      <c r="AY750" s="2" t="s">
        <v>83</v>
      </c>
      <c r="AZ750" s="4">
        <v>42612</v>
      </c>
      <c r="BA750" s="5">
        <v>0.10277777777777777</v>
      </c>
      <c r="BB750" s="2">
        <v>2016</v>
      </c>
      <c r="BC750" s="2" t="s">
        <v>482</v>
      </c>
      <c r="BD750" s="2">
        <v>30</v>
      </c>
      <c r="BE750" s="4">
        <v>42499</v>
      </c>
      <c r="BF750" s="5">
        <v>0.10277777777777777</v>
      </c>
      <c r="BG750" s="2" t="str" cm="1">
        <f t="array" ref="BG750">_xlfn.IFS(BF750&lt;TIMEVALUE("06:00"),"Night", BF750&gt;=TIMEVALUE("21:00"),"Night",BF750&gt;=TIMEVALUE("17:00"),"Evening",BF750&gt;=TIMEVALUE("12:00"),"Afternoon", BF750&gt;=TIMEVALUE("06:00"),"Morning")</f>
        <v>Night</v>
      </c>
      <c r="BH750" s="2">
        <v>2016</v>
      </c>
      <c r="BI750" s="2" t="s">
        <v>443</v>
      </c>
      <c r="BJ750" s="2">
        <v>9</v>
      </c>
    </row>
    <row r="751" spans="1:62" x14ac:dyDescent="0.3">
      <c r="A751" s="2" t="s">
        <v>86</v>
      </c>
      <c r="B751" s="2">
        <v>3</v>
      </c>
      <c r="C751" s="2">
        <v>4</v>
      </c>
      <c r="D751" s="2">
        <v>-63.16</v>
      </c>
      <c r="E751" s="2">
        <v>191.97</v>
      </c>
      <c r="F751" s="2" t="s">
        <v>129</v>
      </c>
      <c r="G751" s="2" t="s">
        <v>64</v>
      </c>
      <c r="H751" s="2">
        <v>17</v>
      </c>
      <c r="I751" s="2" t="s">
        <v>412</v>
      </c>
      <c r="J751" s="2" t="s">
        <v>1832</v>
      </c>
      <c r="K751" s="2" t="s">
        <v>102</v>
      </c>
      <c r="L751" s="2" t="s">
        <v>414</v>
      </c>
      <c r="M751" s="2">
        <v>9419</v>
      </c>
      <c r="N751" s="2" t="s">
        <v>425</v>
      </c>
      <c r="O751" s="2" t="s">
        <v>70</v>
      </c>
      <c r="P751" s="2" t="s">
        <v>133</v>
      </c>
      <c r="Q751" s="2" t="s">
        <v>3179</v>
      </c>
      <c r="R751" s="2">
        <v>11207</v>
      </c>
      <c r="S751" s="2">
        <v>4</v>
      </c>
      <c r="T751" s="2" t="s">
        <v>417</v>
      </c>
      <c r="U751" s="2">
        <v>40.665771499999998</v>
      </c>
      <c r="V751" s="2">
        <v>-73.892463699999993</v>
      </c>
      <c r="W751" s="2" t="s">
        <v>500</v>
      </c>
      <c r="X751" s="2" t="s">
        <v>1210</v>
      </c>
      <c r="Y751" s="2" t="s">
        <v>895</v>
      </c>
      <c r="Z751" s="2">
        <v>9419</v>
      </c>
      <c r="AA751" s="3">
        <v>42411.288888888892</v>
      </c>
      <c r="AB751" s="2">
        <v>45987</v>
      </c>
      <c r="AC751" s="2">
        <v>365</v>
      </c>
      <c r="AD751" s="2">
        <v>47.99</v>
      </c>
      <c r="AE751" s="2">
        <v>0.2</v>
      </c>
      <c r="AF751" s="2" t="str" cm="1">
        <f t="array" ref="AF751">_xlfn.IFS(AE751=0, "No Discount ", AE751&lt;=0.08,"Low Discount", AE751&lt;=0.16,"Medium Discount", AE751&gt;0.16, "High Discount")</f>
        <v>High Discount</v>
      </c>
      <c r="AG751" s="2">
        <v>114931</v>
      </c>
      <c r="AH751" s="2">
        <v>59.99</v>
      </c>
      <c r="AI751" s="2">
        <v>-0.33</v>
      </c>
      <c r="AJ751" s="2" t="str" cm="1">
        <f t="array" ref="AJ751">_xlfn.IFS(AI751&lt;=0, "No Profit", AI751&lt;=0.16,"Low Profit",AI751&lt;=0.32,"Medium Profit",AI751&gt;0.32,"High Profit")</f>
        <v>No Profit</v>
      </c>
      <c r="AK751" s="2">
        <v>4</v>
      </c>
      <c r="AL751" s="2">
        <v>239.96</v>
      </c>
      <c r="AM751" s="2">
        <v>191.97</v>
      </c>
      <c r="AN751" s="2">
        <v>-63.16</v>
      </c>
      <c r="AO751" s="2" t="s">
        <v>523</v>
      </c>
      <c r="AP751" s="2" t="s">
        <v>1211</v>
      </c>
      <c r="AQ751" s="2" t="s">
        <v>175</v>
      </c>
      <c r="AR751" s="2" t="s">
        <v>81</v>
      </c>
      <c r="AS751" s="2">
        <v>365</v>
      </c>
      <c r="AT751" s="2">
        <v>17</v>
      </c>
      <c r="AU751" s="2" t="s">
        <v>421</v>
      </c>
      <c r="AV751" s="2">
        <v>59.99</v>
      </c>
      <c r="AW751" s="2">
        <v>0</v>
      </c>
      <c r="AX751" s="3">
        <v>42501.288888888892</v>
      </c>
      <c r="AY751" s="2" t="s">
        <v>83</v>
      </c>
      <c r="AZ751" s="4">
        <v>42411</v>
      </c>
      <c r="BA751" s="5">
        <v>0.28888888888888886</v>
      </c>
      <c r="BB751" s="2">
        <v>2016</v>
      </c>
      <c r="BC751" s="2" t="s">
        <v>423</v>
      </c>
      <c r="BD751" s="2">
        <v>11</v>
      </c>
      <c r="BE751" s="4">
        <v>42501</v>
      </c>
      <c r="BF751" s="5">
        <v>0.28888888888888886</v>
      </c>
      <c r="BG751" s="2" t="str" cm="1">
        <f t="array" ref="BG751">_xlfn.IFS(BF751&lt;TIMEVALUE("06:00"),"Night", BF751&gt;=TIMEVALUE("21:00"),"Night",BF751&gt;=TIMEVALUE("17:00"),"Evening",BF751&gt;=TIMEVALUE("12:00"),"Afternoon", BF751&gt;=TIMEVALUE("06:00"),"Morning")</f>
        <v>Morning</v>
      </c>
      <c r="BH751" s="2">
        <v>2016</v>
      </c>
      <c r="BI751" s="2" t="s">
        <v>443</v>
      </c>
      <c r="BJ751" s="2">
        <v>11</v>
      </c>
    </row>
    <row r="752" spans="1:62" x14ac:dyDescent="0.3">
      <c r="A752" s="2" t="s">
        <v>86</v>
      </c>
      <c r="B752" s="2">
        <v>3</v>
      </c>
      <c r="C752" s="2">
        <v>4</v>
      </c>
      <c r="D752" s="2">
        <v>86.24</v>
      </c>
      <c r="E752" s="2">
        <v>176</v>
      </c>
      <c r="F752" s="2" t="s">
        <v>129</v>
      </c>
      <c r="G752" s="2" t="s">
        <v>64</v>
      </c>
      <c r="H752" s="2">
        <v>24</v>
      </c>
      <c r="I752" s="2" t="s">
        <v>435</v>
      </c>
      <c r="J752" s="2" t="s">
        <v>3180</v>
      </c>
      <c r="K752" s="2" t="s">
        <v>102</v>
      </c>
      <c r="L752" s="2" t="s">
        <v>2731</v>
      </c>
      <c r="M752" s="2">
        <v>1250</v>
      </c>
      <c r="N752" s="2" t="s">
        <v>425</v>
      </c>
      <c r="O752" s="2" t="s">
        <v>70</v>
      </c>
      <c r="P752" s="2" t="s">
        <v>201</v>
      </c>
      <c r="Q752" s="2" t="s">
        <v>1705</v>
      </c>
      <c r="R752" s="2">
        <v>2740</v>
      </c>
      <c r="S752" s="2">
        <v>5</v>
      </c>
      <c r="T752" s="2" t="s">
        <v>427</v>
      </c>
      <c r="U752" s="2">
        <v>41.635623899999999</v>
      </c>
      <c r="V752" s="2">
        <v>-70.930801400000007</v>
      </c>
      <c r="W752" s="2" t="s">
        <v>500</v>
      </c>
      <c r="X752" s="2" t="s">
        <v>3134</v>
      </c>
      <c r="Y752" s="2" t="s">
        <v>867</v>
      </c>
      <c r="Z752" s="2">
        <v>1250</v>
      </c>
      <c r="AA752" s="3">
        <v>42653.881249999999</v>
      </c>
      <c r="AB752" s="2">
        <v>44452</v>
      </c>
      <c r="AC752" s="2">
        <v>502</v>
      </c>
      <c r="AD752" s="2">
        <v>24</v>
      </c>
      <c r="AE752" s="2">
        <v>0.12</v>
      </c>
      <c r="AF752" s="2" t="str" cm="1">
        <f t="array" ref="AF752">_xlfn.IFS(AE752=0, "No Discount ", AE752&lt;=0.08,"Low Discount", AE752&lt;=0.16,"Medium Discount", AE752&gt;0.16, "High Discount")</f>
        <v>Medium Discount</v>
      </c>
      <c r="AG752" s="2">
        <v>110981</v>
      </c>
      <c r="AH752" s="2">
        <v>50</v>
      </c>
      <c r="AI752" s="2">
        <v>0.49</v>
      </c>
      <c r="AJ752" s="2" t="str" cm="1">
        <f t="array" ref="AJ752">_xlfn.IFS(AI752&lt;=0, "No Profit", AI752&lt;=0.16,"Low Profit",AI752&lt;=0.32,"Medium Profit",AI752&gt;0.32,"High Profit")</f>
        <v>High Profit</v>
      </c>
      <c r="AK752" s="2">
        <v>4</v>
      </c>
      <c r="AL752" s="2">
        <v>200</v>
      </c>
      <c r="AM752" s="2">
        <v>176</v>
      </c>
      <c r="AN752" s="2">
        <v>86.24</v>
      </c>
      <c r="AO752" s="2" t="s">
        <v>523</v>
      </c>
      <c r="AP752" s="2" t="s">
        <v>3136</v>
      </c>
      <c r="AQ752" s="2" t="s">
        <v>175</v>
      </c>
      <c r="AR752" s="2" t="s">
        <v>81</v>
      </c>
      <c r="AS752" s="2">
        <v>502</v>
      </c>
      <c r="AT752" s="2">
        <v>24</v>
      </c>
      <c r="AU752" s="2" t="s">
        <v>442</v>
      </c>
      <c r="AV752" s="2">
        <v>50</v>
      </c>
      <c r="AW752" s="2">
        <v>0</v>
      </c>
      <c r="AX752" s="2" t="s">
        <v>3181</v>
      </c>
      <c r="AY752" s="2" t="s">
        <v>83</v>
      </c>
      <c r="AZ752" s="4">
        <v>42653</v>
      </c>
      <c r="BA752" s="5">
        <v>0.88124999999999998</v>
      </c>
      <c r="BB752" s="2">
        <v>2016</v>
      </c>
      <c r="BC752" s="2" t="s">
        <v>434</v>
      </c>
      <c r="BD752" s="2">
        <v>10</v>
      </c>
      <c r="BE752" s="4">
        <v>42656</v>
      </c>
      <c r="BF752" s="5">
        <v>0.88124999999999998</v>
      </c>
      <c r="BG752" s="2" t="str" cm="1">
        <f t="array" ref="BG752">_xlfn.IFS(BF752&lt;TIMEVALUE("06:00"),"Night", BF752&gt;=TIMEVALUE("21:00"),"Night",BF752&gt;=TIMEVALUE("17:00"),"Evening",BF752&gt;=TIMEVALUE("12:00"),"Afternoon", BF752&gt;=TIMEVALUE("06:00"),"Morning")</f>
        <v>Night</v>
      </c>
      <c r="BH752" s="2">
        <v>2016</v>
      </c>
      <c r="BI752" s="2" t="s">
        <v>434</v>
      </c>
      <c r="BJ752" s="2">
        <v>13</v>
      </c>
    </row>
    <row r="753" spans="1:62" x14ac:dyDescent="0.3">
      <c r="A753" s="2" t="s">
        <v>86</v>
      </c>
      <c r="B753" s="2">
        <v>4</v>
      </c>
      <c r="C753" s="2">
        <v>4</v>
      </c>
      <c r="D753" s="2">
        <v>44.53</v>
      </c>
      <c r="E753" s="2">
        <v>139.16999999999999</v>
      </c>
      <c r="F753" s="2" t="s">
        <v>129</v>
      </c>
      <c r="G753" s="2" t="s">
        <v>64</v>
      </c>
      <c r="H753" s="2">
        <v>29</v>
      </c>
      <c r="I753" s="2" t="s">
        <v>424</v>
      </c>
      <c r="J753" s="2" t="s">
        <v>3182</v>
      </c>
      <c r="K753" s="2" t="s">
        <v>102</v>
      </c>
      <c r="L753" s="2" t="s">
        <v>1364</v>
      </c>
      <c r="M753" s="2">
        <v>7683</v>
      </c>
      <c r="N753" s="2" t="s">
        <v>3183</v>
      </c>
      <c r="O753" s="2" t="s">
        <v>70</v>
      </c>
      <c r="P753" s="2" t="s">
        <v>133</v>
      </c>
      <c r="Q753" s="2" t="s">
        <v>3184</v>
      </c>
      <c r="R753" s="2">
        <v>12550</v>
      </c>
      <c r="S753" s="2">
        <v>5</v>
      </c>
      <c r="T753" s="2" t="s">
        <v>427</v>
      </c>
      <c r="U753" s="2">
        <v>41.502059899999999</v>
      </c>
      <c r="V753" s="2">
        <v>-74.011772199999996</v>
      </c>
      <c r="W753" s="2" t="s">
        <v>500</v>
      </c>
      <c r="X753" s="2" t="s">
        <v>3185</v>
      </c>
      <c r="Y753" s="2" t="s">
        <v>3186</v>
      </c>
      <c r="Z753" s="2">
        <v>7683</v>
      </c>
      <c r="AA753" s="2" t="s">
        <v>3187</v>
      </c>
      <c r="AB753" s="2">
        <v>49218</v>
      </c>
      <c r="AC753" s="2">
        <v>627</v>
      </c>
      <c r="AD753" s="2">
        <v>20.79</v>
      </c>
      <c r="AE753" s="2">
        <v>0.13</v>
      </c>
      <c r="AF753" s="2" t="str" cm="1">
        <f t="array" ref="AF753">_xlfn.IFS(AE753=0, "No Discount ", AE753&lt;=0.08,"Low Discount", AE753&lt;=0.16,"Medium Discount", AE753&gt;0.16, "High Discount")</f>
        <v>Medium Discount</v>
      </c>
      <c r="AG753" s="2">
        <v>123061</v>
      </c>
      <c r="AH753" s="2">
        <v>39.99</v>
      </c>
      <c r="AI753" s="2">
        <v>0.32</v>
      </c>
      <c r="AJ753" s="2" t="str" cm="1">
        <f t="array" ref="AJ753">_xlfn.IFS(AI753&lt;=0, "No Profit", AI753&lt;=0.16,"Low Profit",AI753&lt;=0.32,"Medium Profit",AI753&gt;0.32,"High Profit")</f>
        <v>Medium Profit</v>
      </c>
      <c r="AK753" s="2">
        <v>4</v>
      </c>
      <c r="AL753" s="2">
        <v>159.96</v>
      </c>
      <c r="AM753" s="2">
        <v>139.16999999999999</v>
      </c>
      <c r="AN753" s="2">
        <v>44.53</v>
      </c>
      <c r="AO753" s="2" t="s">
        <v>503</v>
      </c>
      <c r="AP753" s="2" t="s">
        <v>3185</v>
      </c>
      <c r="AQ753" s="2" t="s">
        <v>175</v>
      </c>
      <c r="AR753" s="2" t="s">
        <v>81</v>
      </c>
      <c r="AS753" s="2">
        <v>627</v>
      </c>
      <c r="AT753" s="2">
        <v>29</v>
      </c>
      <c r="AU753" s="2" t="s">
        <v>432</v>
      </c>
      <c r="AV753" s="2">
        <v>39.99</v>
      </c>
      <c r="AW753" s="2">
        <v>0</v>
      </c>
      <c r="AX753" s="2" t="s">
        <v>3188</v>
      </c>
      <c r="AY753" s="2" t="s">
        <v>83</v>
      </c>
      <c r="AZ753" s="4">
        <v>42723</v>
      </c>
      <c r="BA753" s="5">
        <v>0.45416666666666666</v>
      </c>
      <c r="BB753" s="2">
        <v>2016</v>
      </c>
      <c r="BC753" s="2" t="s">
        <v>357</v>
      </c>
      <c r="BD753" s="2">
        <v>19</v>
      </c>
      <c r="BE753" s="4">
        <v>42727</v>
      </c>
      <c r="BF753" s="5">
        <v>0.45416666666666666</v>
      </c>
      <c r="BG753" s="2" t="str" cm="1">
        <f t="array" ref="BG753">_xlfn.IFS(BF753&lt;TIMEVALUE("06:00"),"Night", BF753&gt;=TIMEVALUE("21:00"),"Night",BF753&gt;=TIMEVALUE("17:00"),"Evening",BF753&gt;=TIMEVALUE("12:00"),"Afternoon", BF753&gt;=TIMEVALUE("06:00"),"Morning")</f>
        <v>Morning</v>
      </c>
      <c r="BH753" s="2">
        <v>2016</v>
      </c>
      <c r="BI753" s="2" t="s">
        <v>357</v>
      </c>
      <c r="BJ753" s="2">
        <v>23</v>
      </c>
    </row>
    <row r="754" spans="1:62" x14ac:dyDescent="0.3">
      <c r="A754" s="2" t="s">
        <v>86</v>
      </c>
      <c r="B754" s="2">
        <v>6</v>
      </c>
      <c r="C754" s="2">
        <v>4</v>
      </c>
      <c r="D754" s="2">
        <v>63.5</v>
      </c>
      <c r="E754" s="2">
        <v>235.2</v>
      </c>
      <c r="F754" s="2" t="s">
        <v>129</v>
      </c>
      <c r="G754" s="2" t="s">
        <v>64</v>
      </c>
      <c r="H754" s="2">
        <v>26</v>
      </c>
      <c r="I754" s="2" t="s">
        <v>1132</v>
      </c>
      <c r="J754" s="2" t="s">
        <v>149</v>
      </c>
      <c r="K754" s="2" t="s">
        <v>102</v>
      </c>
      <c r="L754" s="2" t="s">
        <v>414</v>
      </c>
      <c r="M754" s="2">
        <v>2728</v>
      </c>
      <c r="N754" s="2" t="s">
        <v>3189</v>
      </c>
      <c r="O754" s="2" t="s">
        <v>70</v>
      </c>
      <c r="P754" s="2" t="s">
        <v>152</v>
      </c>
      <c r="Q754" s="2" t="s">
        <v>3190</v>
      </c>
      <c r="R754" s="2">
        <v>33175</v>
      </c>
      <c r="S754" s="2">
        <v>5</v>
      </c>
      <c r="T754" s="2" t="s">
        <v>427</v>
      </c>
      <c r="U754" s="2">
        <v>25.746139500000002</v>
      </c>
      <c r="V754" s="2">
        <v>-80.391761799999998</v>
      </c>
      <c r="W754" s="2" t="s">
        <v>500</v>
      </c>
      <c r="X754" s="2" t="s">
        <v>3191</v>
      </c>
      <c r="Y754" s="2" t="s">
        <v>522</v>
      </c>
      <c r="Z754" s="2">
        <v>2728</v>
      </c>
      <c r="AA754" s="2" t="s">
        <v>3192</v>
      </c>
      <c r="AB754" s="2">
        <v>47840</v>
      </c>
      <c r="AC754" s="2">
        <v>565</v>
      </c>
      <c r="AD754" s="2">
        <v>44.8</v>
      </c>
      <c r="AE754" s="2">
        <v>0.16</v>
      </c>
      <c r="AF754" s="2" t="str" cm="1">
        <f t="array" ref="AF754">_xlfn.IFS(AE754=0, "No Discount ", AE754&lt;=0.08,"Low Discount", AE754&lt;=0.16,"Medium Discount", AE754&gt;0.16, "High Discount")</f>
        <v>Medium Discount</v>
      </c>
      <c r="AG754" s="2">
        <v>119624</v>
      </c>
      <c r="AH754" s="2">
        <v>70</v>
      </c>
      <c r="AI754" s="2">
        <v>0.27</v>
      </c>
      <c r="AJ754" s="2" t="str" cm="1">
        <f t="array" ref="AJ754">_xlfn.IFS(AI754&lt;=0, "No Profit", AI754&lt;=0.16,"Low Profit",AI754&lt;=0.32,"Medium Profit",AI754&gt;0.32,"High Profit")</f>
        <v>Medium Profit</v>
      </c>
      <c r="AK754" s="2">
        <v>4</v>
      </c>
      <c r="AL754" s="2">
        <v>280</v>
      </c>
      <c r="AM754" s="2">
        <v>235.2</v>
      </c>
      <c r="AN754" s="2">
        <v>63.5</v>
      </c>
      <c r="AO754" s="2" t="s">
        <v>523</v>
      </c>
      <c r="AP754" s="2" t="s">
        <v>3193</v>
      </c>
      <c r="AQ754" s="2" t="s">
        <v>175</v>
      </c>
      <c r="AR754" s="2" t="s">
        <v>81</v>
      </c>
      <c r="AS754" s="2">
        <v>565</v>
      </c>
      <c r="AT754" s="2">
        <v>26</v>
      </c>
      <c r="AU754" s="2" t="s">
        <v>1871</v>
      </c>
      <c r="AV754" s="2">
        <v>70</v>
      </c>
      <c r="AW754" s="2">
        <v>0</v>
      </c>
      <c r="AX754" s="3">
        <v>42502.338194444441</v>
      </c>
      <c r="AY754" s="2" t="s">
        <v>83</v>
      </c>
      <c r="AZ754" s="4">
        <v>42703</v>
      </c>
      <c r="BA754" s="5">
        <v>0.33819444444444446</v>
      </c>
      <c r="BB754" s="2">
        <v>2016</v>
      </c>
      <c r="BC754" s="2" t="s">
        <v>455</v>
      </c>
      <c r="BD754" s="2">
        <v>29</v>
      </c>
      <c r="BE754" s="4">
        <v>42502</v>
      </c>
      <c r="BF754" s="5">
        <v>0.33819444444444446</v>
      </c>
      <c r="BG754" s="2" t="str" cm="1">
        <f t="array" ref="BG754">_xlfn.IFS(BF754&lt;TIMEVALUE("06:00"),"Night", BF754&gt;=TIMEVALUE("21:00"),"Night",BF754&gt;=TIMEVALUE("17:00"),"Evening",BF754&gt;=TIMEVALUE("12:00"),"Afternoon", BF754&gt;=TIMEVALUE("06:00"),"Morning")</f>
        <v>Morning</v>
      </c>
      <c r="BH754" s="2">
        <v>2016</v>
      </c>
      <c r="BI754" s="2" t="s">
        <v>443</v>
      </c>
      <c r="BJ754" s="2">
        <v>12</v>
      </c>
    </row>
    <row r="755" spans="1:62" x14ac:dyDescent="0.3">
      <c r="A755" s="2" t="s">
        <v>86</v>
      </c>
      <c r="B755" s="2">
        <v>4</v>
      </c>
      <c r="C755" s="2">
        <v>4</v>
      </c>
      <c r="D755" s="2">
        <v>8.26</v>
      </c>
      <c r="E755" s="2">
        <v>131.16999999999999</v>
      </c>
      <c r="F755" s="2" t="s">
        <v>129</v>
      </c>
      <c r="G755" s="2" t="s">
        <v>64</v>
      </c>
      <c r="H755" s="2">
        <v>29</v>
      </c>
      <c r="I755" s="2" t="s">
        <v>424</v>
      </c>
      <c r="J755" s="2" t="s">
        <v>3194</v>
      </c>
      <c r="K755" s="2" t="s">
        <v>102</v>
      </c>
      <c r="L755" s="2" t="s">
        <v>414</v>
      </c>
      <c r="M755" s="2">
        <v>4612</v>
      </c>
      <c r="N755" s="2" t="s">
        <v>1839</v>
      </c>
      <c r="O755" s="2" t="s">
        <v>70</v>
      </c>
      <c r="P755" s="2" t="s">
        <v>280</v>
      </c>
      <c r="Q755" s="2" t="s">
        <v>3195</v>
      </c>
      <c r="R755" s="2">
        <v>19446</v>
      </c>
      <c r="S755" s="2">
        <v>5</v>
      </c>
      <c r="T755" s="2" t="s">
        <v>427</v>
      </c>
      <c r="U755" s="2">
        <v>40.2493172</v>
      </c>
      <c r="V755" s="2">
        <v>-75.255386400000006</v>
      </c>
      <c r="W755" s="2" t="s">
        <v>500</v>
      </c>
      <c r="X755" s="2" t="s">
        <v>3196</v>
      </c>
      <c r="Y755" s="2" t="s">
        <v>3197</v>
      </c>
      <c r="Z755" s="2">
        <v>4612</v>
      </c>
      <c r="AA755" s="2" t="s">
        <v>3198</v>
      </c>
      <c r="AB755" s="2">
        <v>47493</v>
      </c>
      <c r="AC755" s="2">
        <v>627</v>
      </c>
      <c r="AD755" s="2">
        <v>28.79</v>
      </c>
      <c r="AE755" s="2">
        <v>0.18</v>
      </c>
      <c r="AF755" s="2" t="str" cm="1">
        <f t="array" ref="AF755">_xlfn.IFS(AE755=0, "No Discount ", AE755&lt;=0.08,"Low Discount", AE755&lt;=0.16,"Medium Discount", AE755&gt;0.16, "High Discount")</f>
        <v>High Discount</v>
      </c>
      <c r="AG755" s="2">
        <v>118732</v>
      </c>
      <c r="AH755" s="2">
        <v>39.99</v>
      </c>
      <c r="AI755" s="2">
        <v>0.06</v>
      </c>
      <c r="AJ755" s="2" t="str" cm="1">
        <f t="array" ref="AJ755">_xlfn.IFS(AI755&lt;=0, "No Profit", AI755&lt;=0.16,"Low Profit",AI755&lt;=0.32,"Medium Profit",AI755&gt;0.32,"High Profit")</f>
        <v>Low Profit</v>
      </c>
      <c r="AK755" s="2">
        <v>4</v>
      </c>
      <c r="AL755" s="2">
        <v>159.96</v>
      </c>
      <c r="AM755" s="2">
        <v>131.16999999999999</v>
      </c>
      <c r="AN755" s="2">
        <v>8.26</v>
      </c>
      <c r="AO755" s="2" t="s">
        <v>876</v>
      </c>
      <c r="AP755" s="2" t="s">
        <v>3196</v>
      </c>
      <c r="AQ755" s="2" t="s">
        <v>175</v>
      </c>
      <c r="AR755" s="2" t="s">
        <v>81</v>
      </c>
      <c r="AS755" s="2">
        <v>627</v>
      </c>
      <c r="AT755" s="2">
        <v>29</v>
      </c>
      <c r="AU755" s="2" t="s">
        <v>432</v>
      </c>
      <c r="AV755" s="2">
        <v>39.99</v>
      </c>
      <c r="AW755" s="2">
        <v>0</v>
      </c>
      <c r="AX755" s="2" t="s">
        <v>3199</v>
      </c>
      <c r="AY755" s="2" t="s">
        <v>83</v>
      </c>
      <c r="AZ755" s="4">
        <v>42698</v>
      </c>
      <c r="BA755" s="5">
        <v>0.27291666666666664</v>
      </c>
      <c r="BB755" s="2">
        <v>2016</v>
      </c>
      <c r="BC755" s="2" t="s">
        <v>455</v>
      </c>
      <c r="BD755" s="2">
        <v>24</v>
      </c>
      <c r="BE755" s="4">
        <v>42702</v>
      </c>
      <c r="BF755" s="5">
        <v>0.27291666666666664</v>
      </c>
      <c r="BG755" s="2" t="str" cm="1">
        <f t="array" ref="BG755">_xlfn.IFS(BF755&lt;TIMEVALUE("06:00"),"Night", BF755&gt;=TIMEVALUE("21:00"),"Night",BF755&gt;=TIMEVALUE("17:00"),"Evening",BF755&gt;=TIMEVALUE("12:00"),"Afternoon", BF755&gt;=TIMEVALUE("06:00"),"Morning")</f>
        <v>Morning</v>
      </c>
      <c r="BH755" s="2">
        <v>2016</v>
      </c>
      <c r="BI755" s="2" t="s">
        <v>455</v>
      </c>
      <c r="BJ755" s="2">
        <v>28</v>
      </c>
    </row>
    <row r="756" spans="1:62" x14ac:dyDescent="0.3">
      <c r="A756" s="2" t="s">
        <v>86</v>
      </c>
      <c r="B756" s="2">
        <v>3</v>
      </c>
      <c r="C756" s="2">
        <v>4</v>
      </c>
      <c r="D756" s="2">
        <v>20</v>
      </c>
      <c r="E756" s="2">
        <v>160</v>
      </c>
      <c r="F756" s="2" t="s">
        <v>129</v>
      </c>
      <c r="G756" s="2" t="s">
        <v>64</v>
      </c>
      <c r="H756" s="2">
        <v>24</v>
      </c>
      <c r="I756" s="2" t="s">
        <v>435</v>
      </c>
      <c r="J756" s="2" t="s">
        <v>1832</v>
      </c>
      <c r="K756" s="2" t="s">
        <v>102</v>
      </c>
      <c r="L756" s="2" t="s">
        <v>414</v>
      </c>
      <c r="M756" s="2">
        <v>9419</v>
      </c>
      <c r="N756" s="2" t="s">
        <v>425</v>
      </c>
      <c r="O756" s="2" t="s">
        <v>70</v>
      </c>
      <c r="P756" s="2" t="s">
        <v>133</v>
      </c>
      <c r="Q756" s="2" t="s">
        <v>3179</v>
      </c>
      <c r="R756" s="2">
        <v>11207</v>
      </c>
      <c r="S756" s="2">
        <v>5</v>
      </c>
      <c r="T756" s="2" t="s">
        <v>427</v>
      </c>
      <c r="U756" s="2">
        <v>40.665771499999998</v>
      </c>
      <c r="V756" s="2">
        <v>-73.892463699999993</v>
      </c>
      <c r="W756" s="2" t="s">
        <v>500</v>
      </c>
      <c r="X756" s="2" t="s">
        <v>1210</v>
      </c>
      <c r="Y756" s="2" t="s">
        <v>895</v>
      </c>
      <c r="Z756" s="2">
        <v>9419</v>
      </c>
      <c r="AA756" s="3">
        <v>42411.288888888892</v>
      </c>
      <c r="AB756" s="2">
        <v>45987</v>
      </c>
      <c r="AC756" s="2">
        <v>502</v>
      </c>
      <c r="AD756" s="2">
        <v>40</v>
      </c>
      <c r="AE756" s="2">
        <v>0.2</v>
      </c>
      <c r="AF756" s="2" t="str" cm="1">
        <f t="array" ref="AF756">_xlfn.IFS(AE756=0, "No Discount ", AE756&lt;=0.08,"Low Discount", AE756&lt;=0.16,"Medium Discount", AE756&gt;0.16, "High Discount")</f>
        <v>High Discount</v>
      </c>
      <c r="AG756" s="2">
        <v>114932</v>
      </c>
      <c r="AH756" s="2">
        <v>50</v>
      </c>
      <c r="AI756" s="2">
        <v>0.13</v>
      </c>
      <c r="AJ756" s="2" t="str" cm="1">
        <f t="array" ref="AJ756">_xlfn.IFS(AI756&lt;=0, "No Profit", AI756&lt;=0.16,"Low Profit",AI756&lt;=0.32,"Medium Profit",AI756&gt;0.32,"High Profit")</f>
        <v>Low Profit</v>
      </c>
      <c r="AK756" s="2">
        <v>4</v>
      </c>
      <c r="AL756" s="2">
        <v>200</v>
      </c>
      <c r="AM756" s="2">
        <v>160</v>
      </c>
      <c r="AN756" s="2">
        <v>20</v>
      </c>
      <c r="AO756" s="2" t="s">
        <v>523</v>
      </c>
      <c r="AP756" s="2" t="s">
        <v>1211</v>
      </c>
      <c r="AQ756" s="2" t="s">
        <v>175</v>
      </c>
      <c r="AR756" s="2" t="s">
        <v>81</v>
      </c>
      <c r="AS756" s="2">
        <v>502</v>
      </c>
      <c r="AT756" s="2">
        <v>24</v>
      </c>
      <c r="AU756" s="2" t="s">
        <v>442</v>
      </c>
      <c r="AV756" s="2">
        <v>50</v>
      </c>
      <c r="AW756" s="2">
        <v>0</v>
      </c>
      <c r="AX756" s="3">
        <v>42501.288888888892</v>
      </c>
      <c r="AY756" s="2" t="s">
        <v>83</v>
      </c>
      <c r="AZ756" s="4">
        <v>42411</v>
      </c>
      <c r="BA756" s="5">
        <v>0.28888888888888886</v>
      </c>
      <c r="BB756" s="2">
        <v>2016</v>
      </c>
      <c r="BC756" s="2" t="s">
        <v>423</v>
      </c>
      <c r="BD756" s="2">
        <v>11</v>
      </c>
      <c r="BE756" s="4">
        <v>42501</v>
      </c>
      <c r="BF756" s="5">
        <v>0.28888888888888886</v>
      </c>
      <c r="BG756" s="2" t="str" cm="1">
        <f t="array" ref="BG756">_xlfn.IFS(BF756&lt;TIMEVALUE("06:00"),"Night", BF756&gt;=TIMEVALUE("21:00"),"Night",BF756&gt;=TIMEVALUE("17:00"),"Evening",BF756&gt;=TIMEVALUE("12:00"),"Afternoon", BF756&gt;=TIMEVALUE("06:00"),"Morning")</f>
        <v>Morning</v>
      </c>
      <c r="BH756" s="2">
        <v>2016</v>
      </c>
      <c r="BI756" s="2" t="s">
        <v>443</v>
      </c>
      <c r="BJ756" s="2">
        <v>11</v>
      </c>
    </row>
    <row r="757" spans="1:62" x14ac:dyDescent="0.3">
      <c r="A757" s="2" t="s">
        <v>86</v>
      </c>
      <c r="B757" s="2">
        <v>6</v>
      </c>
      <c r="C757" s="2">
        <v>4</v>
      </c>
      <c r="D757" s="2">
        <v>61.76</v>
      </c>
      <c r="E757" s="2">
        <v>205.88</v>
      </c>
      <c r="F757" s="2" t="s">
        <v>129</v>
      </c>
      <c r="G757" s="2" t="s">
        <v>64</v>
      </c>
      <c r="H757" s="2">
        <v>37</v>
      </c>
      <c r="I757" s="2" t="s">
        <v>464</v>
      </c>
      <c r="J757" s="2" t="s">
        <v>1337</v>
      </c>
      <c r="K757" s="2" t="s">
        <v>102</v>
      </c>
      <c r="L757" s="2" t="s">
        <v>414</v>
      </c>
      <c r="M757" s="2">
        <v>125</v>
      </c>
      <c r="N757" s="2" t="s">
        <v>3091</v>
      </c>
      <c r="O757" s="2" t="s">
        <v>70</v>
      </c>
      <c r="P757" s="2" t="s">
        <v>105</v>
      </c>
      <c r="Q757" s="2" t="s">
        <v>3177</v>
      </c>
      <c r="R757" s="2">
        <v>93030</v>
      </c>
      <c r="S757" s="2">
        <v>6</v>
      </c>
      <c r="T757" s="2" t="s">
        <v>515</v>
      </c>
      <c r="U757" s="2">
        <v>33.790241199999997</v>
      </c>
      <c r="V757" s="2">
        <v>-118.2131653</v>
      </c>
      <c r="W757" s="2" t="s">
        <v>500</v>
      </c>
      <c r="X757" s="2" t="s">
        <v>1686</v>
      </c>
      <c r="Y757" s="2" t="s">
        <v>1293</v>
      </c>
      <c r="Z757" s="2">
        <v>125</v>
      </c>
      <c r="AA757" s="2" t="s">
        <v>3178</v>
      </c>
      <c r="AB757" s="2">
        <v>41590</v>
      </c>
      <c r="AC757" s="2">
        <v>821</v>
      </c>
      <c r="AD757" s="2">
        <v>2.08</v>
      </c>
      <c r="AE757" s="2">
        <v>0.01</v>
      </c>
      <c r="AF757" s="2" t="str" cm="1">
        <f t="array" ref="AF757">_xlfn.IFS(AE757=0, "No Discount ", AE757&lt;=0.08,"Low Discount", AE757&lt;=0.16,"Medium Discount", AE757&gt;0.16, "High Discount")</f>
        <v>Low Discount</v>
      </c>
      <c r="AG757" s="2">
        <v>103814</v>
      </c>
      <c r="AH757" s="2">
        <v>51.99</v>
      </c>
      <c r="AI757" s="2">
        <v>0.3</v>
      </c>
      <c r="AJ757" s="2" t="str" cm="1">
        <f t="array" ref="AJ757">_xlfn.IFS(AI757&lt;=0, "No Profit", AI757&lt;=0.16,"Low Profit",AI757&lt;=0.32,"Medium Profit",AI757&gt;0.32,"High Profit")</f>
        <v>Medium Profit</v>
      </c>
      <c r="AK757" s="2">
        <v>4</v>
      </c>
      <c r="AL757" s="2">
        <v>207.96</v>
      </c>
      <c r="AM757" s="2">
        <v>205.88</v>
      </c>
      <c r="AN757" s="2">
        <v>61.76</v>
      </c>
      <c r="AO757" s="2" t="s">
        <v>876</v>
      </c>
      <c r="AP757" s="2" t="s">
        <v>1686</v>
      </c>
      <c r="AQ757" s="2" t="s">
        <v>175</v>
      </c>
      <c r="AR757" s="2" t="s">
        <v>81</v>
      </c>
      <c r="AS757" s="2">
        <v>821</v>
      </c>
      <c r="AT757" s="2">
        <v>37</v>
      </c>
      <c r="AU757" s="2" t="s">
        <v>3200</v>
      </c>
      <c r="AV757" s="2">
        <v>51.99</v>
      </c>
      <c r="AW757" s="2">
        <v>0</v>
      </c>
      <c r="AX757" s="3">
        <v>42499.102777777778</v>
      </c>
      <c r="AY757" s="2" t="s">
        <v>83</v>
      </c>
      <c r="AZ757" s="4">
        <v>42612</v>
      </c>
      <c r="BA757" s="5">
        <v>0.10277777777777777</v>
      </c>
      <c r="BB757" s="2">
        <v>2016</v>
      </c>
      <c r="BC757" s="2" t="s">
        <v>482</v>
      </c>
      <c r="BD757" s="2">
        <v>30</v>
      </c>
      <c r="BE757" s="4">
        <v>42499</v>
      </c>
      <c r="BF757" s="5">
        <v>0.10277777777777777</v>
      </c>
      <c r="BG757" s="2" t="str" cm="1">
        <f t="array" ref="BG757">_xlfn.IFS(BF757&lt;TIMEVALUE("06:00"),"Night", BF757&gt;=TIMEVALUE("21:00"),"Night",BF757&gt;=TIMEVALUE("17:00"),"Evening",BF757&gt;=TIMEVALUE("12:00"),"Afternoon", BF757&gt;=TIMEVALUE("06:00"),"Morning")</f>
        <v>Night</v>
      </c>
      <c r="BH757" s="2">
        <v>2016</v>
      </c>
      <c r="BI757" s="2" t="s">
        <v>443</v>
      </c>
      <c r="BJ757" s="2">
        <v>9</v>
      </c>
    </row>
    <row r="758" spans="1:62" x14ac:dyDescent="0.3">
      <c r="A758" s="2" t="s">
        <v>86</v>
      </c>
      <c r="B758" s="2">
        <v>5</v>
      </c>
      <c r="C758" s="2">
        <v>4</v>
      </c>
      <c r="D758" s="2">
        <v>108.15</v>
      </c>
      <c r="E758" s="2">
        <v>319.97000000000003</v>
      </c>
      <c r="F758" s="2" t="s">
        <v>129</v>
      </c>
      <c r="G758" s="2" t="s">
        <v>64</v>
      </c>
      <c r="H758" s="2">
        <v>9</v>
      </c>
      <c r="I758" s="2" t="s">
        <v>496</v>
      </c>
      <c r="J758" s="2" t="s">
        <v>110</v>
      </c>
      <c r="K758" s="2" t="s">
        <v>102</v>
      </c>
      <c r="L758" s="2" t="s">
        <v>414</v>
      </c>
      <c r="M758" s="2">
        <v>12019</v>
      </c>
      <c r="N758" s="2" t="s">
        <v>374</v>
      </c>
      <c r="O758" s="2" t="s">
        <v>70</v>
      </c>
      <c r="P758" s="2" t="s">
        <v>105</v>
      </c>
      <c r="Q758" s="2" t="s">
        <v>3201</v>
      </c>
      <c r="R758" s="2">
        <v>90037</v>
      </c>
      <c r="S758" s="2">
        <v>3</v>
      </c>
      <c r="T758" s="2" t="s">
        <v>466</v>
      </c>
      <c r="U758" s="2">
        <v>33.959934199999999</v>
      </c>
      <c r="V758" s="2">
        <v>-118.3780823</v>
      </c>
      <c r="W758" s="2" t="s">
        <v>528</v>
      </c>
      <c r="X758" s="2" t="s">
        <v>548</v>
      </c>
      <c r="Y758" s="2" t="s">
        <v>549</v>
      </c>
      <c r="Z758" s="2">
        <v>12019</v>
      </c>
      <c r="AA758" s="2" t="s">
        <v>3202</v>
      </c>
      <c r="AB758" s="2">
        <v>64274</v>
      </c>
      <c r="AC758" s="2">
        <v>191</v>
      </c>
      <c r="AD758" s="2">
        <v>79.989999999999995</v>
      </c>
      <c r="AE758" s="2">
        <v>0.2</v>
      </c>
      <c r="AF758" s="2" t="str" cm="1">
        <f t="array" ref="AF758">_xlfn.IFS(AE758=0, "No Discount ", AE758&lt;=0.08,"Low Discount", AE758&lt;=0.16,"Medium Discount", AE758&gt;0.16, "High Discount")</f>
        <v>High Discount</v>
      </c>
      <c r="AG758" s="2">
        <v>160678</v>
      </c>
      <c r="AH758" s="2">
        <v>99.99</v>
      </c>
      <c r="AI758" s="2">
        <v>0.34</v>
      </c>
      <c r="AJ758" s="2" t="str" cm="1">
        <f t="array" ref="AJ758">_xlfn.IFS(AI758&lt;=0, "No Profit", AI758&lt;=0.16,"Low Profit",AI758&lt;=0.32,"Medium Profit",AI758&gt;0.32,"High Profit")</f>
        <v>High Profit</v>
      </c>
      <c r="AK758" s="2">
        <v>4</v>
      </c>
      <c r="AL758" s="2">
        <v>399.96</v>
      </c>
      <c r="AM758" s="2">
        <v>319.97000000000003</v>
      </c>
      <c r="AN758" s="2">
        <v>108.15</v>
      </c>
      <c r="AO758" s="2" t="s">
        <v>531</v>
      </c>
      <c r="AP758" s="2" t="s">
        <v>548</v>
      </c>
      <c r="AQ758" s="2" t="s">
        <v>137</v>
      </c>
      <c r="AR758" s="2" t="s">
        <v>81</v>
      </c>
      <c r="AS758" s="2">
        <v>191</v>
      </c>
      <c r="AT758" s="2">
        <v>9</v>
      </c>
      <c r="AU758" s="2" t="s">
        <v>505</v>
      </c>
      <c r="AV758" s="2">
        <v>99.99</v>
      </c>
      <c r="AW758" s="2">
        <v>0</v>
      </c>
      <c r="AX758" s="3">
        <v>42743.236805555556</v>
      </c>
      <c r="AY758" s="2" t="s">
        <v>83</v>
      </c>
      <c r="AZ758" s="4">
        <v>42943</v>
      </c>
      <c r="BA758" s="5">
        <v>0.23680555555555555</v>
      </c>
      <c r="BB758" s="2">
        <v>2017</v>
      </c>
      <c r="BC758" s="2" t="s">
        <v>533</v>
      </c>
      <c r="BD758" s="2">
        <v>27</v>
      </c>
      <c r="BE758" s="4">
        <v>42743</v>
      </c>
      <c r="BF758" s="5">
        <v>0.23680555555555555</v>
      </c>
      <c r="BG758" s="2" t="str" cm="1">
        <f t="array" ref="BG758">_xlfn.IFS(BF758&lt;TIMEVALUE("06:00"),"Night", BF758&gt;=TIMEVALUE("21:00"),"Night",BF758&gt;=TIMEVALUE("17:00"),"Evening",BF758&gt;=TIMEVALUE("12:00"),"Afternoon", BF758&gt;=TIMEVALUE("06:00"),"Morning")</f>
        <v>Night</v>
      </c>
      <c r="BH758" s="2">
        <v>2017</v>
      </c>
      <c r="BI758" s="2" t="s">
        <v>84</v>
      </c>
      <c r="BJ758" s="2">
        <v>8</v>
      </c>
    </row>
    <row r="759" spans="1:62" x14ac:dyDescent="0.3">
      <c r="A759" s="2" t="s">
        <v>86</v>
      </c>
      <c r="B759" s="2">
        <v>4</v>
      </c>
      <c r="C759" s="2">
        <v>4</v>
      </c>
      <c r="D759" s="2">
        <v>115.23</v>
      </c>
      <c r="E759" s="2">
        <v>235.16</v>
      </c>
      <c r="F759" s="2" t="s">
        <v>129</v>
      </c>
      <c r="G759" s="2" t="s">
        <v>64</v>
      </c>
      <c r="H759" s="2">
        <v>17</v>
      </c>
      <c r="I759" s="2" t="s">
        <v>412</v>
      </c>
      <c r="J759" s="2" t="s">
        <v>3203</v>
      </c>
      <c r="K759" s="2" t="s">
        <v>102</v>
      </c>
      <c r="L759" s="2" t="s">
        <v>414</v>
      </c>
      <c r="M759" s="2">
        <v>10549</v>
      </c>
      <c r="N759" s="2" t="s">
        <v>3204</v>
      </c>
      <c r="O759" s="2" t="s">
        <v>70</v>
      </c>
      <c r="P759" s="2" t="s">
        <v>1102</v>
      </c>
      <c r="Q759" s="2" t="s">
        <v>3205</v>
      </c>
      <c r="R759" s="2">
        <v>21206</v>
      </c>
      <c r="S759" s="2">
        <v>4</v>
      </c>
      <c r="T759" s="2" t="s">
        <v>417</v>
      </c>
      <c r="U759" s="2">
        <v>39.137855500000001</v>
      </c>
      <c r="V759" s="2">
        <v>-76.815872200000001</v>
      </c>
      <c r="W759" s="2" t="s">
        <v>528</v>
      </c>
      <c r="X759" s="2" t="s">
        <v>3206</v>
      </c>
      <c r="Y759" s="2" t="s">
        <v>904</v>
      </c>
      <c r="Z759" s="2">
        <v>10549</v>
      </c>
      <c r="AA759" s="2" t="s">
        <v>3207</v>
      </c>
      <c r="AB759" s="2">
        <v>13298</v>
      </c>
      <c r="AC759" s="2">
        <v>365</v>
      </c>
      <c r="AD759" s="2">
        <v>4.8</v>
      </c>
      <c r="AE759" s="2">
        <v>0.02</v>
      </c>
      <c r="AF759" s="2" t="str" cm="1">
        <f t="array" ref="AF759">_xlfn.IFS(AE759=0, "No Discount ", AE759&lt;=0.08,"Low Discount", AE759&lt;=0.16,"Medium Discount", AE759&gt;0.16, "High Discount")</f>
        <v>Low Discount</v>
      </c>
      <c r="AG759" s="2">
        <v>33275</v>
      </c>
      <c r="AH759" s="2">
        <v>59.99</v>
      </c>
      <c r="AI759" s="2">
        <v>0.49</v>
      </c>
      <c r="AJ759" s="2" t="str" cm="1">
        <f t="array" ref="AJ759">_xlfn.IFS(AI759&lt;=0, "No Profit", AI759&lt;=0.16,"Low Profit",AI759&lt;=0.32,"Medium Profit",AI759&gt;0.32,"High Profit")</f>
        <v>High Profit</v>
      </c>
      <c r="AK759" s="2">
        <v>4</v>
      </c>
      <c r="AL759" s="2">
        <v>239.96</v>
      </c>
      <c r="AM759" s="2">
        <v>235.16</v>
      </c>
      <c r="AN759" s="2">
        <v>115.23</v>
      </c>
      <c r="AO759" s="2" t="s">
        <v>905</v>
      </c>
      <c r="AP759" s="2" t="s">
        <v>2786</v>
      </c>
      <c r="AQ759" s="2" t="s">
        <v>137</v>
      </c>
      <c r="AR759" s="2" t="s">
        <v>81</v>
      </c>
      <c r="AS759" s="2">
        <v>365</v>
      </c>
      <c r="AT759" s="2">
        <v>17</v>
      </c>
      <c r="AU759" s="2" t="s">
        <v>421</v>
      </c>
      <c r="AV759" s="2">
        <v>59.99</v>
      </c>
      <c r="AW759" s="2">
        <v>0</v>
      </c>
      <c r="AX759" s="2" t="s">
        <v>3208</v>
      </c>
      <c r="AY759" s="2" t="s">
        <v>83</v>
      </c>
      <c r="AZ759" s="4">
        <v>42199</v>
      </c>
      <c r="BA759" s="5">
        <v>0.10486111111111111</v>
      </c>
      <c r="BB759" s="2">
        <v>2015</v>
      </c>
      <c r="BC759" s="2" t="s">
        <v>533</v>
      </c>
      <c r="BD759" s="2">
        <v>14</v>
      </c>
      <c r="BE759" s="4">
        <v>42203</v>
      </c>
      <c r="BF759" s="5">
        <v>0.10486111111111111</v>
      </c>
      <c r="BG759" s="2" t="str" cm="1">
        <f t="array" ref="BG759">_xlfn.IFS(BF759&lt;TIMEVALUE("06:00"),"Night", BF759&gt;=TIMEVALUE("21:00"),"Night",BF759&gt;=TIMEVALUE("17:00"),"Evening",BF759&gt;=TIMEVALUE("12:00"),"Afternoon", BF759&gt;=TIMEVALUE("06:00"),"Morning")</f>
        <v>Night</v>
      </c>
      <c r="BH759" s="2">
        <v>2015</v>
      </c>
      <c r="BI759" s="2" t="s">
        <v>533</v>
      </c>
      <c r="BJ759" s="2">
        <v>18</v>
      </c>
    </row>
    <row r="760" spans="1:62" x14ac:dyDescent="0.3">
      <c r="A760" s="2" t="s">
        <v>86</v>
      </c>
      <c r="B760" s="2">
        <v>2</v>
      </c>
      <c r="C760" s="2">
        <v>4</v>
      </c>
      <c r="D760" s="2">
        <v>-109.42</v>
      </c>
      <c r="E760" s="2">
        <v>230.36</v>
      </c>
      <c r="F760" s="2" t="s">
        <v>129</v>
      </c>
      <c r="G760" s="2" t="s">
        <v>64</v>
      </c>
      <c r="H760" s="2">
        <v>17</v>
      </c>
      <c r="I760" s="2" t="s">
        <v>412</v>
      </c>
      <c r="J760" s="2" t="s">
        <v>1736</v>
      </c>
      <c r="K760" s="2" t="s">
        <v>102</v>
      </c>
      <c r="L760" s="2" t="s">
        <v>414</v>
      </c>
      <c r="M760" s="2">
        <v>4909</v>
      </c>
      <c r="N760" s="2" t="s">
        <v>425</v>
      </c>
      <c r="O760" s="2" t="s">
        <v>70</v>
      </c>
      <c r="P760" s="2" t="s">
        <v>1254</v>
      </c>
      <c r="Q760" s="2" t="s">
        <v>3209</v>
      </c>
      <c r="R760" s="2">
        <v>85035</v>
      </c>
      <c r="S760" s="2">
        <v>4</v>
      </c>
      <c r="T760" s="2" t="s">
        <v>417</v>
      </c>
      <c r="U760" s="2">
        <v>33.4733734</v>
      </c>
      <c r="V760" s="2">
        <v>-112.1697769</v>
      </c>
      <c r="W760" s="2" t="s">
        <v>528</v>
      </c>
      <c r="X760" s="2" t="s">
        <v>3210</v>
      </c>
      <c r="Y760" s="2" t="s">
        <v>530</v>
      </c>
      <c r="Z760" s="2">
        <v>4909</v>
      </c>
      <c r="AA760" s="3">
        <v>42862.515277777777</v>
      </c>
      <c r="AB760" s="2">
        <v>62786</v>
      </c>
      <c r="AC760" s="2">
        <v>365</v>
      </c>
      <c r="AD760" s="2">
        <v>9.6</v>
      </c>
      <c r="AE760" s="2">
        <v>0.04</v>
      </c>
      <c r="AF760" s="2" t="str" cm="1">
        <f t="array" ref="AF760">_xlfn.IFS(AE760=0, "No Discount ", AE760&lt;=0.08,"Low Discount", AE760&lt;=0.16,"Medium Discount", AE760&gt;0.16, "High Discount")</f>
        <v>Low Discount</v>
      </c>
      <c r="AG760" s="2">
        <v>156977</v>
      </c>
      <c r="AH760" s="2">
        <v>59.99</v>
      </c>
      <c r="AI760" s="2">
        <v>-0.48</v>
      </c>
      <c r="AJ760" s="2" t="str" cm="1">
        <f t="array" ref="AJ760">_xlfn.IFS(AI760&lt;=0, "No Profit", AI760&lt;=0.16,"Low Profit",AI760&lt;=0.32,"Medium Profit",AI760&gt;0.32,"High Profit")</f>
        <v>No Profit</v>
      </c>
      <c r="AK760" s="2">
        <v>4</v>
      </c>
      <c r="AL760" s="2">
        <v>239.96</v>
      </c>
      <c r="AM760" s="2">
        <v>230.36</v>
      </c>
      <c r="AN760" s="2">
        <v>-109.42</v>
      </c>
      <c r="AO760" s="2" t="s">
        <v>531</v>
      </c>
      <c r="AP760" s="2" t="s">
        <v>532</v>
      </c>
      <c r="AQ760" s="2" t="s">
        <v>137</v>
      </c>
      <c r="AR760" s="2" t="s">
        <v>81</v>
      </c>
      <c r="AS760" s="2">
        <v>365</v>
      </c>
      <c r="AT760" s="2">
        <v>17</v>
      </c>
      <c r="AU760" s="2" t="s">
        <v>421</v>
      </c>
      <c r="AV760" s="2">
        <v>59.99</v>
      </c>
      <c r="AW760" s="2">
        <v>0</v>
      </c>
      <c r="AX760" s="3">
        <v>42923.515277777777</v>
      </c>
      <c r="AY760" s="2" t="s">
        <v>83</v>
      </c>
      <c r="AZ760" s="4">
        <v>42862</v>
      </c>
      <c r="BA760" s="5">
        <v>0.51527777777777772</v>
      </c>
      <c r="BB760" s="2">
        <v>2017</v>
      </c>
      <c r="BC760" s="2" t="s">
        <v>443</v>
      </c>
      <c r="BD760" s="2">
        <v>7</v>
      </c>
      <c r="BE760" s="4">
        <v>42923</v>
      </c>
      <c r="BF760" s="5">
        <v>0.51527777777777772</v>
      </c>
      <c r="BG760" s="2" t="str" cm="1">
        <f t="array" ref="BG760">_xlfn.IFS(BF760&lt;TIMEVALUE("06:00"),"Night", BF760&gt;=TIMEVALUE("21:00"),"Night",BF760&gt;=TIMEVALUE("17:00"),"Evening",BF760&gt;=TIMEVALUE("12:00"),"Afternoon", BF760&gt;=TIMEVALUE("06:00"),"Morning")</f>
        <v>Afternoon</v>
      </c>
      <c r="BH760" s="2">
        <v>2017</v>
      </c>
      <c r="BI760" s="2" t="s">
        <v>533</v>
      </c>
      <c r="BJ760" s="2">
        <v>7</v>
      </c>
    </row>
    <row r="761" spans="1:62" x14ac:dyDescent="0.3">
      <c r="A761" s="2" t="s">
        <v>86</v>
      </c>
      <c r="B761" s="2">
        <v>5</v>
      </c>
      <c r="C761" s="2">
        <v>4</v>
      </c>
      <c r="D761" s="2">
        <v>23.86</v>
      </c>
      <c r="E761" s="2">
        <v>211.16</v>
      </c>
      <c r="F761" s="2" t="s">
        <v>129</v>
      </c>
      <c r="G761" s="2" t="s">
        <v>64</v>
      </c>
      <c r="H761" s="2">
        <v>17</v>
      </c>
      <c r="I761" s="2" t="s">
        <v>412</v>
      </c>
      <c r="J761" s="2" t="s">
        <v>3211</v>
      </c>
      <c r="K761" s="2" t="s">
        <v>102</v>
      </c>
      <c r="L761" s="2" t="s">
        <v>414</v>
      </c>
      <c r="M761" s="2">
        <v>5854</v>
      </c>
      <c r="N761" s="2" t="s">
        <v>425</v>
      </c>
      <c r="O761" s="2" t="s">
        <v>70</v>
      </c>
      <c r="P761" s="2" t="s">
        <v>105</v>
      </c>
      <c r="Q761" s="2" t="s">
        <v>3212</v>
      </c>
      <c r="R761" s="2">
        <v>92833</v>
      </c>
      <c r="S761" s="2">
        <v>4</v>
      </c>
      <c r="T761" s="2" t="s">
        <v>417</v>
      </c>
      <c r="U761" s="2">
        <v>33.875938400000003</v>
      </c>
      <c r="V761" s="2">
        <v>-118.0005798</v>
      </c>
      <c r="W761" s="2" t="s">
        <v>528</v>
      </c>
      <c r="X761" s="2" t="s">
        <v>2753</v>
      </c>
      <c r="Y761" s="2" t="s">
        <v>904</v>
      </c>
      <c r="Z761" s="2">
        <v>5854</v>
      </c>
      <c r="AA761" s="2" t="s">
        <v>3213</v>
      </c>
      <c r="AB761" s="2">
        <v>13939</v>
      </c>
      <c r="AC761" s="2">
        <v>365</v>
      </c>
      <c r="AD761" s="2">
        <v>28.8</v>
      </c>
      <c r="AE761" s="2">
        <v>0.12</v>
      </c>
      <c r="AF761" s="2" t="str" cm="1">
        <f t="array" ref="AF761">_xlfn.IFS(AE761=0, "No Discount ", AE761&lt;=0.08,"Low Discount", AE761&lt;=0.16,"Medium Discount", AE761&gt;0.16, "High Discount")</f>
        <v>Medium Discount</v>
      </c>
      <c r="AG761" s="2">
        <v>34880</v>
      </c>
      <c r="AH761" s="2">
        <v>59.99</v>
      </c>
      <c r="AI761" s="2">
        <v>0.11</v>
      </c>
      <c r="AJ761" s="2" t="str" cm="1">
        <f t="array" ref="AJ761">_xlfn.IFS(AI761&lt;=0, "No Profit", AI761&lt;=0.16,"Low Profit",AI761&lt;=0.32,"Medium Profit",AI761&gt;0.32,"High Profit")</f>
        <v>Low Profit</v>
      </c>
      <c r="AK761" s="2">
        <v>4</v>
      </c>
      <c r="AL761" s="2">
        <v>239.96</v>
      </c>
      <c r="AM761" s="2">
        <v>211.16</v>
      </c>
      <c r="AN761" s="2">
        <v>23.86</v>
      </c>
      <c r="AO761" s="2" t="s">
        <v>905</v>
      </c>
      <c r="AP761" s="2" t="s">
        <v>2755</v>
      </c>
      <c r="AQ761" s="2" t="s">
        <v>137</v>
      </c>
      <c r="AR761" s="2" t="s">
        <v>81</v>
      </c>
      <c r="AS761" s="2">
        <v>365</v>
      </c>
      <c r="AT761" s="2">
        <v>17</v>
      </c>
      <c r="AU761" s="2" t="s">
        <v>421</v>
      </c>
      <c r="AV761" s="2">
        <v>59.99</v>
      </c>
      <c r="AW761" s="2">
        <v>0</v>
      </c>
      <c r="AX761" s="2" t="s">
        <v>3214</v>
      </c>
      <c r="AY761" s="2" t="s">
        <v>83</v>
      </c>
      <c r="AZ761" s="4">
        <v>42208</v>
      </c>
      <c r="BA761" s="5">
        <v>0.46250000000000002</v>
      </c>
      <c r="BB761" s="2">
        <v>2015</v>
      </c>
      <c r="BC761" s="2" t="s">
        <v>533</v>
      </c>
      <c r="BD761" s="2">
        <v>23</v>
      </c>
      <c r="BE761" s="4">
        <v>42213</v>
      </c>
      <c r="BF761" s="5">
        <v>0.46250000000000002</v>
      </c>
      <c r="BG761" s="2" t="str" cm="1">
        <f t="array" ref="BG761">_xlfn.IFS(BF761&lt;TIMEVALUE("06:00"),"Night", BF761&gt;=TIMEVALUE("21:00"),"Night",BF761&gt;=TIMEVALUE("17:00"),"Evening",BF761&gt;=TIMEVALUE("12:00"),"Afternoon", BF761&gt;=TIMEVALUE("06:00"),"Morning")</f>
        <v>Morning</v>
      </c>
      <c r="BH761" s="2">
        <v>2015</v>
      </c>
      <c r="BI761" s="2" t="s">
        <v>533</v>
      </c>
      <c r="BJ761" s="2">
        <v>28</v>
      </c>
    </row>
    <row r="762" spans="1:62" x14ac:dyDescent="0.3">
      <c r="A762" s="2" t="s">
        <v>86</v>
      </c>
      <c r="B762" s="2">
        <v>5</v>
      </c>
      <c r="C762" s="2">
        <v>4</v>
      </c>
      <c r="D762" s="2">
        <v>-100.83</v>
      </c>
      <c r="E762" s="2">
        <v>208.77</v>
      </c>
      <c r="F762" s="2" t="s">
        <v>129</v>
      </c>
      <c r="G762" s="2" t="s">
        <v>64</v>
      </c>
      <c r="H762" s="2">
        <v>17</v>
      </c>
      <c r="I762" s="2" t="s">
        <v>412</v>
      </c>
      <c r="J762" s="2" t="s">
        <v>3203</v>
      </c>
      <c r="K762" s="2" t="s">
        <v>102</v>
      </c>
      <c r="L762" s="2" t="s">
        <v>414</v>
      </c>
      <c r="M762" s="2">
        <v>3066</v>
      </c>
      <c r="N762" s="2" t="s">
        <v>425</v>
      </c>
      <c r="O762" s="2" t="s">
        <v>70</v>
      </c>
      <c r="P762" s="2" t="s">
        <v>1102</v>
      </c>
      <c r="Q762" s="2" t="s">
        <v>3215</v>
      </c>
      <c r="R762" s="2">
        <v>21218</v>
      </c>
      <c r="S762" s="2">
        <v>4</v>
      </c>
      <c r="T762" s="2" t="s">
        <v>417</v>
      </c>
      <c r="U762" s="2">
        <v>39.274959600000003</v>
      </c>
      <c r="V762" s="2">
        <v>-76.615066499999998</v>
      </c>
      <c r="W762" s="2" t="s">
        <v>528</v>
      </c>
      <c r="X762" s="2" t="s">
        <v>3216</v>
      </c>
      <c r="Y762" s="2" t="s">
        <v>2613</v>
      </c>
      <c r="Z762" s="2">
        <v>3066</v>
      </c>
      <c r="AA762" s="2" t="s">
        <v>3217</v>
      </c>
      <c r="AB762" s="2">
        <v>46864</v>
      </c>
      <c r="AC762" s="2">
        <v>365</v>
      </c>
      <c r="AD762" s="2">
        <v>31.19</v>
      </c>
      <c r="AE762" s="2">
        <v>0.13</v>
      </c>
      <c r="AF762" s="2" t="str" cm="1">
        <f t="array" ref="AF762">_xlfn.IFS(AE762=0, "No Discount ", AE762&lt;=0.08,"Low Discount", AE762&lt;=0.16,"Medium Discount", AE762&gt;0.16, "High Discount")</f>
        <v>Medium Discount</v>
      </c>
      <c r="AG762" s="2">
        <v>117157</v>
      </c>
      <c r="AH762" s="2">
        <v>59.99</v>
      </c>
      <c r="AI762" s="2">
        <v>-0.48</v>
      </c>
      <c r="AJ762" s="2" t="str" cm="1">
        <f t="array" ref="AJ762">_xlfn.IFS(AI762&lt;=0, "No Profit", AI762&lt;=0.16,"Low Profit",AI762&lt;=0.32,"Medium Profit",AI762&gt;0.32,"High Profit")</f>
        <v>No Profit</v>
      </c>
      <c r="AK762" s="2">
        <v>4</v>
      </c>
      <c r="AL762" s="2">
        <v>239.96</v>
      </c>
      <c r="AM762" s="2">
        <v>208.77</v>
      </c>
      <c r="AN762" s="2">
        <v>-100.83</v>
      </c>
      <c r="AO762" s="2" t="s">
        <v>1717</v>
      </c>
      <c r="AP762" s="2" t="s">
        <v>3218</v>
      </c>
      <c r="AQ762" s="2" t="s">
        <v>137</v>
      </c>
      <c r="AR762" s="2" t="s">
        <v>81</v>
      </c>
      <c r="AS762" s="2">
        <v>365</v>
      </c>
      <c r="AT762" s="2">
        <v>17</v>
      </c>
      <c r="AU762" s="2" t="s">
        <v>421</v>
      </c>
      <c r="AV762" s="2">
        <v>59.99</v>
      </c>
      <c r="AW762" s="2">
        <v>0</v>
      </c>
      <c r="AX762" s="2" t="s">
        <v>3219</v>
      </c>
      <c r="AY762" s="2" t="s">
        <v>83</v>
      </c>
      <c r="AZ762" s="4">
        <v>42689</v>
      </c>
      <c r="BA762" s="5">
        <v>9.0972222222222218E-2</v>
      </c>
      <c r="BB762" s="2">
        <v>2016</v>
      </c>
      <c r="BC762" s="2" t="s">
        <v>455</v>
      </c>
      <c r="BD762" s="2">
        <v>15</v>
      </c>
      <c r="BE762" s="4">
        <v>42694</v>
      </c>
      <c r="BF762" s="5">
        <v>9.0972222222222218E-2</v>
      </c>
      <c r="BG762" s="2" t="str" cm="1">
        <f t="array" ref="BG762">_xlfn.IFS(BF762&lt;TIMEVALUE("06:00"),"Night", BF762&gt;=TIMEVALUE("21:00"),"Night",BF762&gt;=TIMEVALUE("17:00"),"Evening",BF762&gt;=TIMEVALUE("12:00"),"Afternoon", BF762&gt;=TIMEVALUE("06:00"),"Morning")</f>
        <v>Night</v>
      </c>
      <c r="BH762" s="2">
        <v>2016</v>
      </c>
      <c r="BI762" s="2" t="s">
        <v>455</v>
      </c>
      <c r="BJ762" s="2">
        <v>20</v>
      </c>
    </row>
    <row r="763" spans="1:62" x14ac:dyDescent="0.3">
      <c r="A763" s="2" t="s">
        <v>86</v>
      </c>
      <c r="B763" s="2">
        <v>6</v>
      </c>
      <c r="C763" s="2">
        <v>4</v>
      </c>
      <c r="D763" s="2">
        <v>57.06</v>
      </c>
      <c r="E763" s="2">
        <v>196.77</v>
      </c>
      <c r="F763" s="2" t="s">
        <v>129</v>
      </c>
      <c r="G763" s="2" t="s">
        <v>64</v>
      </c>
      <c r="H763" s="2">
        <v>17</v>
      </c>
      <c r="I763" s="2" t="s">
        <v>412</v>
      </c>
      <c r="J763" s="2" t="s">
        <v>3220</v>
      </c>
      <c r="K763" s="2" t="s">
        <v>102</v>
      </c>
      <c r="L763" s="2" t="s">
        <v>1134</v>
      </c>
      <c r="M763" s="2">
        <v>11431</v>
      </c>
      <c r="N763" s="2" t="s">
        <v>879</v>
      </c>
      <c r="O763" s="2" t="s">
        <v>70</v>
      </c>
      <c r="P763" s="2" t="s">
        <v>105</v>
      </c>
      <c r="Q763" s="2" t="s">
        <v>3221</v>
      </c>
      <c r="R763" s="2">
        <v>95823</v>
      </c>
      <c r="S763" s="2">
        <v>4</v>
      </c>
      <c r="T763" s="2" t="s">
        <v>417</v>
      </c>
      <c r="U763" s="2">
        <v>38.486713399999999</v>
      </c>
      <c r="V763" s="2">
        <v>-121.459343</v>
      </c>
      <c r="W763" s="2" t="s">
        <v>528</v>
      </c>
      <c r="X763" s="2" t="s">
        <v>3222</v>
      </c>
      <c r="Y763" s="2" t="s">
        <v>557</v>
      </c>
      <c r="Z763" s="2">
        <v>11431</v>
      </c>
      <c r="AA763" s="2" t="s">
        <v>3223</v>
      </c>
      <c r="AB763" s="2">
        <v>16590</v>
      </c>
      <c r="AC763" s="2">
        <v>365</v>
      </c>
      <c r="AD763" s="2">
        <v>43.19</v>
      </c>
      <c r="AE763" s="2">
        <v>0.18</v>
      </c>
      <c r="AF763" s="2" t="str" cm="1">
        <f t="array" ref="AF763">_xlfn.IFS(AE763=0, "No Discount ", AE763&lt;=0.08,"Low Discount", AE763&lt;=0.16,"Medium Discount", AE763&gt;0.16, "High Discount")</f>
        <v>High Discount</v>
      </c>
      <c r="AG763" s="2">
        <v>41460</v>
      </c>
      <c r="AH763" s="2">
        <v>59.99</v>
      </c>
      <c r="AI763" s="2">
        <v>0.28999999999999998</v>
      </c>
      <c r="AJ763" s="2" t="str" cm="1">
        <f t="array" ref="AJ763">_xlfn.IFS(AI763&lt;=0, "No Profit", AI763&lt;=0.16,"Low Profit",AI763&lt;=0.32,"Medium Profit",AI763&gt;0.32,"High Profit")</f>
        <v>Medium Profit</v>
      </c>
      <c r="AK763" s="2">
        <v>4</v>
      </c>
      <c r="AL763" s="2">
        <v>239.96</v>
      </c>
      <c r="AM763" s="2">
        <v>196.77</v>
      </c>
      <c r="AN763" s="2">
        <v>57.06</v>
      </c>
      <c r="AO763" s="2" t="s">
        <v>558</v>
      </c>
      <c r="AP763" s="2" t="s">
        <v>559</v>
      </c>
      <c r="AQ763" s="2" t="s">
        <v>137</v>
      </c>
      <c r="AR763" s="2" t="s">
        <v>81</v>
      </c>
      <c r="AS763" s="2">
        <v>365</v>
      </c>
      <c r="AT763" s="2">
        <v>17</v>
      </c>
      <c r="AU763" s="2" t="s">
        <v>421</v>
      </c>
      <c r="AV763" s="2">
        <v>59.99</v>
      </c>
      <c r="AW763" s="2">
        <v>0</v>
      </c>
      <c r="AX763" s="3">
        <v>42164.160416666666</v>
      </c>
      <c r="AY763" s="2" t="s">
        <v>83</v>
      </c>
      <c r="AZ763" s="4">
        <v>42247</v>
      </c>
      <c r="BA763" s="5">
        <v>0.16041666666666668</v>
      </c>
      <c r="BB763" s="2">
        <v>2015</v>
      </c>
      <c r="BC763" s="2" t="s">
        <v>482</v>
      </c>
      <c r="BD763" s="2">
        <v>31</v>
      </c>
      <c r="BE763" s="4">
        <v>42164</v>
      </c>
      <c r="BF763" s="5">
        <v>0.16041666666666668</v>
      </c>
      <c r="BG763" s="2" t="str" cm="1">
        <f t="array" ref="BG763">_xlfn.IFS(BF763&lt;TIMEVALUE("06:00"),"Night", BF763&gt;=TIMEVALUE("21:00"),"Night",BF763&gt;=TIMEVALUE("17:00"),"Evening",BF763&gt;=TIMEVALUE("12:00"),"Afternoon", BF763&gt;=TIMEVALUE("06:00"),"Morning")</f>
        <v>Night</v>
      </c>
      <c r="BH763" s="2">
        <v>2015</v>
      </c>
      <c r="BI763" s="2" t="s">
        <v>474</v>
      </c>
      <c r="BJ763" s="2">
        <v>9</v>
      </c>
    </row>
    <row r="764" spans="1:62" x14ac:dyDescent="0.3">
      <c r="A764" s="2" t="s">
        <v>86</v>
      </c>
      <c r="B764" s="2">
        <v>6</v>
      </c>
      <c r="C764" s="2">
        <v>4</v>
      </c>
      <c r="D764" s="2">
        <v>84.59</v>
      </c>
      <c r="E764" s="2">
        <v>179.97</v>
      </c>
      <c r="F764" s="2" t="s">
        <v>129</v>
      </c>
      <c r="G764" s="2" t="s">
        <v>64</v>
      </c>
      <c r="H764" s="2">
        <v>17</v>
      </c>
      <c r="I764" s="2" t="s">
        <v>412</v>
      </c>
      <c r="J764" s="2" t="s">
        <v>1460</v>
      </c>
      <c r="K764" s="2" t="s">
        <v>102</v>
      </c>
      <c r="L764" s="2" t="s">
        <v>1607</v>
      </c>
      <c r="M764" s="2">
        <v>9906</v>
      </c>
      <c r="N764" s="2" t="s">
        <v>425</v>
      </c>
      <c r="O764" s="2" t="s">
        <v>70</v>
      </c>
      <c r="P764" s="2" t="s">
        <v>234</v>
      </c>
      <c r="Q764" s="2" t="s">
        <v>3224</v>
      </c>
      <c r="R764" s="2">
        <v>60614</v>
      </c>
      <c r="S764" s="2">
        <v>4</v>
      </c>
      <c r="T764" s="2" t="s">
        <v>417</v>
      </c>
      <c r="U764" s="2">
        <v>41.895355199999997</v>
      </c>
      <c r="V764" s="2">
        <v>-87.725761399999996</v>
      </c>
      <c r="W764" s="2" t="s">
        <v>528</v>
      </c>
      <c r="X764" s="2" t="s">
        <v>3225</v>
      </c>
      <c r="Y764" s="2" t="s">
        <v>557</v>
      </c>
      <c r="Z764" s="2">
        <v>9906</v>
      </c>
      <c r="AA764" s="3">
        <v>42893.304166666669</v>
      </c>
      <c r="AB764" s="2">
        <v>62840</v>
      </c>
      <c r="AC764" s="2">
        <v>365</v>
      </c>
      <c r="AD764" s="2">
        <v>59.99</v>
      </c>
      <c r="AE764" s="2">
        <v>0.25</v>
      </c>
      <c r="AF764" s="2" t="str" cm="1">
        <f t="array" ref="AF764">_xlfn.IFS(AE764=0, "No Discount ", AE764&lt;=0.08,"Low Discount", AE764&lt;=0.16,"Medium Discount", AE764&gt;0.16, "High Discount")</f>
        <v>High Discount</v>
      </c>
      <c r="AG764" s="2">
        <v>157125</v>
      </c>
      <c r="AH764" s="2">
        <v>59.99</v>
      </c>
      <c r="AI764" s="2">
        <v>0.47</v>
      </c>
      <c r="AJ764" s="2" t="str" cm="1">
        <f t="array" ref="AJ764">_xlfn.IFS(AI764&lt;=0, "No Profit", AI764&lt;=0.16,"Low Profit",AI764&lt;=0.32,"Medium Profit",AI764&gt;0.32,"High Profit")</f>
        <v>High Profit</v>
      </c>
      <c r="AK764" s="2">
        <v>4</v>
      </c>
      <c r="AL764" s="2">
        <v>239.96</v>
      </c>
      <c r="AM764" s="2">
        <v>179.97</v>
      </c>
      <c r="AN764" s="2">
        <v>84.59</v>
      </c>
      <c r="AO764" s="2" t="s">
        <v>558</v>
      </c>
      <c r="AP764" s="2" t="s">
        <v>559</v>
      </c>
      <c r="AQ764" s="2" t="s">
        <v>137</v>
      </c>
      <c r="AR764" s="2" t="s">
        <v>81</v>
      </c>
      <c r="AS764" s="2">
        <v>365</v>
      </c>
      <c r="AT764" s="2">
        <v>17</v>
      </c>
      <c r="AU764" s="2" t="s">
        <v>421</v>
      </c>
      <c r="AV764" s="2">
        <v>59.99</v>
      </c>
      <c r="AW764" s="2">
        <v>0</v>
      </c>
      <c r="AX764" s="3">
        <v>43076.304166666669</v>
      </c>
      <c r="AY764" s="2" t="s">
        <v>83</v>
      </c>
      <c r="AZ764" s="4">
        <v>42893</v>
      </c>
      <c r="BA764" s="5">
        <v>0.30416666666666664</v>
      </c>
      <c r="BB764" s="2">
        <v>2017</v>
      </c>
      <c r="BC764" s="2" t="s">
        <v>474</v>
      </c>
      <c r="BD764" s="2">
        <v>7</v>
      </c>
      <c r="BE764" s="4">
        <v>43076</v>
      </c>
      <c r="BF764" s="5">
        <v>0.30416666666666664</v>
      </c>
      <c r="BG764" s="2" t="str" cm="1">
        <f t="array" ref="BG764">_xlfn.IFS(BF764&lt;TIMEVALUE("06:00"),"Night", BF764&gt;=TIMEVALUE("21:00"),"Night",BF764&gt;=TIMEVALUE("17:00"),"Evening",BF764&gt;=TIMEVALUE("12:00"),"Afternoon", BF764&gt;=TIMEVALUE("06:00"),"Morning")</f>
        <v>Morning</v>
      </c>
      <c r="BH764" s="2">
        <v>2017</v>
      </c>
      <c r="BI764" s="2" t="s">
        <v>357</v>
      </c>
      <c r="BJ764" s="2">
        <v>7</v>
      </c>
    </row>
    <row r="765" spans="1:62" x14ac:dyDescent="0.3">
      <c r="A765" s="2" t="s">
        <v>86</v>
      </c>
      <c r="B765" s="2">
        <v>5</v>
      </c>
      <c r="C765" s="2">
        <v>4</v>
      </c>
      <c r="D765" s="2">
        <v>55.44</v>
      </c>
      <c r="E765" s="2">
        <v>198</v>
      </c>
      <c r="F765" s="2" t="s">
        <v>129</v>
      </c>
      <c r="G765" s="2" t="s">
        <v>64</v>
      </c>
      <c r="H765" s="2">
        <v>24</v>
      </c>
      <c r="I765" s="2" t="s">
        <v>435</v>
      </c>
      <c r="J765" s="2" t="s">
        <v>3226</v>
      </c>
      <c r="K765" s="2" t="s">
        <v>102</v>
      </c>
      <c r="L765" s="2" t="s">
        <v>414</v>
      </c>
      <c r="M765" s="2">
        <v>2048</v>
      </c>
      <c r="N765" s="2" t="s">
        <v>2962</v>
      </c>
      <c r="O765" s="2" t="s">
        <v>70</v>
      </c>
      <c r="P765" s="2" t="s">
        <v>1322</v>
      </c>
      <c r="Q765" s="2" t="s">
        <v>3227</v>
      </c>
      <c r="R765" s="2">
        <v>27410</v>
      </c>
      <c r="S765" s="2">
        <v>5</v>
      </c>
      <c r="T765" s="2" t="s">
        <v>427</v>
      </c>
      <c r="U765" s="2">
        <v>36.087570200000002</v>
      </c>
      <c r="V765" s="2">
        <v>-79.886634799999996</v>
      </c>
      <c r="W765" s="2" t="s">
        <v>528</v>
      </c>
      <c r="X765" s="2" t="s">
        <v>2675</v>
      </c>
      <c r="Y765" s="2" t="s">
        <v>536</v>
      </c>
      <c r="Z765" s="2">
        <v>2048</v>
      </c>
      <c r="AA765" s="3">
        <v>42834.431944444441</v>
      </c>
      <c r="AB765" s="2">
        <v>66959</v>
      </c>
      <c r="AC765" s="2">
        <v>502</v>
      </c>
      <c r="AD765" s="2">
        <v>2</v>
      </c>
      <c r="AE765" s="2">
        <v>0.01</v>
      </c>
      <c r="AF765" s="2" t="str" cm="1">
        <f t="array" ref="AF765">_xlfn.IFS(AE765=0, "No Discount ", AE765&lt;=0.08,"Low Discount", AE765&lt;=0.16,"Medium Discount", AE765&gt;0.16, "High Discount")</f>
        <v>Low Discount</v>
      </c>
      <c r="AG765" s="2">
        <v>167372</v>
      </c>
      <c r="AH765" s="2">
        <v>50</v>
      </c>
      <c r="AI765" s="2">
        <v>0.28000000000000003</v>
      </c>
      <c r="AJ765" s="2" t="str" cm="1">
        <f t="array" ref="AJ765">_xlfn.IFS(AI765&lt;=0, "No Profit", AI765&lt;=0.16,"Low Profit",AI765&lt;=0.32,"Medium Profit",AI765&gt;0.32,"High Profit")</f>
        <v>Medium Profit</v>
      </c>
      <c r="AK765" s="2">
        <v>4</v>
      </c>
      <c r="AL765" s="2">
        <v>200</v>
      </c>
      <c r="AM765" s="2">
        <v>198</v>
      </c>
      <c r="AN765" s="2">
        <v>55.44</v>
      </c>
      <c r="AO765" s="2" t="s">
        <v>531</v>
      </c>
      <c r="AP765" s="2" t="s">
        <v>568</v>
      </c>
      <c r="AQ765" s="2" t="s">
        <v>137</v>
      </c>
      <c r="AR765" s="2" t="s">
        <v>81</v>
      </c>
      <c r="AS765" s="2">
        <v>502</v>
      </c>
      <c r="AT765" s="2">
        <v>24</v>
      </c>
      <c r="AU765" s="2" t="s">
        <v>442</v>
      </c>
      <c r="AV765" s="2">
        <v>50</v>
      </c>
      <c r="AW765" s="2">
        <v>0</v>
      </c>
      <c r="AX765" s="3">
        <v>42987.431944444441</v>
      </c>
      <c r="AY765" s="2" t="s">
        <v>83</v>
      </c>
      <c r="AZ765" s="4">
        <v>42834</v>
      </c>
      <c r="BA765" s="5">
        <v>0.43194444444444446</v>
      </c>
      <c r="BB765" s="2">
        <v>2017</v>
      </c>
      <c r="BC765" s="2" t="s">
        <v>487</v>
      </c>
      <c r="BD765" s="2">
        <v>9</v>
      </c>
      <c r="BE765" s="4">
        <v>42987</v>
      </c>
      <c r="BF765" s="5">
        <v>0.43194444444444446</v>
      </c>
      <c r="BG765" s="2" t="str" cm="1">
        <f t="array" ref="BG765">_xlfn.IFS(BF765&lt;TIMEVALUE("06:00"),"Night", BF765&gt;=TIMEVALUE("21:00"),"Night",BF765&gt;=TIMEVALUE("17:00"),"Evening",BF765&gt;=TIMEVALUE("12:00"),"Afternoon", BF765&gt;=TIMEVALUE("06:00"),"Morning")</f>
        <v>Morning</v>
      </c>
      <c r="BH765" s="2">
        <v>2017</v>
      </c>
      <c r="BI765" s="2" t="s">
        <v>552</v>
      </c>
      <c r="BJ765" s="2">
        <v>9</v>
      </c>
    </row>
    <row r="766" spans="1:62" x14ac:dyDescent="0.3">
      <c r="A766" s="2" t="s">
        <v>86</v>
      </c>
      <c r="B766" s="2">
        <v>6</v>
      </c>
      <c r="C766" s="2">
        <v>4</v>
      </c>
      <c r="D766" s="2">
        <v>28.87</v>
      </c>
      <c r="E766" s="2">
        <v>151.96</v>
      </c>
      <c r="F766" s="2" t="s">
        <v>129</v>
      </c>
      <c r="G766" s="2" t="s">
        <v>64</v>
      </c>
      <c r="H766" s="2">
        <v>29</v>
      </c>
      <c r="I766" s="2" t="s">
        <v>424</v>
      </c>
      <c r="J766" s="2" t="s">
        <v>101</v>
      </c>
      <c r="K766" s="2" t="s">
        <v>102</v>
      </c>
      <c r="L766" s="2" t="s">
        <v>414</v>
      </c>
      <c r="M766" s="2">
        <v>3071</v>
      </c>
      <c r="N766" s="2" t="s">
        <v>3228</v>
      </c>
      <c r="O766" s="2" t="s">
        <v>70</v>
      </c>
      <c r="P766" s="2" t="s">
        <v>105</v>
      </c>
      <c r="Q766" s="2" t="s">
        <v>3229</v>
      </c>
      <c r="R766" s="2">
        <v>95127</v>
      </c>
      <c r="S766" s="2">
        <v>5</v>
      </c>
      <c r="T766" s="2" t="s">
        <v>427</v>
      </c>
      <c r="U766" s="2">
        <v>37.378833800000002</v>
      </c>
      <c r="V766" s="2">
        <v>-121.8303375</v>
      </c>
      <c r="W766" s="2" t="s">
        <v>528</v>
      </c>
      <c r="X766" s="2" t="s">
        <v>3230</v>
      </c>
      <c r="Y766" s="2" t="s">
        <v>536</v>
      </c>
      <c r="Z766" s="2">
        <v>3071</v>
      </c>
      <c r="AA766" s="3">
        <v>43046.850694444445</v>
      </c>
      <c r="AB766" s="2">
        <v>63220</v>
      </c>
      <c r="AC766" s="2">
        <v>627</v>
      </c>
      <c r="AD766" s="2">
        <v>8</v>
      </c>
      <c r="AE766" s="2">
        <v>0.05</v>
      </c>
      <c r="AF766" s="2" t="str" cm="1">
        <f t="array" ref="AF766">_xlfn.IFS(AE766=0, "No Discount ", AE766&lt;=0.08,"Low Discount", AE766&lt;=0.16,"Medium Discount", AE766&gt;0.16, "High Discount")</f>
        <v>Low Discount</v>
      </c>
      <c r="AG766" s="2">
        <v>158064</v>
      </c>
      <c r="AH766" s="2">
        <v>39.99</v>
      </c>
      <c r="AI766" s="2">
        <v>0.19</v>
      </c>
      <c r="AJ766" s="2" t="str" cm="1">
        <f t="array" ref="AJ766">_xlfn.IFS(AI766&lt;=0, "No Profit", AI766&lt;=0.16,"Low Profit",AI766&lt;=0.32,"Medium Profit",AI766&gt;0.32,"High Profit")</f>
        <v>Medium Profit</v>
      </c>
      <c r="AK766" s="2">
        <v>4</v>
      </c>
      <c r="AL766" s="2">
        <v>159.96</v>
      </c>
      <c r="AM766" s="2">
        <v>151.96</v>
      </c>
      <c r="AN766" s="2">
        <v>28.87</v>
      </c>
      <c r="AO766" s="2" t="s">
        <v>531</v>
      </c>
      <c r="AP766" s="2" t="s">
        <v>579</v>
      </c>
      <c r="AQ766" s="2" t="s">
        <v>137</v>
      </c>
      <c r="AR766" s="2" t="s">
        <v>81</v>
      </c>
      <c r="AS766" s="2">
        <v>627</v>
      </c>
      <c r="AT766" s="2">
        <v>29</v>
      </c>
      <c r="AU766" s="2" t="s">
        <v>432</v>
      </c>
      <c r="AV766" s="2">
        <v>39.99</v>
      </c>
      <c r="AW766" s="2">
        <v>0</v>
      </c>
      <c r="AX766" s="2" t="s">
        <v>3231</v>
      </c>
      <c r="AY766" s="2" t="s">
        <v>83</v>
      </c>
      <c r="AZ766" s="4">
        <v>43046</v>
      </c>
      <c r="BA766" s="5">
        <v>0.85069444444444442</v>
      </c>
      <c r="BB766" s="2">
        <v>2017</v>
      </c>
      <c r="BC766" s="2" t="s">
        <v>455</v>
      </c>
      <c r="BD766" s="2">
        <v>7</v>
      </c>
      <c r="BE766" s="4">
        <v>42933</v>
      </c>
      <c r="BF766" s="5">
        <v>0.85069444444444442</v>
      </c>
      <c r="BG766" s="2" t="str" cm="1">
        <f t="array" ref="BG766">_xlfn.IFS(BF766&lt;TIMEVALUE("06:00"),"Night", BF766&gt;=TIMEVALUE("21:00"),"Night",BF766&gt;=TIMEVALUE("17:00"),"Evening",BF766&gt;=TIMEVALUE("12:00"),"Afternoon", BF766&gt;=TIMEVALUE("06:00"),"Morning")</f>
        <v>Evening</v>
      </c>
      <c r="BH766" s="2">
        <v>2017</v>
      </c>
      <c r="BI766" s="2" t="s">
        <v>533</v>
      </c>
      <c r="BJ766" s="2">
        <v>17</v>
      </c>
    </row>
    <row r="767" spans="1:62" x14ac:dyDescent="0.3">
      <c r="A767" s="2" t="s">
        <v>86</v>
      </c>
      <c r="B767" s="2">
        <v>3</v>
      </c>
      <c r="C767" s="2">
        <v>4</v>
      </c>
      <c r="D767" s="2">
        <v>75.599999999999994</v>
      </c>
      <c r="E767" s="2">
        <v>189</v>
      </c>
      <c r="F767" s="2" t="s">
        <v>129</v>
      </c>
      <c r="G767" s="2" t="s">
        <v>64</v>
      </c>
      <c r="H767" s="2">
        <v>24</v>
      </c>
      <c r="I767" s="2" t="s">
        <v>435</v>
      </c>
      <c r="J767" s="2" t="s">
        <v>1401</v>
      </c>
      <c r="K767" s="2" t="s">
        <v>102</v>
      </c>
      <c r="L767" s="2" t="s">
        <v>2475</v>
      </c>
      <c r="M767" s="2">
        <v>11065</v>
      </c>
      <c r="N767" s="2" t="s">
        <v>425</v>
      </c>
      <c r="O767" s="2" t="s">
        <v>70</v>
      </c>
      <c r="P767" s="2" t="s">
        <v>133</v>
      </c>
      <c r="Q767" s="2" t="s">
        <v>1007</v>
      </c>
      <c r="R767" s="2">
        <v>10031</v>
      </c>
      <c r="S767" s="2">
        <v>5</v>
      </c>
      <c r="T767" s="2" t="s">
        <v>427</v>
      </c>
      <c r="U767" s="2">
        <v>40.824760400000002</v>
      </c>
      <c r="V767" s="2">
        <v>-73.949920700000007</v>
      </c>
      <c r="W767" s="2" t="s">
        <v>528</v>
      </c>
      <c r="X767" s="2" t="s">
        <v>3232</v>
      </c>
      <c r="Y767" s="2" t="s">
        <v>549</v>
      </c>
      <c r="Z767" s="2">
        <v>11065</v>
      </c>
      <c r="AA767" s="2" t="s">
        <v>3233</v>
      </c>
      <c r="AB767" s="2">
        <v>19642</v>
      </c>
      <c r="AC767" s="2">
        <v>502</v>
      </c>
      <c r="AD767" s="2">
        <v>11</v>
      </c>
      <c r="AE767" s="2">
        <v>0.06</v>
      </c>
      <c r="AF767" s="2" t="str" cm="1">
        <f t="array" ref="AF767">_xlfn.IFS(AE767=0, "No Discount ", AE767&lt;=0.08,"Low Discount", AE767&lt;=0.16,"Medium Discount", AE767&gt;0.16, "High Discount")</f>
        <v>Low Discount</v>
      </c>
      <c r="AG767" s="2">
        <v>49112</v>
      </c>
      <c r="AH767" s="2">
        <v>50</v>
      </c>
      <c r="AI767" s="2">
        <v>0.4</v>
      </c>
      <c r="AJ767" s="2" t="str" cm="1">
        <f t="array" ref="AJ767">_xlfn.IFS(AI767&lt;=0, "No Profit", AI767&lt;=0.16,"Low Profit",AI767&lt;=0.32,"Medium Profit",AI767&gt;0.32,"High Profit")</f>
        <v>High Profit</v>
      </c>
      <c r="AK767" s="2">
        <v>4</v>
      </c>
      <c r="AL767" s="2">
        <v>200</v>
      </c>
      <c r="AM767" s="2">
        <v>189</v>
      </c>
      <c r="AN767" s="2">
        <v>75.599999999999994</v>
      </c>
      <c r="AO767" s="2" t="s">
        <v>531</v>
      </c>
      <c r="AP767" s="2" t="s">
        <v>3232</v>
      </c>
      <c r="AQ767" s="2" t="s">
        <v>137</v>
      </c>
      <c r="AR767" s="2" t="s">
        <v>81</v>
      </c>
      <c r="AS767" s="2">
        <v>502</v>
      </c>
      <c r="AT767" s="2">
        <v>24</v>
      </c>
      <c r="AU767" s="2" t="s">
        <v>442</v>
      </c>
      <c r="AV767" s="2">
        <v>50</v>
      </c>
      <c r="AW767" s="2">
        <v>0</v>
      </c>
      <c r="AX767" s="2" t="s">
        <v>3234</v>
      </c>
      <c r="AY767" s="2" t="s">
        <v>83</v>
      </c>
      <c r="AZ767" s="4">
        <v>42291</v>
      </c>
      <c r="BA767" s="5">
        <v>0.71319444444444446</v>
      </c>
      <c r="BB767" s="2">
        <v>2015</v>
      </c>
      <c r="BC767" s="2" t="s">
        <v>434</v>
      </c>
      <c r="BD767" s="2">
        <v>14</v>
      </c>
      <c r="BE767" s="4">
        <v>42294</v>
      </c>
      <c r="BF767" s="5">
        <v>0.71319444444444446</v>
      </c>
      <c r="BG767" s="2" t="str" cm="1">
        <f t="array" ref="BG767">_xlfn.IFS(BF767&lt;TIMEVALUE("06:00"),"Night", BF767&gt;=TIMEVALUE("21:00"),"Night",BF767&gt;=TIMEVALUE("17:00"),"Evening",BF767&gt;=TIMEVALUE("12:00"),"Afternoon", BF767&gt;=TIMEVALUE("06:00"),"Morning")</f>
        <v>Evening</v>
      </c>
      <c r="BH767" s="2">
        <v>2015</v>
      </c>
      <c r="BI767" s="2" t="s">
        <v>434</v>
      </c>
      <c r="BJ767" s="2">
        <v>17</v>
      </c>
    </row>
    <row r="768" spans="1:62" x14ac:dyDescent="0.3">
      <c r="A768" s="2" t="s">
        <v>86</v>
      </c>
      <c r="B768" s="2">
        <v>5</v>
      </c>
      <c r="C768" s="2">
        <v>4</v>
      </c>
      <c r="D768" s="2">
        <v>85.56</v>
      </c>
      <c r="E768" s="2">
        <v>186</v>
      </c>
      <c r="F768" s="2" t="s">
        <v>129</v>
      </c>
      <c r="G768" s="2" t="s">
        <v>64</v>
      </c>
      <c r="H768" s="2">
        <v>24</v>
      </c>
      <c r="I768" s="2" t="s">
        <v>435</v>
      </c>
      <c r="J768" s="2" t="s">
        <v>1161</v>
      </c>
      <c r="K768" s="2" t="s">
        <v>102</v>
      </c>
      <c r="L768" s="2" t="s">
        <v>594</v>
      </c>
      <c r="M768" s="2">
        <v>394</v>
      </c>
      <c r="N768" s="2" t="s">
        <v>425</v>
      </c>
      <c r="O768" s="2" t="s">
        <v>70</v>
      </c>
      <c r="P768" s="2" t="s">
        <v>1117</v>
      </c>
      <c r="Q768" s="2" t="s">
        <v>3235</v>
      </c>
      <c r="R768" s="2">
        <v>44107</v>
      </c>
      <c r="S768" s="2">
        <v>5</v>
      </c>
      <c r="T768" s="2" t="s">
        <v>427</v>
      </c>
      <c r="U768" s="2">
        <v>41.482868199999999</v>
      </c>
      <c r="V768" s="2">
        <v>-81.778266900000006</v>
      </c>
      <c r="W768" s="2" t="s">
        <v>528</v>
      </c>
      <c r="X768" s="2" t="s">
        <v>3236</v>
      </c>
      <c r="Y768" s="2" t="s">
        <v>2791</v>
      </c>
      <c r="Z768" s="2">
        <v>394</v>
      </c>
      <c r="AA768" s="2" t="s">
        <v>3237</v>
      </c>
      <c r="AB768" s="2">
        <v>65439</v>
      </c>
      <c r="AC768" s="2">
        <v>502</v>
      </c>
      <c r="AD768" s="2">
        <v>14</v>
      </c>
      <c r="AE768" s="2">
        <v>7.0000000000000007E-2</v>
      </c>
      <c r="AF768" s="2" t="str" cm="1">
        <f t="array" ref="AF768">_xlfn.IFS(AE768=0, "No Discount ", AE768&lt;=0.08,"Low Discount", AE768&lt;=0.16,"Medium Discount", AE768&gt;0.16, "High Discount")</f>
        <v>Low Discount</v>
      </c>
      <c r="AG768" s="2">
        <v>163539</v>
      </c>
      <c r="AH768" s="2">
        <v>50</v>
      </c>
      <c r="AI768" s="2">
        <v>0.46</v>
      </c>
      <c r="AJ768" s="2" t="str" cm="1">
        <f t="array" ref="AJ768">_xlfn.IFS(AI768&lt;=0, "No Profit", AI768&lt;=0.16,"Low Profit",AI768&lt;=0.32,"Medium Profit",AI768&gt;0.32,"High Profit")</f>
        <v>High Profit</v>
      </c>
      <c r="AK768" s="2">
        <v>4</v>
      </c>
      <c r="AL768" s="2">
        <v>200</v>
      </c>
      <c r="AM768" s="2">
        <v>186</v>
      </c>
      <c r="AN768" s="2">
        <v>85.56</v>
      </c>
      <c r="AO768" s="2" t="s">
        <v>531</v>
      </c>
      <c r="AP768" s="2" t="s">
        <v>3238</v>
      </c>
      <c r="AQ768" s="2" t="s">
        <v>137</v>
      </c>
      <c r="AR768" s="2" t="s">
        <v>81</v>
      </c>
      <c r="AS768" s="2">
        <v>502</v>
      </c>
      <c r="AT768" s="2">
        <v>24</v>
      </c>
      <c r="AU768" s="2" t="s">
        <v>442</v>
      </c>
      <c r="AV768" s="2">
        <v>50</v>
      </c>
      <c r="AW768" s="2">
        <v>0</v>
      </c>
      <c r="AX768" s="2" t="s">
        <v>3239</v>
      </c>
      <c r="AY768" s="2" t="s">
        <v>83</v>
      </c>
      <c r="AZ768" s="4">
        <v>42960</v>
      </c>
      <c r="BA768" s="5">
        <v>0.24305555555555555</v>
      </c>
      <c r="BB768" s="2">
        <v>2017</v>
      </c>
      <c r="BC768" s="2" t="s">
        <v>482</v>
      </c>
      <c r="BD768" s="2">
        <v>13</v>
      </c>
      <c r="BE768" s="4">
        <v>42965</v>
      </c>
      <c r="BF768" s="5">
        <v>0.24305555555555555</v>
      </c>
      <c r="BG768" s="2" t="str" cm="1">
        <f t="array" ref="BG768">_xlfn.IFS(BF768&lt;TIMEVALUE("06:00"),"Night", BF768&gt;=TIMEVALUE("21:00"),"Night",BF768&gt;=TIMEVALUE("17:00"),"Evening",BF768&gt;=TIMEVALUE("12:00"),"Afternoon", BF768&gt;=TIMEVALUE("06:00"),"Morning")</f>
        <v>Night</v>
      </c>
      <c r="BH768" s="2">
        <v>2017</v>
      </c>
      <c r="BI768" s="2" t="s">
        <v>482</v>
      </c>
      <c r="BJ768" s="2">
        <v>18</v>
      </c>
    </row>
    <row r="769" spans="1:62" x14ac:dyDescent="0.3">
      <c r="A769" s="2" t="s">
        <v>86</v>
      </c>
      <c r="B769" s="2">
        <v>6</v>
      </c>
      <c r="C769" s="2">
        <v>4</v>
      </c>
      <c r="D769" s="2">
        <v>59.4</v>
      </c>
      <c r="E769" s="2">
        <v>180</v>
      </c>
      <c r="F769" s="2" t="s">
        <v>129</v>
      </c>
      <c r="G769" s="2" t="s">
        <v>64</v>
      </c>
      <c r="H769" s="2">
        <v>24</v>
      </c>
      <c r="I769" s="2" t="s">
        <v>435</v>
      </c>
      <c r="J769" s="2" t="s">
        <v>1460</v>
      </c>
      <c r="K769" s="2" t="s">
        <v>102</v>
      </c>
      <c r="L769" s="2" t="s">
        <v>1607</v>
      </c>
      <c r="M769" s="2">
        <v>9906</v>
      </c>
      <c r="N769" s="2" t="s">
        <v>425</v>
      </c>
      <c r="O769" s="2" t="s">
        <v>70</v>
      </c>
      <c r="P769" s="2" t="s">
        <v>234</v>
      </c>
      <c r="Q769" s="2" t="s">
        <v>3224</v>
      </c>
      <c r="R769" s="2">
        <v>60614</v>
      </c>
      <c r="S769" s="2">
        <v>5</v>
      </c>
      <c r="T769" s="2" t="s">
        <v>427</v>
      </c>
      <c r="U769" s="2">
        <v>41.895355199999997</v>
      </c>
      <c r="V769" s="2">
        <v>-87.725761399999996</v>
      </c>
      <c r="W769" s="2" t="s">
        <v>528</v>
      </c>
      <c r="X769" s="2" t="s">
        <v>3225</v>
      </c>
      <c r="Y769" s="2" t="s">
        <v>557</v>
      </c>
      <c r="Z769" s="2">
        <v>9906</v>
      </c>
      <c r="AA769" s="3">
        <v>42893.304166666669</v>
      </c>
      <c r="AB769" s="2">
        <v>62840</v>
      </c>
      <c r="AC769" s="2">
        <v>502</v>
      </c>
      <c r="AD769" s="2">
        <v>20</v>
      </c>
      <c r="AE769" s="2">
        <v>0.1</v>
      </c>
      <c r="AF769" s="2" t="str" cm="1">
        <f t="array" ref="AF769">_xlfn.IFS(AE769=0, "No Discount ", AE769&lt;=0.08,"Low Discount", AE769&lt;=0.16,"Medium Discount", AE769&gt;0.16, "High Discount")</f>
        <v>Medium Discount</v>
      </c>
      <c r="AG769" s="2">
        <v>157124</v>
      </c>
      <c r="AH769" s="2">
        <v>50</v>
      </c>
      <c r="AI769" s="2">
        <v>0.33</v>
      </c>
      <c r="AJ769" s="2" t="str" cm="1">
        <f t="array" ref="AJ769">_xlfn.IFS(AI769&lt;=0, "No Profit", AI769&lt;=0.16,"Low Profit",AI769&lt;=0.32,"Medium Profit",AI769&gt;0.32,"High Profit")</f>
        <v>High Profit</v>
      </c>
      <c r="AK769" s="2">
        <v>4</v>
      </c>
      <c r="AL769" s="2">
        <v>200</v>
      </c>
      <c r="AM769" s="2">
        <v>180</v>
      </c>
      <c r="AN769" s="2">
        <v>59.4</v>
      </c>
      <c r="AO769" s="2" t="s">
        <v>558</v>
      </c>
      <c r="AP769" s="2" t="s">
        <v>559</v>
      </c>
      <c r="AQ769" s="2" t="s">
        <v>137</v>
      </c>
      <c r="AR769" s="2" t="s">
        <v>81</v>
      </c>
      <c r="AS769" s="2">
        <v>502</v>
      </c>
      <c r="AT769" s="2">
        <v>24</v>
      </c>
      <c r="AU769" s="2" t="s">
        <v>442</v>
      </c>
      <c r="AV769" s="2">
        <v>50</v>
      </c>
      <c r="AW769" s="2">
        <v>0</v>
      </c>
      <c r="AX769" s="3">
        <v>43076.304166666669</v>
      </c>
      <c r="AY769" s="2" t="s">
        <v>83</v>
      </c>
      <c r="AZ769" s="4">
        <v>42893</v>
      </c>
      <c r="BA769" s="5">
        <v>0.30416666666666664</v>
      </c>
      <c r="BB769" s="2">
        <v>2017</v>
      </c>
      <c r="BC769" s="2" t="s">
        <v>474</v>
      </c>
      <c r="BD769" s="2">
        <v>7</v>
      </c>
      <c r="BE769" s="4">
        <v>43076</v>
      </c>
      <c r="BF769" s="5">
        <v>0.30416666666666664</v>
      </c>
      <c r="BG769" s="2" t="str" cm="1">
        <f t="array" ref="BG769">_xlfn.IFS(BF769&lt;TIMEVALUE("06:00"),"Night", BF769&gt;=TIMEVALUE("21:00"),"Night",BF769&gt;=TIMEVALUE("17:00"),"Evening",BF769&gt;=TIMEVALUE("12:00"),"Afternoon", BF769&gt;=TIMEVALUE("06:00"),"Morning")</f>
        <v>Morning</v>
      </c>
      <c r="BH769" s="2">
        <v>2017</v>
      </c>
      <c r="BI769" s="2" t="s">
        <v>357</v>
      </c>
      <c r="BJ769" s="2">
        <v>7</v>
      </c>
    </row>
    <row r="770" spans="1:62" x14ac:dyDescent="0.3">
      <c r="A770" s="2" t="s">
        <v>86</v>
      </c>
      <c r="B770" s="2">
        <v>4</v>
      </c>
      <c r="C770" s="2">
        <v>4</v>
      </c>
      <c r="D770" s="2">
        <v>70.2</v>
      </c>
      <c r="E770" s="2">
        <v>180</v>
      </c>
      <c r="F770" s="2" t="s">
        <v>129</v>
      </c>
      <c r="G770" s="2" t="s">
        <v>64</v>
      </c>
      <c r="H770" s="2">
        <v>24</v>
      </c>
      <c r="I770" s="2" t="s">
        <v>435</v>
      </c>
      <c r="J770" s="2" t="s">
        <v>1889</v>
      </c>
      <c r="K770" s="2" t="s">
        <v>102</v>
      </c>
      <c r="L770" s="2" t="s">
        <v>1909</v>
      </c>
      <c r="M770" s="2">
        <v>5707</v>
      </c>
      <c r="N770" s="2" t="s">
        <v>3240</v>
      </c>
      <c r="O770" s="2" t="s">
        <v>70</v>
      </c>
      <c r="P770" s="2" t="s">
        <v>1117</v>
      </c>
      <c r="Q770" s="2" t="s">
        <v>3241</v>
      </c>
      <c r="R770" s="2">
        <v>45011</v>
      </c>
      <c r="S770" s="2">
        <v>5</v>
      </c>
      <c r="T770" s="2" t="s">
        <v>427</v>
      </c>
      <c r="U770" s="2">
        <v>39.398540500000003</v>
      </c>
      <c r="V770" s="2">
        <v>-84.556617700000004</v>
      </c>
      <c r="W770" s="2" t="s">
        <v>528</v>
      </c>
      <c r="X770" s="2" t="s">
        <v>3242</v>
      </c>
      <c r="Y770" s="2" t="s">
        <v>557</v>
      </c>
      <c r="Z770" s="2">
        <v>5707</v>
      </c>
      <c r="AA770" s="3">
        <v>42317.444444444445</v>
      </c>
      <c r="AB770" s="2">
        <v>17363</v>
      </c>
      <c r="AC770" s="2">
        <v>502</v>
      </c>
      <c r="AD770" s="2">
        <v>20</v>
      </c>
      <c r="AE770" s="2">
        <v>0.1</v>
      </c>
      <c r="AF770" s="2" t="str" cm="1">
        <f t="array" ref="AF770">_xlfn.IFS(AE770=0, "No Discount ", AE770&lt;=0.08,"Low Discount", AE770&lt;=0.16,"Medium Discount", AE770&gt;0.16, "High Discount")</f>
        <v>Medium Discount</v>
      </c>
      <c r="AG770" s="2">
        <v>43391</v>
      </c>
      <c r="AH770" s="2">
        <v>50</v>
      </c>
      <c r="AI770" s="2">
        <v>0.39</v>
      </c>
      <c r="AJ770" s="2" t="str" cm="1">
        <f t="array" ref="AJ770">_xlfn.IFS(AI770&lt;=0, "No Profit", AI770&lt;=0.16,"Low Profit",AI770&lt;=0.32,"Medium Profit",AI770&gt;0.32,"High Profit")</f>
        <v>High Profit</v>
      </c>
      <c r="AK770" s="2">
        <v>4</v>
      </c>
      <c r="AL770" s="2">
        <v>200</v>
      </c>
      <c r="AM770" s="2">
        <v>180</v>
      </c>
      <c r="AN770" s="2">
        <v>70.2</v>
      </c>
      <c r="AO770" s="2" t="s">
        <v>558</v>
      </c>
      <c r="AP770" s="2" t="s">
        <v>559</v>
      </c>
      <c r="AQ770" s="2" t="s">
        <v>137</v>
      </c>
      <c r="AR770" s="2" t="s">
        <v>81</v>
      </c>
      <c r="AS770" s="2">
        <v>502</v>
      </c>
      <c r="AT770" s="2">
        <v>24</v>
      </c>
      <c r="AU770" s="2" t="s">
        <v>442</v>
      </c>
      <c r="AV770" s="2">
        <v>50</v>
      </c>
      <c r="AW770" s="2">
        <v>0</v>
      </c>
      <c r="AX770" s="2" t="s">
        <v>3243</v>
      </c>
      <c r="AY770" s="2" t="s">
        <v>83</v>
      </c>
      <c r="AZ770" s="4">
        <v>42317</v>
      </c>
      <c r="BA770" s="5">
        <v>0.44444444444444442</v>
      </c>
      <c r="BB770" s="2">
        <v>2015</v>
      </c>
      <c r="BC770" s="2" t="s">
        <v>455</v>
      </c>
      <c r="BD770" s="2">
        <v>9</v>
      </c>
      <c r="BE770" s="4">
        <v>42262</v>
      </c>
      <c r="BF770" s="5">
        <v>0.44444444444444442</v>
      </c>
      <c r="BG770" s="2" t="str" cm="1">
        <f t="array" ref="BG770">_xlfn.IFS(BF770&lt;TIMEVALUE("06:00"),"Night", BF770&gt;=TIMEVALUE("21:00"),"Night",BF770&gt;=TIMEVALUE("17:00"),"Evening",BF770&gt;=TIMEVALUE("12:00"),"Afternoon", BF770&gt;=TIMEVALUE("06:00"),"Morning")</f>
        <v>Morning</v>
      </c>
      <c r="BH770" s="2">
        <v>2015</v>
      </c>
      <c r="BI770" s="2" t="s">
        <v>552</v>
      </c>
      <c r="BJ770" s="2">
        <v>15</v>
      </c>
    </row>
    <row r="771" spans="1:62" x14ac:dyDescent="0.3">
      <c r="A771" s="2" t="s">
        <v>86</v>
      </c>
      <c r="B771" s="2">
        <v>4</v>
      </c>
      <c r="C771" s="2">
        <v>4</v>
      </c>
      <c r="D771" s="2">
        <v>38.869999999999997</v>
      </c>
      <c r="E771" s="2">
        <v>143.96</v>
      </c>
      <c r="F771" s="2" t="s">
        <v>129</v>
      </c>
      <c r="G771" s="2" t="s">
        <v>64</v>
      </c>
      <c r="H771" s="2">
        <v>29</v>
      </c>
      <c r="I771" s="2" t="s">
        <v>424</v>
      </c>
      <c r="J771" s="2" t="s">
        <v>3203</v>
      </c>
      <c r="K771" s="2" t="s">
        <v>102</v>
      </c>
      <c r="L771" s="2" t="s">
        <v>414</v>
      </c>
      <c r="M771" s="2">
        <v>10549</v>
      </c>
      <c r="N771" s="2" t="s">
        <v>3204</v>
      </c>
      <c r="O771" s="2" t="s">
        <v>70</v>
      </c>
      <c r="P771" s="2" t="s">
        <v>1102</v>
      </c>
      <c r="Q771" s="2" t="s">
        <v>3205</v>
      </c>
      <c r="R771" s="2">
        <v>21206</v>
      </c>
      <c r="S771" s="2">
        <v>5</v>
      </c>
      <c r="T771" s="2" t="s">
        <v>427</v>
      </c>
      <c r="U771" s="2">
        <v>39.137855500000001</v>
      </c>
      <c r="V771" s="2">
        <v>-76.815872200000001</v>
      </c>
      <c r="W771" s="2" t="s">
        <v>528</v>
      </c>
      <c r="X771" s="2" t="s">
        <v>3206</v>
      </c>
      <c r="Y771" s="2" t="s">
        <v>904</v>
      </c>
      <c r="Z771" s="2">
        <v>10549</v>
      </c>
      <c r="AA771" s="2" t="s">
        <v>3207</v>
      </c>
      <c r="AB771" s="2">
        <v>13298</v>
      </c>
      <c r="AC771" s="2">
        <v>627</v>
      </c>
      <c r="AD771" s="2">
        <v>16</v>
      </c>
      <c r="AE771" s="2">
        <v>0.1</v>
      </c>
      <c r="AF771" s="2" t="str" cm="1">
        <f t="array" ref="AF771">_xlfn.IFS(AE771=0, "No Discount ", AE771&lt;=0.08,"Low Discount", AE771&lt;=0.16,"Medium Discount", AE771&gt;0.16, "High Discount")</f>
        <v>Medium Discount</v>
      </c>
      <c r="AG771" s="2">
        <v>33272</v>
      </c>
      <c r="AH771" s="2">
        <v>39.99</v>
      </c>
      <c r="AI771" s="2">
        <v>0.27</v>
      </c>
      <c r="AJ771" s="2" t="str" cm="1">
        <f t="array" ref="AJ771">_xlfn.IFS(AI771&lt;=0, "No Profit", AI771&lt;=0.16,"Low Profit",AI771&lt;=0.32,"Medium Profit",AI771&gt;0.32,"High Profit")</f>
        <v>Medium Profit</v>
      </c>
      <c r="AK771" s="2">
        <v>4</v>
      </c>
      <c r="AL771" s="2">
        <v>159.96</v>
      </c>
      <c r="AM771" s="2">
        <v>143.96</v>
      </c>
      <c r="AN771" s="2">
        <v>38.869999999999997</v>
      </c>
      <c r="AO771" s="2" t="s">
        <v>905</v>
      </c>
      <c r="AP771" s="2" t="s">
        <v>2786</v>
      </c>
      <c r="AQ771" s="2" t="s">
        <v>137</v>
      </c>
      <c r="AR771" s="2" t="s">
        <v>81</v>
      </c>
      <c r="AS771" s="2">
        <v>627</v>
      </c>
      <c r="AT771" s="2">
        <v>29</v>
      </c>
      <c r="AU771" s="2" t="s">
        <v>432</v>
      </c>
      <c r="AV771" s="2">
        <v>39.99</v>
      </c>
      <c r="AW771" s="2">
        <v>0</v>
      </c>
      <c r="AX771" s="2" t="s">
        <v>3208</v>
      </c>
      <c r="AY771" s="2" t="s">
        <v>83</v>
      </c>
      <c r="AZ771" s="4">
        <v>42199</v>
      </c>
      <c r="BA771" s="5">
        <v>0.10486111111111111</v>
      </c>
      <c r="BB771" s="2">
        <v>2015</v>
      </c>
      <c r="BC771" s="2" t="s">
        <v>533</v>
      </c>
      <c r="BD771" s="2">
        <v>14</v>
      </c>
      <c r="BE771" s="4">
        <v>42203</v>
      </c>
      <c r="BF771" s="5">
        <v>0.10486111111111111</v>
      </c>
      <c r="BG771" s="2" t="str" cm="1">
        <f t="array" ref="BG771">_xlfn.IFS(BF771&lt;TIMEVALUE("06:00"),"Night", BF771&gt;=TIMEVALUE("21:00"),"Night",BF771&gt;=TIMEVALUE("17:00"),"Evening",BF771&gt;=TIMEVALUE("12:00"),"Afternoon", BF771&gt;=TIMEVALUE("06:00"),"Morning")</f>
        <v>Night</v>
      </c>
      <c r="BH771" s="2">
        <v>2015</v>
      </c>
      <c r="BI771" s="2" t="s">
        <v>533</v>
      </c>
      <c r="BJ771" s="2">
        <v>18</v>
      </c>
    </row>
    <row r="772" spans="1:62" x14ac:dyDescent="0.3">
      <c r="A772" s="2" t="s">
        <v>86</v>
      </c>
      <c r="B772" s="2">
        <v>3</v>
      </c>
      <c r="C772" s="2">
        <v>4</v>
      </c>
      <c r="D772" s="2">
        <v>43.16</v>
      </c>
      <c r="E772" s="2">
        <v>166</v>
      </c>
      <c r="F772" s="2" t="s">
        <v>129</v>
      </c>
      <c r="G772" s="2" t="s">
        <v>64</v>
      </c>
      <c r="H772" s="2">
        <v>24</v>
      </c>
      <c r="I772" s="2" t="s">
        <v>435</v>
      </c>
      <c r="J772" s="2" t="s">
        <v>3244</v>
      </c>
      <c r="K772" s="2" t="s">
        <v>102</v>
      </c>
      <c r="L772" s="2" t="s">
        <v>1364</v>
      </c>
      <c r="M772" s="2">
        <v>2682</v>
      </c>
      <c r="N772" s="2" t="s">
        <v>2769</v>
      </c>
      <c r="O772" s="2" t="s">
        <v>70</v>
      </c>
      <c r="P772" s="2" t="s">
        <v>1365</v>
      </c>
      <c r="Q772" s="2" t="s">
        <v>3245</v>
      </c>
      <c r="R772" s="2">
        <v>97470</v>
      </c>
      <c r="S772" s="2">
        <v>5</v>
      </c>
      <c r="T772" s="2" t="s">
        <v>427</v>
      </c>
      <c r="U772" s="2">
        <v>43.2055626</v>
      </c>
      <c r="V772" s="2">
        <v>-123.3465195</v>
      </c>
      <c r="W772" s="2" t="s">
        <v>528</v>
      </c>
      <c r="X772" s="2" t="s">
        <v>1039</v>
      </c>
      <c r="Y772" s="2" t="s">
        <v>904</v>
      </c>
      <c r="Z772" s="2">
        <v>2682</v>
      </c>
      <c r="AA772" s="2" t="s">
        <v>3246</v>
      </c>
      <c r="AB772" s="2">
        <v>18237</v>
      </c>
      <c r="AC772" s="2">
        <v>502</v>
      </c>
      <c r="AD772" s="2">
        <v>34</v>
      </c>
      <c r="AE772" s="2">
        <v>0.17</v>
      </c>
      <c r="AF772" s="2" t="str" cm="1">
        <f t="array" ref="AF772">_xlfn.IFS(AE772=0, "No Discount ", AE772&lt;=0.08,"Low Discount", AE772&lt;=0.16,"Medium Discount", AE772&gt;0.16, "High Discount")</f>
        <v>High Discount</v>
      </c>
      <c r="AG772" s="2">
        <v>45583</v>
      </c>
      <c r="AH772" s="2">
        <v>50</v>
      </c>
      <c r="AI772" s="2">
        <v>0.26</v>
      </c>
      <c r="AJ772" s="2" t="str" cm="1">
        <f t="array" ref="AJ772">_xlfn.IFS(AI772&lt;=0, "No Profit", AI772&lt;=0.16,"Low Profit",AI772&lt;=0.32,"Medium Profit",AI772&gt;0.32,"High Profit")</f>
        <v>Medium Profit</v>
      </c>
      <c r="AK772" s="2">
        <v>4</v>
      </c>
      <c r="AL772" s="2">
        <v>200</v>
      </c>
      <c r="AM772" s="2">
        <v>166</v>
      </c>
      <c r="AN772" s="2">
        <v>43.16</v>
      </c>
      <c r="AO772" s="2" t="s">
        <v>905</v>
      </c>
      <c r="AP772" s="2" t="s">
        <v>969</v>
      </c>
      <c r="AQ772" s="2" t="s">
        <v>137</v>
      </c>
      <c r="AR772" s="2" t="s">
        <v>81</v>
      </c>
      <c r="AS772" s="2">
        <v>502</v>
      </c>
      <c r="AT772" s="2">
        <v>24</v>
      </c>
      <c r="AU772" s="2" t="s">
        <v>442</v>
      </c>
      <c r="AV772" s="2">
        <v>50</v>
      </c>
      <c r="AW772" s="2">
        <v>0</v>
      </c>
      <c r="AX772" s="2" t="s">
        <v>3247</v>
      </c>
      <c r="AY772" s="2" t="s">
        <v>83</v>
      </c>
      <c r="AZ772" s="4">
        <v>42271</v>
      </c>
      <c r="BA772" s="5">
        <v>0.20277777777777778</v>
      </c>
      <c r="BB772" s="2">
        <v>2015</v>
      </c>
      <c r="BC772" s="2" t="s">
        <v>552</v>
      </c>
      <c r="BD772" s="2">
        <v>24</v>
      </c>
      <c r="BE772" s="4">
        <v>42274</v>
      </c>
      <c r="BF772" s="5">
        <v>0.20277777777777778</v>
      </c>
      <c r="BG772" s="2" t="str" cm="1">
        <f t="array" ref="BG772">_xlfn.IFS(BF772&lt;TIMEVALUE("06:00"),"Night", BF772&gt;=TIMEVALUE("21:00"),"Night",BF772&gt;=TIMEVALUE("17:00"),"Evening",BF772&gt;=TIMEVALUE("12:00"),"Afternoon", BF772&gt;=TIMEVALUE("06:00"),"Morning")</f>
        <v>Night</v>
      </c>
      <c r="BH772" s="2">
        <v>2015</v>
      </c>
      <c r="BI772" s="2" t="s">
        <v>552</v>
      </c>
      <c r="BJ772" s="2">
        <v>27</v>
      </c>
    </row>
    <row r="773" spans="1:62" x14ac:dyDescent="0.3">
      <c r="A773" s="2" t="s">
        <v>86</v>
      </c>
      <c r="B773" s="2">
        <v>4</v>
      </c>
      <c r="C773" s="2">
        <v>4</v>
      </c>
      <c r="D773" s="2">
        <v>41.06</v>
      </c>
      <c r="E773" s="2">
        <v>131.16999999999999</v>
      </c>
      <c r="F773" s="2" t="s">
        <v>129</v>
      </c>
      <c r="G773" s="2" t="s">
        <v>64</v>
      </c>
      <c r="H773" s="2">
        <v>29</v>
      </c>
      <c r="I773" s="2" t="s">
        <v>424</v>
      </c>
      <c r="J773" s="2" t="s">
        <v>3248</v>
      </c>
      <c r="K773" s="2" t="s">
        <v>102</v>
      </c>
      <c r="L773" s="2" t="s">
        <v>786</v>
      </c>
      <c r="M773" s="2">
        <v>467</v>
      </c>
      <c r="N773" s="2" t="s">
        <v>425</v>
      </c>
      <c r="O773" s="2" t="s">
        <v>70</v>
      </c>
      <c r="P773" s="2" t="s">
        <v>105</v>
      </c>
      <c r="Q773" s="2" t="s">
        <v>3249</v>
      </c>
      <c r="R773" s="2">
        <v>95350</v>
      </c>
      <c r="S773" s="2">
        <v>5</v>
      </c>
      <c r="T773" s="2" t="s">
        <v>427</v>
      </c>
      <c r="U773" s="2">
        <v>37.667087600000002</v>
      </c>
      <c r="V773" s="2">
        <v>-120.99588009999999</v>
      </c>
      <c r="W773" s="2" t="s">
        <v>528</v>
      </c>
      <c r="X773" s="2" t="s">
        <v>3250</v>
      </c>
      <c r="Y773" s="2" t="s">
        <v>2589</v>
      </c>
      <c r="Z773" s="2">
        <v>467</v>
      </c>
      <c r="AA773" s="3">
        <v>42834.417361111111</v>
      </c>
      <c r="AB773" s="2">
        <v>66958</v>
      </c>
      <c r="AC773" s="2">
        <v>627</v>
      </c>
      <c r="AD773" s="2">
        <v>28.79</v>
      </c>
      <c r="AE773" s="2">
        <v>0.18</v>
      </c>
      <c r="AF773" s="2" t="str" cm="1">
        <f t="array" ref="AF773">_xlfn.IFS(AE773=0, "No Discount ", AE773&lt;=0.08,"Low Discount", AE773&lt;=0.16,"Medium Discount", AE773&gt;0.16, "High Discount")</f>
        <v>High Discount</v>
      </c>
      <c r="AG773" s="2">
        <v>167369</v>
      </c>
      <c r="AH773" s="2">
        <v>39.99</v>
      </c>
      <c r="AI773" s="2">
        <v>0.31</v>
      </c>
      <c r="AJ773" s="2" t="str" cm="1">
        <f t="array" ref="AJ773">_xlfn.IFS(AI773&lt;=0, "No Profit", AI773&lt;=0.16,"Low Profit",AI773&lt;=0.32,"Medium Profit",AI773&gt;0.32,"High Profit")</f>
        <v>Medium Profit</v>
      </c>
      <c r="AK773" s="2">
        <v>4</v>
      </c>
      <c r="AL773" s="2">
        <v>159.96</v>
      </c>
      <c r="AM773" s="2">
        <v>131.16999999999999</v>
      </c>
      <c r="AN773" s="2">
        <v>41.06</v>
      </c>
      <c r="AO773" s="2" t="s">
        <v>558</v>
      </c>
      <c r="AP773" s="2" t="s">
        <v>2591</v>
      </c>
      <c r="AQ773" s="2" t="s">
        <v>137</v>
      </c>
      <c r="AR773" s="2" t="s">
        <v>81</v>
      </c>
      <c r="AS773" s="2">
        <v>627</v>
      </c>
      <c r="AT773" s="2">
        <v>29</v>
      </c>
      <c r="AU773" s="2" t="s">
        <v>432</v>
      </c>
      <c r="AV773" s="2">
        <v>39.99</v>
      </c>
      <c r="AW773" s="2">
        <v>0</v>
      </c>
      <c r="AX773" s="3">
        <v>42956.417361111111</v>
      </c>
      <c r="AY773" s="2" t="s">
        <v>83</v>
      </c>
      <c r="AZ773" s="4">
        <v>42834</v>
      </c>
      <c r="BA773" s="5">
        <v>0.41736111111111113</v>
      </c>
      <c r="BB773" s="2">
        <v>2017</v>
      </c>
      <c r="BC773" s="2" t="s">
        <v>487</v>
      </c>
      <c r="BD773" s="2">
        <v>9</v>
      </c>
      <c r="BE773" s="4">
        <v>42956</v>
      </c>
      <c r="BF773" s="5">
        <v>0.41736111111111113</v>
      </c>
      <c r="BG773" s="2" t="str" cm="1">
        <f t="array" ref="BG773">_xlfn.IFS(BF773&lt;TIMEVALUE("06:00"),"Night", BF773&gt;=TIMEVALUE("21:00"),"Night",BF773&gt;=TIMEVALUE("17:00"),"Evening",BF773&gt;=TIMEVALUE("12:00"),"Afternoon", BF773&gt;=TIMEVALUE("06:00"),"Morning")</f>
        <v>Morning</v>
      </c>
      <c r="BH773" s="2">
        <v>2017</v>
      </c>
      <c r="BI773" s="2" t="s">
        <v>482</v>
      </c>
      <c r="BJ773" s="2">
        <v>9</v>
      </c>
    </row>
    <row r="774" spans="1:62" x14ac:dyDescent="0.3">
      <c r="A774" s="2" t="s">
        <v>86</v>
      </c>
      <c r="B774" s="2">
        <v>5</v>
      </c>
      <c r="C774" s="2">
        <v>4</v>
      </c>
      <c r="D774" s="2">
        <v>77.08</v>
      </c>
      <c r="E774" s="2">
        <v>164</v>
      </c>
      <c r="F774" s="2" t="s">
        <v>129</v>
      </c>
      <c r="G774" s="2" t="s">
        <v>64</v>
      </c>
      <c r="H774" s="2">
        <v>24</v>
      </c>
      <c r="I774" s="2" t="s">
        <v>435</v>
      </c>
      <c r="J774" s="2" t="s">
        <v>1401</v>
      </c>
      <c r="K774" s="2" t="s">
        <v>102</v>
      </c>
      <c r="L774" s="2" t="s">
        <v>917</v>
      </c>
      <c r="M774" s="2">
        <v>10577</v>
      </c>
      <c r="N774" s="2" t="s">
        <v>3251</v>
      </c>
      <c r="O774" s="2" t="s">
        <v>70</v>
      </c>
      <c r="P774" s="2" t="s">
        <v>133</v>
      </c>
      <c r="Q774" s="2" t="s">
        <v>3252</v>
      </c>
      <c r="R774" s="2">
        <v>10003</v>
      </c>
      <c r="S774" s="2">
        <v>5</v>
      </c>
      <c r="T774" s="2" t="s">
        <v>427</v>
      </c>
      <c r="U774" s="2">
        <v>40.7312431</v>
      </c>
      <c r="V774" s="2">
        <v>-73.988807699999995</v>
      </c>
      <c r="W774" s="2" t="s">
        <v>528</v>
      </c>
      <c r="X774" s="2" t="s">
        <v>3253</v>
      </c>
      <c r="Y774" s="2" t="s">
        <v>536</v>
      </c>
      <c r="Z774" s="2">
        <v>10577</v>
      </c>
      <c r="AA774" s="3">
        <v>42744.585416666669</v>
      </c>
      <c r="AB774" s="2">
        <v>66764</v>
      </c>
      <c r="AC774" s="2">
        <v>502</v>
      </c>
      <c r="AD774" s="2">
        <v>36</v>
      </c>
      <c r="AE774" s="2">
        <v>0.18</v>
      </c>
      <c r="AF774" s="2" t="str" cm="1">
        <f t="array" ref="AF774">_xlfn.IFS(AE774=0, "No Discount ", AE774&lt;=0.08,"Low Discount", AE774&lt;=0.16,"Medium Discount", AE774&gt;0.16, "High Discount")</f>
        <v>High Discount</v>
      </c>
      <c r="AG774" s="2">
        <v>166874</v>
      </c>
      <c r="AH774" s="2">
        <v>50</v>
      </c>
      <c r="AI774" s="2">
        <v>0.47</v>
      </c>
      <c r="AJ774" s="2" t="str" cm="1">
        <f t="array" ref="AJ774">_xlfn.IFS(AI774&lt;=0, "No Profit", AI774&lt;=0.16,"Low Profit",AI774&lt;=0.32,"Medium Profit",AI774&gt;0.32,"High Profit")</f>
        <v>High Profit</v>
      </c>
      <c r="AK774" s="2">
        <v>4</v>
      </c>
      <c r="AL774" s="2">
        <v>200</v>
      </c>
      <c r="AM774" s="2">
        <v>164</v>
      </c>
      <c r="AN774" s="2">
        <v>77.08</v>
      </c>
      <c r="AO774" s="2" t="s">
        <v>531</v>
      </c>
      <c r="AP774" s="2" t="s">
        <v>579</v>
      </c>
      <c r="AQ774" s="2" t="s">
        <v>137</v>
      </c>
      <c r="AR774" s="2" t="s">
        <v>81</v>
      </c>
      <c r="AS774" s="2">
        <v>502</v>
      </c>
      <c r="AT774" s="2">
        <v>24</v>
      </c>
      <c r="AU774" s="2" t="s">
        <v>442</v>
      </c>
      <c r="AV774" s="2">
        <v>50</v>
      </c>
      <c r="AW774" s="2">
        <v>0</v>
      </c>
      <c r="AX774" s="3">
        <v>42895.585416666669</v>
      </c>
      <c r="AY774" s="2" t="s">
        <v>83</v>
      </c>
      <c r="AZ774" s="4">
        <v>42744</v>
      </c>
      <c r="BA774" s="5">
        <v>0.5854166666666667</v>
      </c>
      <c r="BB774" s="2">
        <v>2017</v>
      </c>
      <c r="BC774" s="2" t="s">
        <v>84</v>
      </c>
      <c r="BD774" s="2">
        <v>9</v>
      </c>
      <c r="BE774" s="4">
        <v>42895</v>
      </c>
      <c r="BF774" s="5">
        <v>0.5854166666666667</v>
      </c>
      <c r="BG774" s="2" t="str" cm="1">
        <f t="array" ref="BG774">_xlfn.IFS(BF774&lt;TIMEVALUE("06:00"),"Night", BF774&gt;=TIMEVALUE("21:00"),"Night",BF774&gt;=TIMEVALUE("17:00"),"Evening",BF774&gt;=TIMEVALUE("12:00"),"Afternoon", BF774&gt;=TIMEVALUE("06:00"),"Morning")</f>
        <v>Afternoon</v>
      </c>
      <c r="BH774" s="2">
        <v>2017</v>
      </c>
      <c r="BI774" s="2" t="s">
        <v>474</v>
      </c>
      <c r="BJ774" s="2">
        <v>9</v>
      </c>
    </row>
    <row r="775" spans="1:62" x14ac:dyDescent="0.3">
      <c r="A775" s="2" t="s">
        <v>86</v>
      </c>
      <c r="B775" s="2">
        <v>5</v>
      </c>
      <c r="C775" s="2">
        <v>4</v>
      </c>
      <c r="D775" s="2">
        <v>56</v>
      </c>
      <c r="E775" s="2">
        <v>160</v>
      </c>
      <c r="F775" s="2" t="s">
        <v>129</v>
      </c>
      <c r="G775" s="2" t="s">
        <v>64</v>
      </c>
      <c r="H775" s="2">
        <v>24</v>
      </c>
      <c r="I775" s="2" t="s">
        <v>435</v>
      </c>
      <c r="J775" s="2" t="s">
        <v>1401</v>
      </c>
      <c r="K775" s="2" t="s">
        <v>102</v>
      </c>
      <c r="L775" s="2" t="s">
        <v>917</v>
      </c>
      <c r="M775" s="2">
        <v>10577</v>
      </c>
      <c r="N775" s="2" t="s">
        <v>3251</v>
      </c>
      <c r="O775" s="2" t="s">
        <v>70</v>
      </c>
      <c r="P775" s="2" t="s">
        <v>133</v>
      </c>
      <c r="Q775" s="2" t="s">
        <v>3252</v>
      </c>
      <c r="R775" s="2">
        <v>10003</v>
      </c>
      <c r="S775" s="2">
        <v>5</v>
      </c>
      <c r="T775" s="2" t="s">
        <v>427</v>
      </c>
      <c r="U775" s="2">
        <v>40.7312431</v>
      </c>
      <c r="V775" s="2">
        <v>-73.988807699999995</v>
      </c>
      <c r="W775" s="2" t="s">
        <v>528</v>
      </c>
      <c r="X775" s="2" t="s">
        <v>3253</v>
      </c>
      <c r="Y775" s="2" t="s">
        <v>536</v>
      </c>
      <c r="Z775" s="2">
        <v>10577</v>
      </c>
      <c r="AA775" s="3">
        <v>42744.585416666669</v>
      </c>
      <c r="AB775" s="2">
        <v>66764</v>
      </c>
      <c r="AC775" s="2">
        <v>502</v>
      </c>
      <c r="AD775" s="2">
        <v>40</v>
      </c>
      <c r="AE775" s="2">
        <v>0.2</v>
      </c>
      <c r="AF775" s="2" t="str" cm="1">
        <f t="array" ref="AF775">_xlfn.IFS(AE775=0, "No Discount ", AE775&lt;=0.08,"Low Discount", AE775&lt;=0.16,"Medium Discount", AE775&gt;0.16, "High Discount")</f>
        <v>High Discount</v>
      </c>
      <c r="AG775" s="2">
        <v>166870</v>
      </c>
      <c r="AH775" s="2">
        <v>50</v>
      </c>
      <c r="AI775" s="2">
        <v>0.35</v>
      </c>
      <c r="AJ775" s="2" t="str" cm="1">
        <f t="array" ref="AJ775">_xlfn.IFS(AI775&lt;=0, "No Profit", AI775&lt;=0.16,"Low Profit",AI775&lt;=0.32,"Medium Profit",AI775&gt;0.32,"High Profit")</f>
        <v>High Profit</v>
      </c>
      <c r="AK775" s="2">
        <v>4</v>
      </c>
      <c r="AL775" s="2">
        <v>200</v>
      </c>
      <c r="AM775" s="2">
        <v>160</v>
      </c>
      <c r="AN775" s="2">
        <v>56</v>
      </c>
      <c r="AO775" s="2" t="s">
        <v>531</v>
      </c>
      <c r="AP775" s="2" t="s">
        <v>579</v>
      </c>
      <c r="AQ775" s="2" t="s">
        <v>137</v>
      </c>
      <c r="AR775" s="2" t="s">
        <v>81</v>
      </c>
      <c r="AS775" s="2">
        <v>502</v>
      </c>
      <c r="AT775" s="2">
        <v>24</v>
      </c>
      <c r="AU775" s="2" t="s">
        <v>442</v>
      </c>
      <c r="AV775" s="2">
        <v>50</v>
      </c>
      <c r="AW775" s="2">
        <v>0</v>
      </c>
      <c r="AX775" s="3">
        <v>42895.585416666669</v>
      </c>
      <c r="AY775" s="2" t="s">
        <v>83</v>
      </c>
      <c r="AZ775" s="4">
        <v>42744</v>
      </c>
      <c r="BA775" s="5">
        <v>0.5854166666666667</v>
      </c>
      <c r="BB775" s="2">
        <v>2017</v>
      </c>
      <c r="BC775" s="2" t="s">
        <v>84</v>
      </c>
      <c r="BD775" s="2">
        <v>9</v>
      </c>
      <c r="BE775" s="4">
        <v>42895</v>
      </c>
      <c r="BF775" s="5">
        <v>0.5854166666666667</v>
      </c>
      <c r="BG775" s="2" t="str" cm="1">
        <f t="array" ref="BG775">_xlfn.IFS(BF775&lt;TIMEVALUE("06:00"),"Night", BF775&gt;=TIMEVALUE("21:00"),"Night",BF775&gt;=TIMEVALUE("17:00"),"Evening",BF775&gt;=TIMEVALUE("12:00"),"Afternoon", BF775&gt;=TIMEVALUE("06:00"),"Morning")</f>
        <v>Afternoon</v>
      </c>
      <c r="BH775" s="2">
        <v>2017</v>
      </c>
      <c r="BI775" s="2" t="s">
        <v>474</v>
      </c>
      <c r="BJ775" s="2">
        <v>9</v>
      </c>
    </row>
    <row r="776" spans="1:62" x14ac:dyDescent="0.3">
      <c r="A776" s="2" t="s">
        <v>86</v>
      </c>
      <c r="B776" s="2">
        <v>4</v>
      </c>
      <c r="C776" s="2">
        <v>4</v>
      </c>
      <c r="D776" s="2">
        <v>43.18</v>
      </c>
      <c r="E776" s="2">
        <v>89.96</v>
      </c>
      <c r="F776" s="2" t="s">
        <v>129</v>
      </c>
      <c r="G776" s="2" t="s">
        <v>64</v>
      </c>
      <c r="H776" s="2">
        <v>40</v>
      </c>
      <c r="I776" s="2" t="s">
        <v>1151</v>
      </c>
      <c r="J776" s="2" t="s">
        <v>3180</v>
      </c>
      <c r="K776" s="2" t="s">
        <v>102</v>
      </c>
      <c r="L776" s="2" t="s">
        <v>414</v>
      </c>
      <c r="M776" s="2">
        <v>3471</v>
      </c>
      <c r="N776" s="2" t="s">
        <v>3254</v>
      </c>
      <c r="O776" s="2" t="s">
        <v>70</v>
      </c>
      <c r="P776" s="2" t="s">
        <v>201</v>
      </c>
      <c r="Q776" s="2" t="s">
        <v>3255</v>
      </c>
      <c r="R776" s="2">
        <v>2740</v>
      </c>
      <c r="S776" s="2">
        <v>6</v>
      </c>
      <c r="T776" s="2" t="s">
        <v>515</v>
      </c>
      <c r="U776" s="2">
        <v>41.635623899999999</v>
      </c>
      <c r="V776" s="2">
        <v>-70.930801400000007</v>
      </c>
      <c r="W776" s="2" t="s">
        <v>528</v>
      </c>
      <c r="X776" s="2" t="s">
        <v>3256</v>
      </c>
      <c r="Y776" s="2" t="s">
        <v>3257</v>
      </c>
      <c r="Z776" s="2">
        <v>3471</v>
      </c>
      <c r="AA776" s="3">
        <v>42472.491666666669</v>
      </c>
      <c r="AB776" s="2">
        <v>48193</v>
      </c>
      <c r="AC776" s="2">
        <v>905</v>
      </c>
      <c r="AD776" s="2">
        <v>10</v>
      </c>
      <c r="AE776" s="2">
        <v>0.1</v>
      </c>
      <c r="AF776" s="2" t="str" cm="1">
        <f t="array" ref="AF776">_xlfn.IFS(AE776=0, "No Discount ", AE776&lt;=0.08,"Low Discount", AE776&lt;=0.16,"Medium Discount", AE776&gt;0.16, "High Discount")</f>
        <v>Medium Discount</v>
      </c>
      <c r="AG776" s="2">
        <v>120515</v>
      </c>
      <c r="AH776" s="2">
        <v>24.99</v>
      </c>
      <c r="AI776" s="2">
        <v>0.48</v>
      </c>
      <c r="AJ776" s="2" t="str" cm="1">
        <f t="array" ref="AJ776">_xlfn.IFS(AI776&lt;=0, "No Profit", AI776&lt;=0.16,"Low Profit",AI776&lt;=0.32,"Medium Profit",AI776&gt;0.32,"High Profit")</f>
        <v>High Profit</v>
      </c>
      <c r="AK776" s="2">
        <v>4</v>
      </c>
      <c r="AL776" s="2">
        <v>99.96</v>
      </c>
      <c r="AM776" s="2">
        <v>89.96</v>
      </c>
      <c r="AN776" s="2">
        <v>43.18</v>
      </c>
      <c r="AO776" s="2" t="s">
        <v>1717</v>
      </c>
      <c r="AP776" s="2" t="s">
        <v>3258</v>
      </c>
      <c r="AQ776" s="2" t="s">
        <v>137</v>
      </c>
      <c r="AR776" s="2" t="s">
        <v>81</v>
      </c>
      <c r="AS776" s="2">
        <v>905</v>
      </c>
      <c r="AT776" s="2">
        <v>40</v>
      </c>
      <c r="AU776" s="2" t="s">
        <v>1194</v>
      </c>
      <c r="AV776" s="2">
        <v>24.99</v>
      </c>
      <c r="AW776" s="2">
        <v>0</v>
      </c>
      <c r="AX776" s="3">
        <v>42594.491666666669</v>
      </c>
      <c r="AY776" s="2" t="s">
        <v>83</v>
      </c>
      <c r="AZ776" s="4">
        <v>42472</v>
      </c>
      <c r="BA776" s="5">
        <v>0.49166666666666664</v>
      </c>
      <c r="BB776" s="2">
        <v>2016</v>
      </c>
      <c r="BC776" s="2" t="s">
        <v>487</v>
      </c>
      <c r="BD776" s="2">
        <v>12</v>
      </c>
      <c r="BE776" s="4">
        <v>42594</v>
      </c>
      <c r="BF776" s="5">
        <v>0.49166666666666664</v>
      </c>
      <c r="BG776" s="2" t="str" cm="1">
        <f t="array" ref="BG776">_xlfn.IFS(BF776&lt;TIMEVALUE("06:00"),"Night", BF776&gt;=TIMEVALUE("21:00"),"Night",BF776&gt;=TIMEVALUE("17:00"),"Evening",BF776&gt;=TIMEVALUE("12:00"),"Afternoon", BF776&gt;=TIMEVALUE("06:00"),"Morning")</f>
        <v>Morning</v>
      </c>
      <c r="BH776" s="2">
        <v>2016</v>
      </c>
      <c r="BI776" s="2" t="s">
        <v>482</v>
      </c>
      <c r="BJ776" s="2">
        <v>12</v>
      </c>
    </row>
    <row r="777" spans="1:62" x14ac:dyDescent="0.3">
      <c r="A777" s="2" t="s">
        <v>86</v>
      </c>
      <c r="B777" s="2">
        <v>2</v>
      </c>
      <c r="C777" s="2">
        <v>4</v>
      </c>
      <c r="D777" s="2">
        <v>31.84</v>
      </c>
      <c r="E777" s="2">
        <v>90.96</v>
      </c>
      <c r="F777" s="2" t="s">
        <v>63</v>
      </c>
      <c r="G777" s="2" t="s">
        <v>64</v>
      </c>
      <c r="H777" s="2">
        <v>5</v>
      </c>
      <c r="I777" s="2" t="s">
        <v>3259</v>
      </c>
      <c r="J777" s="2" t="s">
        <v>3260</v>
      </c>
      <c r="K777" s="2" t="s">
        <v>102</v>
      </c>
      <c r="L777" s="2" t="s">
        <v>1240</v>
      </c>
      <c r="M777" s="2">
        <v>3535</v>
      </c>
      <c r="N777" s="2" t="s">
        <v>1868</v>
      </c>
      <c r="O777" s="2" t="s">
        <v>70</v>
      </c>
      <c r="P777" s="2" t="s">
        <v>105</v>
      </c>
      <c r="Q777" s="2" t="s">
        <v>3261</v>
      </c>
      <c r="R777" s="2">
        <v>92024</v>
      </c>
      <c r="S777" s="2">
        <v>2</v>
      </c>
      <c r="T777" s="2" t="s">
        <v>73</v>
      </c>
      <c r="U777" s="2">
        <v>33.046470599999999</v>
      </c>
      <c r="V777" s="2">
        <v>-117.2896729</v>
      </c>
      <c r="W777" s="2" t="s">
        <v>528</v>
      </c>
      <c r="X777" s="2" t="s">
        <v>3262</v>
      </c>
      <c r="Y777" s="2" t="s">
        <v>983</v>
      </c>
      <c r="Z777" s="2">
        <v>3535</v>
      </c>
      <c r="AA777" s="3">
        <v>42316.322222222225</v>
      </c>
      <c r="AB777" s="2">
        <v>15231</v>
      </c>
      <c r="AC777" s="2">
        <v>93</v>
      </c>
      <c r="AD777" s="2">
        <v>9</v>
      </c>
      <c r="AE777" s="2">
        <v>0.09</v>
      </c>
      <c r="AF777" s="2" t="str" cm="1">
        <f t="array" ref="AF777">_xlfn.IFS(AE777=0, "No Discount ", AE777&lt;=0.08,"Low Discount", AE777&lt;=0.16,"Medium Discount", AE777&gt;0.16, "High Discount")</f>
        <v>Medium Discount</v>
      </c>
      <c r="AG777" s="2">
        <v>38097</v>
      </c>
      <c r="AH777" s="2">
        <v>24.99</v>
      </c>
      <c r="AI777" s="2">
        <v>0.35</v>
      </c>
      <c r="AJ777" s="2" t="str" cm="1">
        <f t="array" ref="AJ777">_xlfn.IFS(AI777&lt;=0, "No Profit", AI777&lt;=0.16,"Low Profit",AI777&lt;=0.32,"Medium Profit",AI777&gt;0.32,"High Profit")</f>
        <v>High Profit</v>
      </c>
      <c r="AK777" s="2">
        <v>4</v>
      </c>
      <c r="AL777" s="2">
        <v>99.96</v>
      </c>
      <c r="AM777" s="2">
        <v>90.96</v>
      </c>
      <c r="AN777" s="2">
        <v>31.84</v>
      </c>
      <c r="AO777" s="2" t="s">
        <v>905</v>
      </c>
      <c r="AP777" s="2" t="s">
        <v>2783</v>
      </c>
      <c r="AQ777" s="2" t="s">
        <v>97</v>
      </c>
      <c r="AR777" s="2" t="s">
        <v>81</v>
      </c>
      <c r="AS777" s="2">
        <v>93</v>
      </c>
      <c r="AT777" s="2">
        <v>5</v>
      </c>
      <c r="AU777" s="2" t="s">
        <v>3263</v>
      </c>
      <c r="AV777" s="2">
        <v>24.99</v>
      </c>
      <c r="AW777" s="2">
        <v>0</v>
      </c>
      <c r="AX777" s="2" t="s">
        <v>3264</v>
      </c>
      <c r="AY777" s="2" t="s">
        <v>83</v>
      </c>
      <c r="AZ777" s="4">
        <v>42316</v>
      </c>
      <c r="BA777" s="5">
        <v>0.32222222222222224</v>
      </c>
      <c r="BB777" s="2">
        <v>2015</v>
      </c>
      <c r="BC777" s="2" t="s">
        <v>455</v>
      </c>
      <c r="BD777" s="2">
        <v>8</v>
      </c>
      <c r="BE777" s="4">
        <v>42229</v>
      </c>
      <c r="BF777" s="5">
        <v>0.32222222222222224</v>
      </c>
      <c r="BG777" s="2" t="str" cm="1">
        <f t="array" ref="BG777">_xlfn.IFS(BF777&lt;TIMEVALUE("06:00"),"Night", BF777&gt;=TIMEVALUE("21:00"),"Night",BF777&gt;=TIMEVALUE("17:00"),"Evening",BF777&gt;=TIMEVALUE("12:00"),"Afternoon", BF777&gt;=TIMEVALUE("06:00"),"Morning")</f>
        <v>Morning</v>
      </c>
      <c r="BH777" s="2">
        <v>2015</v>
      </c>
      <c r="BI777" s="2" t="s">
        <v>482</v>
      </c>
      <c r="BJ777" s="2">
        <v>13</v>
      </c>
    </row>
    <row r="778" spans="1:62" x14ac:dyDescent="0.3">
      <c r="A778" s="2" t="s">
        <v>86</v>
      </c>
      <c r="B778" s="2">
        <v>2</v>
      </c>
      <c r="C778" s="2">
        <v>4</v>
      </c>
      <c r="D778" s="2">
        <v>11.95</v>
      </c>
      <c r="E778" s="2">
        <v>199.17</v>
      </c>
      <c r="F778" s="2" t="s">
        <v>63</v>
      </c>
      <c r="G778" s="2" t="s">
        <v>64</v>
      </c>
      <c r="H778" s="2">
        <v>3</v>
      </c>
      <c r="I778" s="2" t="s">
        <v>776</v>
      </c>
      <c r="J778" s="2" t="s">
        <v>101</v>
      </c>
      <c r="K778" s="2" t="s">
        <v>102</v>
      </c>
      <c r="L778" s="2" t="s">
        <v>414</v>
      </c>
      <c r="M778" s="2">
        <v>11715</v>
      </c>
      <c r="N778" s="2" t="s">
        <v>425</v>
      </c>
      <c r="O778" s="2" t="s">
        <v>70</v>
      </c>
      <c r="P778" s="2" t="s">
        <v>105</v>
      </c>
      <c r="Q778" s="2" t="s">
        <v>3265</v>
      </c>
      <c r="R778" s="2">
        <v>95116</v>
      </c>
      <c r="S778" s="2">
        <v>2</v>
      </c>
      <c r="T778" s="2" t="s">
        <v>73</v>
      </c>
      <c r="U778" s="2">
        <v>37.360240900000001</v>
      </c>
      <c r="V778" s="2">
        <v>-121.8450699</v>
      </c>
      <c r="W778" s="2" t="s">
        <v>528</v>
      </c>
      <c r="X778" s="2" t="s">
        <v>3266</v>
      </c>
      <c r="Y778" s="2" t="s">
        <v>536</v>
      </c>
      <c r="Z778" s="2">
        <v>11715</v>
      </c>
      <c r="AA778" s="3">
        <v>42041.54583333333</v>
      </c>
      <c r="AB778" s="2">
        <v>10451</v>
      </c>
      <c r="AC778" s="2">
        <v>44</v>
      </c>
      <c r="AD778" s="2">
        <v>40.79</v>
      </c>
      <c r="AE778" s="2">
        <v>0.17</v>
      </c>
      <c r="AF778" s="2" t="str" cm="1">
        <f t="array" ref="AF778">_xlfn.IFS(AE778=0, "No Discount ", AE778&lt;=0.08,"Low Discount", AE778&lt;=0.16,"Medium Discount", AE778&gt;0.16, "High Discount")</f>
        <v>High Discount</v>
      </c>
      <c r="AG778" s="2">
        <v>26173</v>
      </c>
      <c r="AH778" s="2">
        <v>59.99</v>
      </c>
      <c r="AI778" s="2">
        <v>0.06</v>
      </c>
      <c r="AJ778" s="2" t="str" cm="1">
        <f t="array" ref="AJ778">_xlfn.IFS(AI778&lt;=0, "No Profit", AI778&lt;=0.16,"Low Profit",AI778&lt;=0.32,"Medium Profit",AI778&gt;0.32,"High Profit")</f>
        <v>Low Profit</v>
      </c>
      <c r="AK778" s="2">
        <v>4</v>
      </c>
      <c r="AL778" s="2">
        <v>239.96</v>
      </c>
      <c r="AM778" s="2">
        <v>199.17</v>
      </c>
      <c r="AN778" s="2">
        <v>11.95</v>
      </c>
      <c r="AO778" s="2" t="s">
        <v>531</v>
      </c>
      <c r="AP778" s="2" t="s">
        <v>3267</v>
      </c>
      <c r="AQ778" s="2" t="s">
        <v>97</v>
      </c>
      <c r="AR778" s="2" t="s">
        <v>81</v>
      </c>
      <c r="AS778" s="2">
        <v>44</v>
      </c>
      <c r="AT778" s="2">
        <v>3</v>
      </c>
      <c r="AU778" s="2" t="s">
        <v>781</v>
      </c>
      <c r="AV778" s="2">
        <v>59.99</v>
      </c>
      <c r="AW778" s="2">
        <v>0</v>
      </c>
      <c r="AX778" s="3">
        <v>42100.54583333333</v>
      </c>
      <c r="AY778" s="2" t="s">
        <v>83</v>
      </c>
      <c r="AZ778" s="4">
        <v>42041</v>
      </c>
      <c r="BA778" s="5">
        <v>0.54583333333333328</v>
      </c>
      <c r="BB778" s="2">
        <v>2015</v>
      </c>
      <c r="BC778" s="2" t="s">
        <v>423</v>
      </c>
      <c r="BD778" s="2">
        <v>6</v>
      </c>
      <c r="BE778" s="4">
        <v>42100</v>
      </c>
      <c r="BF778" s="5">
        <v>0.54583333333333328</v>
      </c>
      <c r="BG778" s="2" t="str" cm="1">
        <f t="array" ref="BG778">_xlfn.IFS(BF778&lt;TIMEVALUE("06:00"),"Night", BF778&gt;=TIMEVALUE("21:00"),"Night",BF778&gt;=TIMEVALUE("17:00"),"Evening",BF778&gt;=TIMEVALUE("12:00"),"Afternoon", BF778&gt;=TIMEVALUE("06:00"),"Morning")</f>
        <v>Afternoon</v>
      </c>
      <c r="BH778" s="2">
        <v>2015</v>
      </c>
      <c r="BI778" s="2" t="s">
        <v>487</v>
      </c>
      <c r="BJ778" s="2">
        <v>6</v>
      </c>
    </row>
    <row r="779" spans="1:62" x14ac:dyDescent="0.3">
      <c r="A779" s="2" t="s">
        <v>86</v>
      </c>
      <c r="B779" s="2">
        <v>5</v>
      </c>
      <c r="C779" s="2">
        <v>4</v>
      </c>
      <c r="D779" s="2">
        <v>-599.94000000000005</v>
      </c>
      <c r="E779" s="2">
        <v>399.96</v>
      </c>
      <c r="F779" s="2" t="s">
        <v>87</v>
      </c>
      <c r="G779" s="2" t="s">
        <v>88</v>
      </c>
      <c r="H779" s="2">
        <v>9</v>
      </c>
      <c r="I779" s="2" t="s">
        <v>496</v>
      </c>
      <c r="J779" s="2" t="s">
        <v>1167</v>
      </c>
      <c r="K779" s="2" t="s">
        <v>102</v>
      </c>
      <c r="L779" s="2" t="s">
        <v>1226</v>
      </c>
      <c r="M779" s="2">
        <v>9814</v>
      </c>
      <c r="N779" s="2" t="s">
        <v>425</v>
      </c>
      <c r="O779" s="2" t="s">
        <v>70</v>
      </c>
      <c r="P779" s="2" t="s">
        <v>133</v>
      </c>
      <c r="Q779" s="2" t="s">
        <v>3268</v>
      </c>
      <c r="R779" s="2">
        <v>13440</v>
      </c>
      <c r="S779" s="2">
        <v>3</v>
      </c>
      <c r="T779" s="2" t="s">
        <v>466</v>
      </c>
      <c r="U779" s="2">
        <v>43.216625200000003</v>
      </c>
      <c r="V779" s="2">
        <v>-75.456039399999995</v>
      </c>
      <c r="W779" s="2" t="s">
        <v>528</v>
      </c>
      <c r="X779" s="2" t="s">
        <v>3269</v>
      </c>
      <c r="Y779" s="2" t="s">
        <v>530</v>
      </c>
      <c r="Z779" s="2">
        <v>9814</v>
      </c>
      <c r="AA779" s="3">
        <v>42041.662499999999</v>
      </c>
      <c r="AB779" s="2">
        <v>10459</v>
      </c>
      <c r="AC779" s="2">
        <v>191</v>
      </c>
      <c r="AD779" s="2">
        <v>0</v>
      </c>
      <c r="AE779" s="2">
        <v>0</v>
      </c>
      <c r="AF779" s="2" t="str" cm="1">
        <f t="array" ref="AF779">_xlfn.IFS(AE779=0, "No Discount ", AE779&lt;=0.08,"Low Discount", AE779&lt;=0.16,"Medium Discount", AE779&gt;0.16, "High Discount")</f>
        <v xml:space="preserve">No Discount </v>
      </c>
      <c r="AG779" s="2">
        <v>26195</v>
      </c>
      <c r="AH779" s="2">
        <v>99.99</v>
      </c>
      <c r="AI779" s="2">
        <v>-1.5</v>
      </c>
      <c r="AJ779" s="2" t="str" cm="1">
        <f t="array" ref="AJ779">_xlfn.IFS(AI779&lt;=0, "No Profit", AI779&lt;=0.16,"Low Profit",AI779&lt;=0.32,"Medium Profit",AI779&gt;0.32,"High Profit")</f>
        <v>No Profit</v>
      </c>
      <c r="AK779" s="2">
        <v>4</v>
      </c>
      <c r="AL779" s="2">
        <v>399.96</v>
      </c>
      <c r="AM779" s="2">
        <v>399.96</v>
      </c>
      <c r="AN779" s="2">
        <v>-599.94000000000005</v>
      </c>
      <c r="AO779" s="2" t="s">
        <v>531</v>
      </c>
      <c r="AP779" s="2" t="s">
        <v>3269</v>
      </c>
      <c r="AQ779" s="2" t="s">
        <v>97</v>
      </c>
      <c r="AR779" s="2" t="s">
        <v>81</v>
      </c>
      <c r="AS779" s="2">
        <v>191</v>
      </c>
      <c r="AT779" s="2">
        <v>9</v>
      </c>
      <c r="AU779" s="2" t="s">
        <v>505</v>
      </c>
      <c r="AV779" s="2">
        <v>99.99</v>
      </c>
      <c r="AW779" s="2">
        <v>0</v>
      </c>
      <c r="AX779" s="3">
        <v>42191.662499999999</v>
      </c>
      <c r="AY779" s="2" t="s">
        <v>83</v>
      </c>
      <c r="AZ779" s="4">
        <v>42041</v>
      </c>
      <c r="BA779" s="5">
        <v>0.66249999999999998</v>
      </c>
      <c r="BB779" s="2">
        <v>2015</v>
      </c>
      <c r="BC779" s="2" t="s">
        <v>423</v>
      </c>
      <c r="BD779" s="2">
        <v>6</v>
      </c>
      <c r="BE779" s="4">
        <v>42191</v>
      </c>
      <c r="BF779" s="5">
        <v>0.66249999999999998</v>
      </c>
      <c r="BG779" s="2" t="str" cm="1">
        <f t="array" ref="BG779">_xlfn.IFS(BF779&lt;TIMEVALUE("06:00"),"Night", BF779&gt;=TIMEVALUE("21:00"),"Night",BF779&gt;=TIMEVALUE("17:00"),"Evening",BF779&gt;=TIMEVALUE("12:00"),"Afternoon", BF779&gt;=TIMEVALUE("06:00"),"Morning")</f>
        <v>Afternoon</v>
      </c>
      <c r="BH779" s="2">
        <v>2015</v>
      </c>
      <c r="BI779" s="2" t="s">
        <v>533</v>
      </c>
      <c r="BJ779" s="2">
        <v>6</v>
      </c>
    </row>
    <row r="780" spans="1:62" x14ac:dyDescent="0.3">
      <c r="A780" s="2" t="s">
        <v>86</v>
      </c>
      <c r="B780" s="2">
        <v>3</v>
      </c>
      <c r="C780" s="2">
        <v>4</v>
      </c>
      <c r="D780" s="2">
        <v>182.34</v>
      </c>
      <c r="E780" s="2">
        <v>387.96</v>
      </c>
      <c r="F780" s="2" t="s">
        <v>63</v>
      </c>
      <c r="G780" s="2" t="s">
        <v>64</v>
      </c>
      <c r="H780" s="2">
        <v>9</v>
      </c>
      <c r="I780" s="2" t="s">
        <v>496</v>
      </c>
      <c r="J780" s="2" t="s">
        <v>3270</v>
      </c>
      <c r="K780" s="2" t="s">
        <v>102</v>
      </c>
      <c r="L780" s="2" t="s">
        <v>917</v>
      </c>
      <c r="M780" s="2">
        <v>4848</v>
      </c>
      <c r="N780" s="2" t="s">
        <v>2303</v>
      </c>
      <c r="O780" s="2" t="s">
        <v>70</v>
      </c>
      <c r="P780" s="2" t="s">
        <v>105</v>
      </c>
      <c r="Q780" s="2" t="s">
        <v>3271</v>
      </c>
      <c r="R780" s="2">
        <v>95076</v>
      </c>
      <c r="S780" s="2">
        <v>3</v>
      </c>
      <c r="T780" s="2" t="s">
        <v>466</v>
      </c>
      <c r="U780" s="2">
        <v>36.933971399999997</v>
      </c>
      <c r="V780" s="2">
        <v>-121.7434616</v>
      </c>
      <c r="W780" s="2" t="s">
        <v>528</v>
      </c>
      <c r="X780" s="2" t="s">
        <v>3206</v>
      </c>
      <c r="Y780" s="2" t="s">
        <v>904</v>
      </c>
      <c r="Z780" s="2">
        <v>4848</v>
      </c>
      <c r="AA780" s="2" t="s">
        <v>3272</v>
      </c>
      <c r="AB780" s="2">
        <v>64222</v>
      </c>
      <c r="AC780" s="2">
        <v>191</v>
      </c>
      <c r="AD780" s="2">
        <v>12</v>
      </c>
      <c r="AE780" s="2">
        <v>0.03</v>
      </c>
      <c r="AF780" s="2" t="str" cm="1">
        <f t="array" ref="AF780">_xlfn.IFS(AE780=0, "No Discount ", AE780&lt;=0.08,"Low Discount", AE780&lt;=0.16,"Medium Discount", AE780&gt;0.16, "High Discount")</f>
        <v>Low Discount</v>
      </c>
      <c r="AG780" s="2">
        <v>160566</v>
      </c>
      <c r="AH780" s="2">
        <v>99.99</v>
      </c>
      <c r="AI780" s="2">
        <v>0.47</v>
      </c>
      <c r="AJ780" s="2" t="str" cm="1">
        <f t="array" ref="AJ780">_xlfn.IFS(AI780&lt;=0, "No Profit", AI780&lt;=0.16,"Low Profit",AI780&lt;=0.32,"Medium Profit",AI780&gt;0.32,"High Profit")</f>
        <v>High Profit</v>
      </c>
      <c r="AK780" s="2">
        <v>4</v>
      </c>
      <c r="AL780" s="2">
        <v>399.96</v>
      </c>
      <c r="AM780" s="2">
        <v>387.96</v>
      </c>
      <c r="AN780" s="2">
        <v>182.34</v>
      </c>
      <c r="AO780" s="2" t="s">
        <v>905</v>
      </c>
      <c r="AP780" s="2" t="s">
        <v>2786</v>
      </c>
      <c r="AQ780" s="2" t="s">
        <v>97</v>
      </c>
      <c r="AR780" s="2" t="s">
        <v>81</v>
      </c>
      <c r="AS780" s="2">
        <v>191</v>
      </c>
      <c r="AT780" s="2">
        <v>9</v>
      </c>
      <c r="AU780" s="2" t="s">
        <v>505</v>
      </c>
      <c r="AV780" s="2">
        <v>99.99</v>
      </c>
      <c r="AW780" s="2">
        <v>0</v>
      </c>
      <c r="AX780" s="2" t="s">
        <v>3273</v>
      </c>
      <c r="AY780" s="2" t="s">
        <v>83</v>
      </c>
      <c r="AZ780" s="4">
        <v>42942</v>
      </c>
      <c r="BA780" s="5">
        <v>0.4777777777777778</v>
      </c>
      <c r="BB780" s="2">
        <v>2017</v>
      </c>
      <c r="BC780" s="2" t="s">
        <v>533</v>
      </c>
      <c r="BD780" s="2">
        <v>26</v>
      </c>
      <c r="BE780" s="4">
        <v>42945</v>
      </c>
      <c r="BF780" s="5">
        <v>0.4777777777777778</v>
      </c>
      <c r="BG780" s="2" t="str" cm="1">
        <f t="array" ref="BG780">_xlfn.IFS(BF780&lt;TIMEVALUE("06:00"),"Night", BF780&gt;=TIMEVALUE("21:00"),"Night",BF780&gt;=TIMEVALUE("17:00"),"Evening",BF780&gt;=TIMEVALUE("12:00"),"Afternoon", BF780&gt;=TIMEVALUE("06:00"),"Morning")</f>
        <v>Morning</v>
      </c>
      <c r="BH780" s="2">
        <v>2017</v>
      </c>
      <c r="BI780" s="2" t="s">
        <v>533</v>
      </c>
      <c r="BJ780" s="2">
        <v>29</v>
      </c>
    </row>
    <row r="781" spans="1:62" x14ac:dyDescent="0.3">
      <c r="A781" s="2" t="s">
        <v>86</v>
      </c>
      <c r="B781" s="2">
        <v>3</v>
      </c>
      <c r="C781" s="2">
        <v>4</v>
      </c>
      <c r="D781" s="2">
        <v>111.35</v>
      </c>
      <c r="E781" s="2">
        <v>383.96</v>
      </c>
      <c r="F781" s="2" t="s">
        <v>63</v>
      </c>
      <c r="G781" s="2" t="s">
        <v>64</v>
      </c>
      <c r="H781" s="2">
        <v>9</v>
      </c>
      <c r="I781" s="2" t="s">
        <v>496</v>
      </c>
      <c r="J781" s="2" t="s">
        <v>3274</v>
      </c>
      <c r="K781" s="2" t="s">
        <v>102</v>
      </c>
      <c r="L781" s="2" t="s">
        <v>414</v>
      </c>
      <c r="M781" s="2">
        <v>569</v>
      </c>
      <c r="N781" s="2" t="s">
        <v>1429</v>
      </c>
      <c r="O781" s="2" t="s">
        <v>70</v>
      </c>
      <c r="P781" s="2" t="s">
        <v>3275</v>
      </c>
      <c r="Q781" s="2" t="s">
        <v>3276</v>
      </c>
      <c r="R781" s="2">
        <v>83642</v>
      </c>
      <c r="S781" s="2">
        <v>3</v>
      </c>
      <c r="T781" s="2" t="s">
        <v>466</v>
      </c>
      <c r="U781" s="2">
        <v>43.560524000000001</v>
      </c>
      <c r="V781" s="2">
        <v>-116.3960342</v>
      </c>
      <c r="W781" s="2" t="s">
        <v>528</v>
      </c>
      <c r="X781" s="2" t="s">
        <v>3277</v>
      </c>
      <c r="Y781" s="2" t="s">
        <v>904</v>
      </c>
      <c r="Z781" s="2">
        <v>569</v>
      </c>
      <c r="AA781" s="2" t="s">
        <v>3278</v>
      </c>
      <c r="AB781" s="2">
        <v>63907</v>
      </c>
      <c r="AC781" s="2">
        <v>191</v>
      </c>
      <c r="AD781" s="2">
        <v>16</v>
      </c>
      <c r="AE781" s="2">
        <v>0.04</v>
      </c>
      <c r="AF781" s="2" t="str" cm="1">
        <f t="array" ref="AF781">_xlfn.IFS(AE781=0, "No Discount ", AE781&lt;=0.08,"Low Discount", AE781&lt;=0.16,"Medium Discount", AE781&gt;0.16, "High Discount")</f>
        <v>Low Discount</v>
      </c>
      <c r="AG781" s="2">
        <v>159751</v>
      </c>
      <c r="AH781" s="2">
        <v>99.99</v>
      </c>
      <c r="AI781" s="2">
        <v>0.28999999999999998</v>
      </c>
      <c r="AJ781" s="2" t="str" cm="1">
        <f t="array" ref="AJ781">_xlfn.IFS(AI781&lt;=0, "No Profit", AI781&lt;=0.16,"Low Profit",AI781&lt;=0.32,"Medium Profit",AI781&gt;0.32,"High Profit")</f>
        <v>Medium Profit</v>
      </c>
      <c r="AK781" s="2">
        <v>4</v>
      </c>
      <c r="AL781" s="2">
        <v>399.96</v>
      </c>
      <c r="AM781" s="2">
        <v>383.96</v>
      </c>
      <c r="AN781" s="2">
        <v>111.35</v>
      </c>
      <c r="AO781" s="2" t="s">
        <v>905</v>
      </c>
      <c r="AP781" s="2" t="s">
        <v>3279</v>
      </c>
      <c r="AQ781" s="2" t="s">
        <v>97</v>
      </c>
      <c r="AR781" s="2" t="s">
        <v>81</v>
      </c>
      <c r="AS781" s="2">
        <v>191</v>
      </c>
      <c r="AT781" s="2">
        <v>9</v>
      </c>
      <c r="AU781" s="2" t="s">
        <v>505</v>
      </c>
      <c r="AV781" s="2">
        <v>99.99</v>
      </c>
      <c r="AW781" s="2">
        <v>0</v>
      </c>
      <c r="AX781" s="2" t="s">
        <v>3280</v>
      </c>
      <c r="AY781" s="2" t="s">
        <v>83</v>
      </c>
      <c r="AZ781" s="4">
        <v>42937</v>
      </c>
      <c r="BA781" s="5">
        <v>0.87986111111111109</v>
      </c>
      <c r="BB781" s="2">
        <v>2017</v>
      </c>
      <c r="BC781" s="2" t="s">
        <v>533</v>
      </c>
      <c r="BD781" s="2">
        <v>21</v>
      </c>
      <c r="BE781" s="4">
        <v>42940</v>
      </c>
      <c r="BF781" s="5">
        <v>0.87986111111111109</v>
      </c>
      <c r="BG781" s="2" t="str" cm="1">
        <f t="array" ref="BG781">_xlfn.IFS(BF781&lt;TIMEVALUE("06:00"),"Night", BF781&gt;=TIMEVALUE("21:00"),"Night",BF781&gt;=TIMEVALUE("17:00"),"Evening",BF781&gt;=TIMEVALUE("12:00"),"Afternoon", BF781&gt;=TIMEVALUE("06:00"),"Morning")</f>
        <v>Night</v>
      </c>
      <c r="BH781" s="2">
        <v>2017</v>
      </c>
      <c r="BI781" s="2" t="s">
        <v>533</v>
      </c>
      <c r="BJ781" s="2">
        <v>24</v>
      </c>
    </row>
    <row r="782" spans="1:62" x14ac:dyDescent="0.3">
      <c r="A782" s="2" t="s">
        <v>86</v>
      </c>
      <c r="B782" s="2">
        <v>4</v>
      </c>
      <c r="C782" s="2">
        <v>4</v>
      </c>
      <c r="D782" s="2">
        <v>170.98</v>
      </c>
      <c r="E782" s="2">
        <v>379.96</v>
      </c>
      <c r="F782" s="2" t="s">
        <v>100</v>
      </c>
      <c r="G782" s="2" t="s">
        <v>64</v>
      </c>
      <c r="H782" s="2">
        <v>9</v>
      </c>
      <c r="I782" s="2" t="s">
        <v>496</v>
      </c>
      <c r="J782" s="2" t="s">
        <v>1097</v>
      </c>
      <c r="K782" s="2" t="s">
        <v>102</v>
      </c>
      <c r="L782" s="2" t="s">
        <v>414</v>
      </c>
      <c r="M782" s="2">
        <v>5749</v>
      </c>
      <c r="N782" s="2" t="s">
        <v>425</v>
      </c>
      <c r="O782" s="2" t="s">
        <v>70</v>
      </c>
      <c r="P782" s="2" t="s">
        <v>333</v>
      </c>
      <c r="Q782" s="2" t="s">
        <v>3281</v>
      </c>
      <c r="R782" s="2">
        <v>77084</v>
      </c>
      <c r="S782" s="2">
        <v>3</v>
      </c>
      <c r="T782" s="2" t="s">
        <v>466</v>
      </c>
      <c r="U782" s="2">
        <v>29.861959500000001</v>
      </c>
      <c r="V782" s="2">
        <v>-95.644172699999999</v>
      </c>
      <c r="W782" s="2" t="s">
        <v>528</v>
      </c>
      <c r="X782" s="2" t="s">
        <v>2753</v>
      </c>
      <c r="Y782" s="2" t="s">
        <v>904</v>
      </c>
      <c r="Z782" s="2">
        <v>5749</v>
      </c>
      <c r="AA782" s="3">
        <v>42195.939583333333</v>
      </c>
      <c r="AB782" s="2">
        <v>19178</v>
      </c>
      <c r="AC782" s="2">
        <v>191</v>
      </c>
      <c r="AD782" s="2">
        <v>20</v>
      </c>
      <c r="AE782" s="2">
        <v>0.05</v>
      </c>
      <c r="AF782" s="2" t="str" cm="1">
        <f t="array" ref="AF782">_xlfn.IFS(AE782=0, "No Discount ", AE782&lt;=0.08,"Low Discount", AE782&lt;=0.16,"Medium Discount", AE782&gt;0.16, "High Discount")</f>
        <v>Low Discount</v>
      </c>
      <c r="AG782" s="2">
        <v>47915</v>
      </c>
      <c r="AH782" s="2">
        <v>99.99</v>
      </c>
      <c r="AI782" s="2">
        <v>0.45</v>
      </c>
      <c r="AJ782" s="2" t="str" cm="1">
        <f t="array" ref="AJ782">_xlfn.IFS(AI782&lt;=0, "No Profit", AI782&lt;=0.16,"Low Profit",AI782&lt;=0.32,"Medium Profit",AI782&gt;0.32,"High Profit")</f>
        <v>High Profit</v>
      </c>
      <c r="AK782" s="2">
        <v>4</v>
      </c>
      <c r="AL782" s="2">
        <v>399.96</v>
      </c>
      <c r="AM782" s="2">
        <v>379.96</v>
      </c>
      <c r="AN782" s="2">
        <v>170.98</v>
      </c>
      <c r="AO782" s="2" t="s">
        <v>905</v>
      </c>
      <c r="AP782" s="2" t="s">
        <v>2755</v>
      </c>
      <c r="AQ782" s="2" t="s">
        <v>97</v>
      </c>
      <c r="AR782" s="2" t="s">
        <v>81</v>
      </c>
      <c r="AS782" s="2">
        <v>191</v>
      </c>
      <c r="AT782" s="2">
        <v>9</v>
      </c>
      <c r="AU782" s="2" t="s">
        <v>505</v>
      </c>
      <c r="AV782" s="2">
        <v>99.99</v>
      </c>
      <c r="AW782" s="2">
        <v>0</v>
      </c>
      <c r="AX782" s="3">
        <v>42318.939583333333</v>
      </c>
      <c r="AY782" s="2" t="s">
        <v>83</v>
      </c>
      <c r="AZ782" s="4">
        <v>42195</v>
      </c>
      <c r="BA782" s="5">
        <v>0.93958333333333333</v>
      </c>
      <c r="BB782" s="2">
        <v>2015</v>
      </c>
      <c r="BC782" s="2" t="s">
        <v>533</v>
      </c>
      <c r="BD782" s="2">
        <v>10</v>
      </c>
      <c r="BE782" s="4">
        <v>42318</v>
      </c>
      <c r="BF782" s="5">
        <v>0.93958333333333333</v>
      </c>
      <c r="BG782" s="2" t="str" cm="1">
        <f t="array" ref="BG782">_xlfn.IFS(BF782&lt;TIMEVALUE("06:00"),"Night", BF782&gt;=TIMEVALUE("21:00"),"Night",BF782&gt;=TIMEVALUE("17:00"),"Evening",BF782&gt;=TIMEVALUE("12:00"),"Afternoon", BF782&gt;=TIMEVALUE("06:00"),"Morning")</f>
        <v>Night</v>
      </c>
      <c r="BH782" s="2">
        <v>2015</v>
      </c>
      <c r="BI782" s="2" t="s">
        <v>455</v>
      </c>
      <c r="BJ782" s="2">
        <v>10</v>
      </c>
    </row>
    <row r="783" spans="1:62" x14ac:dyDescent="0.3">
      <c r="A783" s="2" t="s">
        <v>86</v>
      </c>
      <c r="B783" s="2">
        <v>2</v>
      </c>
      <c r="C783" s="2">
        <v>4</v>
      </c>
      <c r="D783" s="2">
        <v>38</v>
      </c>
      <c r="E783" s="2">
        <v>379.96</v>
      </c>
      <c r="F783" s="2" t="s">
        <v>63</v>
      </c>
      <c r="G783" s="2" t="s">
        <v>64</v>
      </c>
      <c r="H783" s="2">
        <v>9</v>
      </c>
      <c r="I783" s="2" t="s">
        <v>496</v>
      </c>
      <c r="J783" s="2" t="s">
        <v>110</v>
      </c>
      <c r="K783" s="2" t="s">
        <v>102</v>
      </c>
      <c r="L783" s="2" t="s">
        <v>414</v>
      </c>
      <c r="M783" s="2">
        <v>4460</v>
      </c>
      <c r="N783" s="2" t="s">
        <v>425</v>
      </c>
      <c r="O783" s="2" t="s">
        <v>70</v>
      </c>
      <c r="P783" s="2" t="s">
        <v>105</v>
      </c>
      <c r="Q783" s="2" t="s">
        <v>114</v>
      </c>
      <c r="R783" s="2">
        <v>90027</v>
      </c>
      <c r="S783" s="2">
        <v>3</v>
      </c>
      <c r="T783" s="2" t="s">
        <v>466</v>
      </c>
      <c r="U783" s="2">
        <v>34.1259461</v>
      </c>
      <c r="V783" s="2">
        <v>-118.29101559999999</v>
      </c>
      <c r="W783" s="2" t="s">
        <v>528</v>
      </c>
      <c r="X783" s="2" t="s">
        <v>3282</v>
      </c>
      <c r="Y783" s="2" t="s">
        <v>530</v>
      </c>
      <c r="Z783" s="2">
        <v>4460</v>
      </c>
      <c r="AA783" s="3">
        <v>42864.701388888891</v>
      </c>
      <c r="AB783" s="2">
        <v>67046</v>
      </c>
      <c r="AC783" s="2">
        <v>191</v>
      </c>
      <c r="AD783" s="2">
        <v>20</v>
      </c>
      <c r="AE783" s="2">
        <v>0.05</v>
      </c>
      <c r="AF783" s="2" t="str" cm="1">
        <f t="array" ref="AF783">_xlfn.IFS(AE783=0, "No Discount ", AE783&lt;=0.08,"Low Discount", AE783&lt;=0.16,"Medium Discount", AE783&gt;0.16, "High Discount")</f>
        <v>Low Discount</v>
      </c>
      <c r="AG783" s="2">
        <v>167612</v>
      </c>
      <c r="AH783" s="2">
        <v>99.99</v>
      </c>
      <c r="AI783" s="2">
        <v>0.1</v>
      </c>
      <c r="AJ783" s="2" t="str" cm="1">
        <f t="array" ref="AJ783">_xlfn.IFS(AI783&lt;=0, "No Profit", AI783&lt;=0.16,"Low Profit",AI783&lt;=0.32,"Medium Profit",AI783&gt;0.32,"High Profit")</f>
        <v>Low Profit</v>
      </c>
      <c r="AK783" s="2">
        <v>4</v>
      </c>
      <c r="AL783" s="2">
        <v>399.96</v>
      </c>
      <c r="AM783" s="2">
        <v>379.96</v>
      </c>
      <c r="AN783" s="2">
        <v>38</v>
      </c>
      <c r="AO783" s="2" t="s">
        <v>531</v>
      </c>
      <c r="AP783" s="2" t="s">
        <v>532</v>
      </c>
      <c r="AQ783" s="2" t="s">
        <v>97</v>
      </c>
      <c r="AR783" s="2" t="s">
        <v>81</v>
      </c>
      <c r="AS783" s="2">
        <v>191</v>
      </c>
      <c r="AT783" s="2">
        <v>9</v>
      </c>
      <c r="AU783" s="2" t="s">
        <v>505</v>
      </c>
      <c r="AV783" s="2">
        <v>99.99</v>
      </c>
      <c r="AW783" s="2">
        <v>0</v>
      </c>
      <c r="AX783" s="3">
        <v>42925.701388888891</v>
      </c>
      <c r="AY783" s="2" t="s">
        <v>83</v>
      </c>
      <c r="AZ783" s="4">
        <v>42864</v>
      </c>
      <c r="BA783" s="5">
        <v>0.70138888888888884</v>
      </c>
      <c r="BB783" s="2">
        <v>2017</v>
      </c>
      <c r="BC783" s="2" t="s">
        <v>443</v>
      </c>
      <c r="BD783" s="2">
        <v>9</v>
      </c>
      <c r="BE783" s="4">
        <v>42925</v>
      </c>
      <c r="BF783" s="5">
        <v>0.70138888888888884</v>
      </c>
      <c r="BG783" s="2" t="str" cm="1">
        <f t="array" ref="BG783">_xlfn.IFS(BF783&lt;TIMEVALUE("06:00"),"Night", BF783&gt;=TIMEVALUE("21:00"),"Night",BF783&gt;=TIMEVALUE("17:00"),"Evening",BF783&gt;=TIMEVALUE("12:00"),"Afternoon", BF783&gt;=TIMEVALUE("06:00"),"Morning")</f>
        <v>Afternoon</v>
      </c>
      <c r="BH783" s="2">
        <v>2017</v>
      </c>
      <c r="BI783" s="2" t="s">
        <v>533</v>
      </c>
      <c r="BJ783" s="2">
        <v>9</v>
      </c>
    </row>
    <row r="784" spans="1:62" x14ac:dyDescent="0.3">
      <c r="A784" s="2" t="s">
        <v>86</v>
      </c>
      <c r="B784" s="2">
        <v>3</v>
      </c>
      <c r="C784" s="2">
        <v>4</v>
      </c>
      <c r="D784" s="2">
        <v>185.2</v>
      </c>
      <c r="E784" s="2">
        <v>377.96</v>
      </c>
      <c r="F784" s="2" t="s">
        <v>63</v>
      </c>
      <c r="G784" s="2" t="s">
        <v>64</v>
      </c>
      <c r="H784" s="2">
        <v>9</v>
      </c>
      <c r="I784" s="2" t="s">
        <v>496</v>
      </c>
      <c r="J784" s="2" t="s">
        <v>1832</v>
      </c>
      <c r="K784" s="2" t="s">
        <v>102</v>
      </c>
      <c r="L784" s="2" t="s">
        <v>3283</v>
      </c>
      <c r="M784" s="2">
        <v>6506</v>
      </c>
      <c r="N784" s="2" t="s">
        <v>3284</v>
      </c>
      <c r="O784" s="2" t="s">
        <v>70</v>
      </c>
      <c r="P784" s="2" t="s">
        <v>133</v>
      </c>
      <c r="Q784" s="2" t="s">
        <v>3285</v>
      </c>
      <c r="R784" s="2">
        <v>11229</v>
      </c>
      <c r="S784" s="2">
        <v>3</v>
      </c>
      <c r="T784" s="2" t="s">
        <v>466</v>
      </c>
      <c r="U784" s="2">
        <v>40.602378899999998</v>
      </c>
      <c r="V784" s="2">
        <v>-73.954971299999997</v>
      </c>
      <c r="W784" s="2" t="s">
        <v>528</v>
      </c>
      <c r="X784" s="2" t="s">
        <v>3286</v>
      </c>
      <c r="Y784" s="2" t="s">
        <v>557</v>
      </c>
      <c r="Z784" s="2">
        <v>6506</v>
      </c>
      <c r="AA784" s="3">
        <v>43047.38958333333</v>
      </c>
      <c r="AB784" s="2">
        <v>65312</v>
      </c>
      <c r="AC784" s="2">
        <v>191</v>
      </c>
      <c r="AD784" s="2">
        <v>22</v>
      </c>
      <c r="AE784" s="2">
        <v>0.06</v>
      </c>
      <c r="AF784" s="2" t="str" cm="1">
        <f t="array" ref="AF784">_xlfn.IFS(AE784=0, "No Discount ", AE784&lt;=0.08,"Low Discount", AE784&lt;=0.16,"Medium Discount", AE784&gt;0.16, "High Discount")</f>
        <v>Low Discount</v>
      </c>
      <c r="AG784" s="2">
        <v>163231</v>
      </c>
      <c r="AH784" s="2">
        <v>99.99</v>
      </c>
      <c r="AI784" s="2">
        <v>0.49</v>
      </c>
      <c r="AJ784" s="2" t="str" cm="1">
        <f t="array" ref="AJ784">_xlfn.IFS(AI784&lt;=0, "No Profit", AI784&lt;=0.16,"Low Profit",AI784&lt;=0.32,"Medium Profit",AI784&gt;0.32,"High Profit")</f>
        <v>High Profit</v>
      </c>
      <c r="AK784" s="2">
        <v>4</v>
      </c>
      <c r="AL784" s="2">
        <v>399.96</v>
      </c>
      <c r="AM784" s="2">
        <v>377.96</v>
      </c>
      <c r="AN784" s="2">
        <v>185.2</v>
      </c>
      <c r="AO784" s="2" t="s">
        <v>558</v>
      </c>
      <c r="AP784" s="2" t="s">
        <v>559</v>
      </c>
      <c r="AQ784" s="2" t="s">
        <v>97</v>
      </c>
      <c r="AR784" s="2" t="s">
        <v>81</v>
      </c>
      <c r="AS784" s="2">
        <v>191</v>
      </c>
      <c r="AT784" s="2">
        <v>9</v>
      </c>
      <c r="AU784" s="2" t="s">
        <v>505</v>
      </c>
      <c r="AV784" s="2">
        <v>99.99</v>
      </c>
      <c r="AW784" s="2">
        <v>0</v>
      </c>
      <c r="AX784" s="2" t="s">
        <v>3287</v>
      </c>
      <c r="AY784" s="2" t="s">
        <v>83</v>
      </c>
      <c r="AZ784" s="4">
        <v>43047</v>
      </c>
      <c r="BA784" s="5">
        <v>0.38958333333333334</v>
      </c>
      <c r="BB784" s="2">
        <v>2017</v>
      </c>
      <c r="BC784" s="2" t="s">
        <v>455</v>
      </c>
      <c r="BD784" s="2">
        <v>8</v>
      </c>
      <c r="BE784" s="4">
        <v>42961</v>
      </c>
      <c r="BF784" s="5">
        <v>0.38958333333333334</v>
      </c>
      <c r="BG784" s="2" t="str" cm="1">
        <f t="array" ref="BG784">_xlfn.IFS(BF784&lt;TIMEVALUE("06:00"),"Night", BF784&gt;=TIMEVALUE("21:00"),"Night",BF784&gt;=TIMEVALUE("17:00"),"Evening",BF784&gt;=TIMEVALUE("12:00"),"Afternoon", BF784&gt;=TIMEVALUE("06:00"),"Morning")</f>
        <v>Morning</v>
      </c>
      <c r="BH784" s="2">
        <v>2017</v>
      </c>
      <c r="BI784" s="2" t="s">
        <v>482</v>
      </c>
      <c r="BJ784" s="2">
        <v>14</v>
      </c>
    </row>
    <row r="785" spans="1:62" x14ac:dyDescent="0.3">
      <c r="A785" s="2" t="s">
        <v>86</v>
      </c>
      <c r="B785" s="2">
        <v>2</v>
      </c>
      <c r="C785" s="2">
        <v>4</v>
      </c>
      <c r="D785" s="2">
        <v>69.150000000000006</v>
      </c>
      <c r="E785" s="2">
        <v>363.96</v>
      </c>
      <c r="F785" s="2" t="s">
        <v>63</v>
      </c>
      <c r="G785" s="2" t="s">
        <v>64</v>
      </c>
      <c r="H785" s="2">
        <v>9</v>
      </c>
      <c r="I785" s="2" t="s">
        <v>496</v>
      </c>
      <c r="J785" s="2" t="s">
        <v>3288</v>
      </c>
      <c r="K785" s="2" t="s">
        <v>102</v>
      </c>
      <c r="L785" s="2" t="s">
        <v>1913</v>
      </c>
      <c r="M785" s="2">
        <v>6050</v>
      </c>
      <c r="N785" s="2" t="s">
        <v>3289</v>
      </c>
      <c r="O785" s="2" t="s">
        <v>70</v>
      </c>
      <c r="P785" s="2" t="s">
        <v>133</v>
      </c>
      <c r="Q785" s="2" t="s">
        <v>3290</v>
      </c>
      <c r="R785" s="2">
        <v>13760</v>
      </c>
      <c r="S785" s="2">
        <v>3</v>
      </c>
      <c r="T785" s="2" t="s">
        <v>466</v>
      </c>
      <c r="U785" s="2">
        <v>42.074638399999998</v>
      </c>
      <c r="V785" s="2">
        <v>-76.1240387</v>
      </c>
      <c r="W785" s="2" t="s">
        <v>528</v>
      </c>
      <c r="X785" s="2" t="s">
        <v>3291</v>
      </c>
      <c r="Y785" s="2" t="s">
        <v>904</v>
      </c>
      <c r="Z785" s="2">
        <v>6050</v>
      </c>
      <c r="AA785" s="2" t="s">
        <v>3292</v>
      </c>
      <c r="AB785" s="2">
        <v>16436</v>
      </c>
      <c r="AC785" s="2">
        <v>191</v>
      </c>
      <c r="AD785" s="2">
        <v>36</v>
      </c>
      <c r="AE785" s="2">
        <v>0.09</v>
      </c>
      <c r="AF785" s="2" t="str" cm="1">
        <f t="array" ref="AF785">_xlfn.IFS(AE785=0, "No Discount ", AE785&lt;=0.08,"Low Discount", AE785&lt;=0.16,"Medium Discount", AE785&gt;0.16, "High Discount")</f>
        <v>Medium Discount</v>
      </c>
      <c r="AG785" s="2">
        <v>41034</v>
      </c>
      <c r="AH785" s="2">
        <v>99.99</v>
      </c>
      <c r="AI785" s="2">
        <v>0.19</v>
      </c>
      <c r="AJ785" s="2" t="str" cm="1">
        <f t="array" ref="AJ785">_xlfn.IFS(AI785&lt;=0, "No Profit", AI785&lt;=0.16,"Low Profit",AI785&lt;=0.32,"Medium Profit",AI785&gt;0.32,"High Profit")</f>
        <v>Medium Profit</v>
      </c>
      <c r="AK785" s="2">
        <v>4</v>
      </c>
      <c r="AL785" s="2">
        <v>399.96</v>
      </c>
      <c r="AM785" s="2">
        <v>363.96</v>
      </c>
      <c r="AN785" s="2">
        <v>69.150000000000006</v>
      </c>
      <c r="AO785" s="2" t="s">
        <v>905</v>
      </c>
      <c r="AP785" s="2" t="s">
        <v>3293</v>
      </c>
      <c r="AQ785" s="2" t="s">
        <v>97</v>
      </c>
      <c r="AR785" s="2" t="s">
        <v>81</v>
      </c>
      <c r="AS785" s="2">
        <v>191</v>
      </c>
      <c r="AT785" s="2">
        <v>9</v>
      </c>
      <c r="AU785" s="2" t="s">
        <v>505</v>
      </c>
      <c r="AV785" s="2">
        <v>99.99</v>
      </c>
      <c r="AW785" s="2">
        <v>0</v>
      </c>
      <c r="AX785" s="2" t="s">
        <v>3294</v>
      </c>
      <c r="AY785" s="2" t="s">
        <v>83</v>
      </c>
      <c r="AZ785" s="4">
        <v>42244</v>
      </c>
      <c r="BA785" s="5">
        <v>0.91249999999999998</v>
      </c>
      <c r="BB785" s="2">
        <v>2015</v>
      </c>
      <c r="BC785" s="2" t="s">
        <v>482</v>
      </c>
      <c r="BD785" s="2">
        <v>28</v>
      </c>
      <c r="BE785" s="4">
        <v>42246</v>
      </c>
      <c r="BF785" s="5">
        <v>0.91249999999999998</v>
      </c>
      <c r="BG785" s="2" t="str" cm="1">
        <f t="array" ref="BG785">_xlfn.IFS(BF785&lt;TIMEVALUE("06:00"),"Night", BF785&gt;=TIMEVALUE("21:00"),"Night",BF785&gt;=TIMEVALUE("17:00"),"Evening",BF785&gt;=TIMEVALUE("12:00"),"Afternoon", BF785&gt;=TIMEVALUE("06:00"),"Morning")</f>
        <v>Night</v>
      </c>
      <c r="BH785" s="2">
        <v>2015</v>
      </c>
      <c r="BI785" s="2" t="s">
        <v>482</v>
      </c>
      <c r="BJ785" s="2">
        <v>30</v>
      </c>
    </row>
    <row r="786" spans="1:62" x14ac:dyDescent="0.3">
      <c r="A786" s="2" t="s">
        <v>86</v>
      </c>
      <c r="B786" s="2">
        <v>3</v>
      </c>
      <c r="C786" s="2">
        <v>4</v>
      </c>
      <c r="D786" s="2">
        <v>-69.87</v>
      </c>
      <c r="E786" s="2">
        <v>116.44</v>
      </c>
      <c r="F786" s="2" t="s">
        <v>63</v>
      </c>
      <c r="G786" s="2" t="s">
        <v>64</v>
      </c>
      <c r="H786" s="2">
        <v>13</v>
      </c>
      <c r="I786" s="2" t="s">
        <v>464</v>
      </c>
      <c r="J786" s="2" t="s">
        <v>101</v>
      </c>
      <c r="K786" s="2" t="s">
        <v>102</v>
      </c>
      <c r="L786" s="2" t="s">
        <v>2378</v>
      </c>
      <c r="M786" s="2">
        <v>3246</v>
      </c>
      <c r="N786" s="2" t="s">
        <v>1769</v>
      </c>
      <c r="O786" s="2" t="s">
        <v>70</v>
      </c>
      <c r="P786" s="2" t="s">
        <v>105</v>
      </c>
      <c r="Q786" s="2" t="s">
        <v>1349</v>
      </c>
      <c r="R786" s="2">
        <v>95148</v>
      </c>
      <c r="S786" s="2">
        <v>3</v>
      </c>
      <c r="T786" s="2" t="s">
        <v>466</v>
      </c>
      <c r="U786" s="2">
        <v>37.325542499999997</v>
      </c>
      <c r="V786" s="2">
        <v>-121.7993469</v>
      </c>
      <c r="W786" s="2" t="s">
        <v>528</v>
      </c>
      <c r="X786" s="2" t="s">
        <v>3295</v>
      </c>
      <c r="Y786" s="2" t="s">
        <v>536</v>
      </c>
      <c r="Z786" s="2">
        <v>3246</v>
      </c>
      <c r="AA786" s="2" t="s">
        <v>3296</v>
      </c>
      <c r="AB786" s="2">
        <v>11822</v>
      </c>
      <c r="AC786" s="2">
        <v>282</v>
      </c>
      <c r="AD786" s="2">
        <v>11.52</v>
      </c>
      <c r="AE786" s="2">
        <v>0.09</v>
      </c>
      <c r="AF786" s="2" t="str" cm="1">
        <f t="array" ref="AF786">_xlfn.IFS(AE786=0, "No Discount ", AE786&lt;=0.08,"Low Discount", AE786&lt;=0.16,"Medium Discount", AE786&gt;0.16, "High Discount")</f>
        <v>Medium Discount</v>
      </c>
      <c r="AG786" s="2">
        <v>29569</v>
      </c>
      <c r="AH786" s="2">
        <v>31.99</v>
      </c>
      <c r="AI786" s="2">
        <v>-0.6</v>
      </c>
      <c r="AJ786" s="2" t="str" cm="1">
        <f t="array" ref="AJ786">_xlfn.IFS(AI786&lt;=0, "No Profit", AI786&lt;=0.16,"Low Profit",AI786&lt;=0.32,"Medium Profit",AI786&gt;0.32,"High Profit")</f>
        <v>No Profit</v>
      </c>
      <c r="AK786" s="2">
        <v>4</v>
      </c>
      <c r="AL786" s="2">
        <v>127.96</v>
      </c>
      <c r="AM786" s="2">
        <v>116.44</v>
      </c>
      <c r="AN786" s="2">
        <v>-69.87</v>
      </c>
      <c r="AO786" s="2" t="s">
        <v>531</v>
      </c>
      <c r="AP786" s="2" t="s">
        <v>1000</v>
      </c>
      <c r="AQ786" s="2" t="s">
        <v>97</v>
      </c>
      <c r="AR786" s="2" t="s">
        <v>81</v>
      </c>
      <c r="AS786" s="2">
        <v>282</v>
      </c>
      <c r="AT786" s="2">
        <v>13</v>
      </c>
      <c r="AU786" s="2" t="s">
        <v>1757</v>
      </c>
      <c r="AV786" s="2">
        <v>31.99</v>
      </c>
      <c r="AW786" s="2">
        <v>0</v>
      </c>
      <c r="AX786" s="2" t="s">
        <v>3297</v>
      </c>
      <c r="AY786" s="2" t="s">
        <v>83</v>
      </c>
      <c r="AZ786" s="4">
        <v>42177</v>
      </c>
      <c r="BA786" s="5">
        <v>0.55902777777777779</v>
      </c>
      <c r="BB786" s="2">
        <v>2015</v>
      </c>
      <c r="BC786" s="2" t="s">
        <v>474</v>
      </c>
      <c r="BD786" s="2">
        <v>22</v>
      </c>
      <c r="BE786" s="4">
        <v>42180</v>
      </c>
      <c r="BF786" s="5">
        <v>0.55902777777777779</v>
      </c>
      <c r="BG786" s="2" t="str" cm="1">
        <f t="array" ref="BG786">_xlfn.IFS(BF786&lt;TIMEVALUE("06:00"),"Night", BF786&gt;=TIMEVALUE("21:00"),"Night",BF786&gt;=TIMEVALUE("17:00"),"Evening",BF786&gt;=TIMEVALUE("12:00"),"Afternoon", BF786&gt;=TIMEVALUE("06:00"),"Morning")</f>
        <v>Afternoon</v>
      </c>
      <c r="BH786" s="2">
        <v>2015</v>
      </c>
      <c r="BI786" s="2" t="s">
        <v>474</v>
      </c>
      <c r="BJ786" s="2">
        <v>25</v>
      </c>
    </row>
    <row r="787" spans="1:62" x14ac:dyDescent="0.3">
      <c r="A787" s="2" t="s">
        <v>86</v>
      </c>
      <c r="B787" s="2">
        <v>4</v>
      </c>
      <c r="C787" s="2">
        <v>4</v>
      </c>
      <c r="D787" s="2">
        <v>100.79</v>
      </c>
      <c r="E787" s="2">
        <v>359.96</v>
      </c>
      <c r="F787" s="2" t="s">
        <v>100</v>
      </c>
      <c r="G787" s="2" t="s">
        <v>64</v>
      </c>
      <c r="H787" s="2">
        <v>9</v>
      </c>
      <c r="I787" s="2" t="s">
        <v>496</v>
      </c>
      <c r="J787" s="2" t="s">
        <v>3298</v>
      </c>
      <c r="K787" s="2" t="s">
        <v>102</v>
      </c>
      <c r="L787" s="2" t="s">
        <v>489</v>
      </c>
      <c r="M787" s="2">
        <v>2364</v>
      </c>
      <c r="N787" s="2" t="s">
        <v>1009</v>
      </c>
      <c r="O787" s="2" t="s">
        <v>70</v>
      </c>
      <c r="P787" s="2" t="s">
        <v>333</v>
      </c>
      <c r="Q787" s="2" t="s">
        <v>3299</v>
      </c>
      <c r="R787" s="2">
        <v>77450</v>
      </c>
      <c r="S787" s="2">
        <v>3</v>
      </c>
      <c r="T787" s="2" t="s">
        <v>466</v>
      </c>
      <c r="U787" s="2">
        <v>29.7744103</v>
      </c>
      <c r="V787" s="2">
        <v>-95.746948200000006</v>
      </c>
      <c r="W787" s="2" t="s">
        <v>528</v>
      </c>
      <c r="X787" s="2" t="s">
        <v>3300</v>
      </c>
      <c r="Y787" s="2" t="s">
        <v>904</v>
      </c>
      <c r="Z787" s="2">
        <v>2364</v>
      </c>
      <c r="AA787" s="2" t="s">
        <v>3301</v>
      </c>
      <c r="AB787" s="2">
        <v>19528</v>
      </c>
      <c r="AC787" s="2">
        <v>191</v>
      </c>
      <c r="AD787" s="2">
        <v>40</v>
      </c>
      <c r="AE787" s="2">
        <v>0.1</v>
      </c>
      <c r="AF787" s="2" t="str" cm="1">
        <f t="array" ref="AF787">_xlfn.IFS(AE787=0, "No Discount ", AE787&lt;=0.08,"Low Discount", AE787&lt;=0.16,"Medium Discount", AE787&gt;0.16, "High Discount")</f>
        <v>Medium Discount</v>
      </c>
      <c r="AG787" s="2">
        <v>48809</v>
      </c>
      <c r="AH787" s="2">
        <v>99.99</v>
      </c>
      <c r="AI787" s="2">
        <v>0.28000000000000003</v>
      </c>
      <c r="AJ787" s="2" t="str" cm="1">
        <f t="array" ref="AJ787">_xlfn.IFS(AI787&lt;=0, "No Profit", AI787&lt;=0.16,"Low Profit",AI787&lt;=0.32,"Medium Profit",AI787&gt;0.32,"High Profit")</f>
        <v>Medium Profit</v>
      </c>
      <c r="AK787" s="2">
        <v>4</v>
      </c>
      <c r="AL787" s="2">
        <v>399.96</v>
      </c>
      <c r="AM787" s="2">
        <v>359.96</v>
      </c>
      <c r="AN787" s="2">
        <v>100.79</v>
      </c>
      <c r="AO787" s="2" t="s">
        <v>905</v>
      </c>
      <c r="AP787" s="2" t="s">
        <v>937</v>
      </c>
      <c r="AQ787" s="2" t="s">
        <v>97</v>
      </c>
      <c r="AR787" s="2" t="s">
        <v>81</v>
      </c>
      <c r="AS787" s="2">
        <v>191</v>
      </c>
      <c r="AT787" s="2">
        <v>9</v>
      </c>
      <c r="AU787" s="2" t="s">
        <v>505</v>
      </c>
      <c r="AV787" s="2">
        <v>99.99</v>
      </c>
      <c r="AW787" s="2">
        <v>0</v>
      </c>
      <c r="AX787" s="2" t="s">
        <v>3302</v>
      </c>
      <c r="AY787" s="2" t="s">
        <v>83</v>
      </c>
      <c r="AZ787" s="4">
        <v>42290</v>
      </c>
      <c r="BA787" s="5">
        <v>4.8611111111111112E-2</v>
      </c>
      <c r="BB787" s="2">
        <v>2015</v>
      </c>
      <c r="BC787" s="2" t="s">
        <v>434</v>
      </c>
      <c r="BD787" s="2">
        <v>13</v>
      </c>
      <c r="BE787" s="4">
        <v>42294</v>
      </c>
      <c r="BF787" s="5">
        <v>4.8611111111111112E-2</v>
      </c>
      <c r="BG787" s="2" t="str" cm="1">
        <f t="array" ref="BG787">_xlfn.IFS(BF787&lt;TIMEVALUE("06:00"),"Night", BF787&gt;=TIMEVALUE("21:00"),"Night",BF787&gt;=TIMEVALUE("17:00"),"Evening",BF787&gt;=TIMEVALUE("12:00"),"Afternoon", BF787&gt;=TIMEVALUE("06:00"),"Morning")</f>
        <v>Night</v>
      </c>
      <c r="BH787" s="2">
        <v>2015</v>
      </c>
      <c r="BI787" s="2" t="s">
        <v>434</v>
      </c>
      <c r="BJ787" s="2">
        <v>17</v>
      </c>
    </row>
    <row r="788" spans="1:62" x14ac:dyDescent="0.3">
      <c r="A788" s="2" t="s">
        <v>86</v>
      </c>
      <c r="B788" s="2">
        <v>4</v>
      </c>
      <c r="C788" s="2">
        <v>4</v>
      </c>
      <c r="D788" s="2">
        <v>76.02</v>
      </c>
      <c r="E788" s="2">
        <v>158.36000000000001</v>
      </c>
      <c r="F788" s="2" t="s">
        <v>100</v>
      </c>
      <c r="G788" s="2" t="s">
        <v>64</v>
      </c>
      <c r="H788" s="2">
        <v>13</v>
      </c>
      <c r="I788" s="2" t="s">
        <v>464</v>
      </c>
      <c r="J788" s="2" t="s">
        <v>3303</v>
      </c>
      <c r="K788" s="2" t="s">
        <v>102</v>
      </c>
      <c r="L788" s="2" t="s">
        <v>3304</v>
      </c>
      <c r="M788" s="2">
        <v>12216</v>
      </c>
      <c r="N788" s="2" t="s">
        <v>2543</v>
      </c>
      <c r="O788" s="2" t="s">
        <v>70</v>
      </c>
      <c r="P788" s="2" t="s">
        <v>105</v>
      </c>
      <c r="Q788" s="2" t="s">
        <v>3305</v>
      </c>
      <c r="R788" s="2">
        <v>93277</v>
      </c>
      <c r="S788" s="2">
        <v>3</v>
      </c>
      <c r="T788" s="2" t="s">
        <v>466</v>
      </c>
      <c r="U788" s="2">
        <v>36.319332099999997</v>
      </c>
      <c r="V788" s="2">
        <v>-119.2960815</v>
      </c>
      <c r="W788" s="2" t="s">
        <v>528</v>
      </c>
      <c r="X788" s="2" t="s">
        <v>3306</v>
      </c>
      <c r="Y788" s="2" t="s">
        <v>1715</v>
      </c>
      <c r="Z788" s="2">
        <v>12216</v>
      </c>
      <c r="AA788" s="2" t="s">
        <v>3307</v>
      </c>
      <c r="AB788" s="2">
        <v>49763</v>
      </c>
      <c r="AC788" s="2">
        <v>278</v>
      </c>
      <c r="AD788" s="2">
        <v>21.6</v>
      </c>
      <c r="AE788" s="2">
        <v>0.12</v>
      </c>
      <c r="AF788" s="2" t="str" cm="1">
        <f t="array" ref="AF788">_xlfn.IFS(AE788=0, "No Discount ", AE788&lt;=0.08,"Low Discount", AE788&lt;=0.16,"Medium Discount", AE788&gt;0.16, "High Discount")</f>
        <v>Medium Discount</v>
      </c>
      <c r="AG788" s="2">
        <v>124392</v>
      </c>
      <c r="AH788" s="2">
        <v>44.99</v>
      </c>
      <c r="AI788" s="2">
        <v>0.48</v>
      </c>
      <c r="AJ788" s="2" t="str" cm="1">
        <f t="array" ref="AJ788">_xlfn.IFS(AI788&lt;=0, "No Profit", AI788&lt;=0.16,"Low Profit",AI788&lt;=0.32,"Medium Profit",AI788&gt;0.32,"High Profit")</f>
        <v>High Profit</v>
      </c>
      <c r="AK788" s="2">
        <v>4</v>
      </c>
      <c r="AL788" s="2">
        <v>179.96</v>
      </c>
      <c r="AM788" s="2">
        <v>158.36000000000001</v>
      </c>
      <c r="AN788" s="2">
        <v>76.02</v>
      </c>
      <c r="AO788" s="2" t="s">
        <v>1717</v>
      </c>
      <c r="AP788" s="2" t="s">
        <v>3306</v>
      </c>
      <c r="AQ788" s="2" t="s">
        <v>97</v>
      </c>
      <c r="AR788" s="2" t="s">
        <v>81</v>
      </c>
      <c r="AS788" s="2">
        <v>278</v>
      </c>
      <c r="AT788" s="2">
        <v>13</v>
      </c>
      <c r="AU788" s="2" t="s">
        <v>472</v>
      </c>
      <c r="AV788" s="2">
        <v>44.99</v>
      </c>
      <c r="AW788" s="2">
        <v>0</v>
      </c>
      <c r="AX788" s="2" t="s">
        <v>3308</v>
      </c>
      <c r="AY788" s="2" t="s">
        <v>83</v>
      </c>
      <c r="AZ788" s="4">
        <v>42731</v>
      </c>
      <c r="BA788" s="5">
        <v>0.40972222222222221</v>
      </c>
      <c r="BB788" s="2">
        <v>2016</v>
      </c>
      <c r="BC788" s="2" t="s">
        <v>357</v>
      </c>
      <c r="BD788" s="2">
        <v>27</v>
      </c>
      <c r="BE788" s="4">
        <v>42735</v>
      </c>
      <c r="BF788" s="5">
        <v>0.40972222222222221</v>
      </c>
      <c r="BG788" s="2" t="str" cm="1">
        <f t="array" ref="BG788">_xlfn.IFS(BF788&lt;TIMEVALUE("06:00"),"Night", BF788&gt;=TIMEVALUE("21:00"),"Night",BF788&gt;=TIMEVALUE("17:00"),"Evening",BF788&gt;=TIMEVALUE("12:00"),"Afternoon", BF788&gt;=TIMEVALUE("06:00"),"Morning")</f>
        <v>Morning</v>
      </c>
      <c r="BH788" s="2">
        <v>2016</v>
      </c>
      <c r="BI788" s="2" t="s">
        <v>357</v>
      </c>
      <c r="BJ788" s="2">
        <v>31</v>
      </c>
    </row>
    <row r="789" spans="1:62" x14ac:dyDescent="0.3">
      <c r="A789" s="2" t="s">
        <v>86</v>
      </c>
      <c r="B789" s="2">
        <v>4</v>
      </c>
      <c r="C789" s="2">
        <v>4</v>
      </c>
      <c r="D789" s="2">
        <v>168.94</v>
      </c>
      <c r="E789" s="2">
        <v>351.96</v>
      </c>
      <c r="F789" s="2" t="s">
        <v>100</v>
      </c>
      <c r="G789" s="2" t="s">
        <v>64</v>
      </c>
      <c r="H789" s="2">
        <v>9</v>
      </c>
      <c r="I789" s="2" t="s">
        <v>496</v>
      </c>
      <c r="J789" s="2" t="s">
        <v>110</v>
      </c>
      <c r="K789" s="2" t="s">
        <v>102</v>
      </c>
      <c r="L789" s="2" t="s">
        <v>414</v>
      </c>
      <c r="M789" s="2">
        <v>4460</v>
      </c>
      <c r="N789" s="2" t="s">
        <v>425</v>
      </c>
      <c r="O789" s="2" t="s">
        <v>70</v>
      </c>
      <c r="P789" s="2" t="s">
        <v>105</v>
      </c>
      <c r="Q789" s="2" t="s">
        <v>114</v>
      </c>
      <c r="R789" s="2">
        <v>90027</v>
      </c>
      <c r="S789" s="2">
        <v>3</v>
      </c>
      <c r="T789" s="2" t="s">
        <v>466</v>
      </c>
      <c r="U789" s="2">
        <v>34.1259461</v>
      </c>
      <c r="V789" s="2">
        <v>-118.29101559999999</v>
      </c>
      <c r="W789" s="2" t="s">
        <v>528</v>
      </c>
      <c r="X789" s="2" t="s">
        <v>3309</v>
      </c>
      <c r="Y789" s="2" t="s">
        <v>557</v>
      </c>
      <c r="Z789" s="2">
        <v>4460</v>
      </c>
      <c r="AA789" s="2" t="s">
        <v>3310</v>
      </c>
      <c r="AB789" s="2">
        <v>16013</v>
      </c>
      <c r="AC789" s="2">
        <v>191</v>
      </c>
      <c r="AD789" s="2">
        <v>48</v>
      </c>
      <c r="AE789" s="2">
        <v>0.12</v>
      </c>
      <c r="AF789" s="2" t="str" cm="1">
        <f t="array" ref="AF789">_xlfn.IFS(AE789=0, "No Discount ", AE789&lt;=0.08,"Low Discount", AE789&lt;=0.16,"Medium Discount", AE789&gt;0.16, "High Discount")</f>
        <v>Medium Discount</v>
      </c>
      <c r="AG789" s="2">
        <v>40009</v>
      </c>
      <c r="AH789" s="2">
        <v>99.99</v>
      </c>
      <c r="AI789" s="2">
        <v>0.48</v>
      </c>
      <c r="AJ789" s="2" t="str" cm="1">
        <f t="array" ref="AJ789">_xlfn.IFS(AI789&lt;=0, "No Profit", AI789&lt;=0.16,"Low Profit",AI789&lt;=0.32,"Medium Profit",AI789&gt;0.32,"High Profit")</f>
        <v>High Profit</v>
      </c>
      <c r="AK789" s="2">
        <v>4</v>
      </c>
      <c r="AL789" s="2">
        <v>399.96</v>
      </c>
      <c r="AM789" s="2">
        <v>351.96</v>
      </c>
      <c r="AN789" s="2">
        <v>168.94</v>
      </c>
      <c r="AO789" s="2" t="s">
        <v>558</v>
      </c>
      <c r="AP789" s="2" t="s">
        <v>559</v>
      </c>
      <c r="AQ789" s="2" t="s">
        <v>97</v>
      </c>
      <c r="AR789" s="2" t="s">
        <v>81</v>
      </c>
      <c r="AS789" s="2">
        <v>191</v>
      </c>
      <c r="AT789" s="2">
        <v>9</v>
      </c>
      <c r="AU789" s="2" t="s">
        <v>505</v>
      </c>
      <c r="AV789" s="2">
        <v>99.99</v>
      </c>
      <c r="AW789" s="2">
        <v>0</v>
      </c>
      <c r="AX789" s="2" t="s">
        <v>3311</v>
      </c>
      <c r="AY789" s="2" t="s">
        <v>83</v>
      </c>
      <c r="AZ789" s="4">
        <v>42238</v>
      </c>
      <c r="BA789" s="5">
        <v>0.73819444444444449</v>
      </c>
      <c r="BB789" s="2">
        <v>2015</v>
      </c>
      <c r="BC789" s="2" t="s">
        <v>482</v>
      </c>
      <c r="BD789" s="2">
        <v>22</v>
      </c>
      <c r="BE789" s="4">
        <v>42242</v>
      </c>
      <c r="BF789" s="5">
        <v>0.73819444444444449</v>
      </c>
      <c r="BG789" s="2" t="str" cm="1">
        <f t="array" ref="BG789">_xlfn.IFS(BF789&lt;TIMEVALUE("06:00"),"Night", BF789&gt;=TIMEVALUE("21:00"),"Night",BF789&gt;=TIMEVALUE("17:00"),"Evening",BF789&gt;=TIMEVALUE("12:00"),"Afternoon", BF789&gt;=TIMEVALUE("06:00"),"Morning")</f>
        <v>Evening</v>
      </c>
      <c r="BH789" s="2">
        <v>2015</v>
      </c>
      <c r="BI789" s="2" t="s">
        <v>482</v>
      </c>
      <c r="BJ789" s="2">
        <v>26</v>
      </c>
    </row>
    <row r="790" spans="1:62" x14ac:dyDescent="0.3">
      <c r="A790" s="2" t="s">
        <v>86</v>
      </c>
      <c r="B790" s="2">
        <v>3</v>
      </c>
      <c r="C790" s="2">
        <v>4</v>
      </c>
      <c r="D790" s="2">
        <v>147.83000000000001</v>
      </c>
      <c r="E790" s="2">
        <v>351.96</v>
      </c>
      <c r="F790" s="2" t="s">
        <v>63</v>
      </c>
      <c r="G790" s="2" t="s">
        <v>64</v>
      </c>
      <c r="H790" s="2">
        <v>9</v>
      </c>
      <c r="I790" s="2" t="s">
        <v>496</v>
      </c>
      <c r="J790" s="2" t="s">
        <v>206</v>
      </c>
      <c r="K790" s="2" t="s">
        <v>102</v>
      </c>
      <c r="L790" s="2" t="s">
        <v>414</v>
      </c>
      <c r="M790" s="2">
        <v>11388</v>
      </c>
      <c r="N790" s="2" t="s">
        <v>3312</v>
      </c>
      <c r="O790" s="2" t="s">
        <v>70</v>
      </c>
      <c r="P790" s="2" t="s">
        <v>105</v>
      </c>
      <c r="Q790" s="2" t="s">
        <v>3313</v>
      </c>
      <c r="R790" s="2">
        <v>93535</v>
      </c>
      <c r="S790" s="2">
        <v>3</v>
      </c>
      <c r="T790" s="2" t="s">
        <v>466</v>
      </c>
      <c r="U790" s="2">
        <v>34.697032900000004</v>
      </c>
      <c r="V790" s="2">
        <v>-118.08830260000001</v>
      </c>
      <c r="W790" s="2" t="s">
        <v>528</v>
      </c>
      <c r="X790" s="2" t="s">
        <v>3314</v>
      </c>
      <c r="Y790" s="2" t="s">
        <v>536</v>
      </c>
      <c r="Z790" s="2">
        <v>11388</v>
      </c>
      <c r="AA790" s="3">
        <v>42317.211111111108</v>
      </c>
      <c r="AB790" s="2">
        <v>17347</v>
      </c>
      <c r="AC790" s="2">
        <v>191</v>
      </c>
      <c r="AD790" s="2">
        <v>48</v>
      </c>
      <c r="AE790" s="2">
        <v>0.12</v>
      </c>
      <c r="AF790" s="2" t="str" cm="1">
        <f t="array" ref="AF790">_xlfn.IFS(AE790=0, "No Discount ", AE790&lt;=0.08,"Low Discount", AE790&lt;=0.16,"Medium Discount", AE790&gt;0.16, "High Discount")</f>
        <v>Medium Discount</v>
      </c>
      <c r="AG790" s="2">
        <v>43356</v>
      </c>
      <c r="AH790" s="2">
        <v>99.99</v>
      </c>
      <c r="AI790" s="2">
        <v>0.42</v>
      </c>
      <c r="AJ790" s="2" t="str" cm="1">
        <f t="array" ref="AJ790">_xlfn.IFS(AI790&lt;=0, "No Profit", AI790&lt;=0.16,"Low Profit",AI790&lt;=0.32,"Medium Profit",AI790&gt;0.32,"High Profit")</f>
        <v>High Profit</v>
      </c>
      <c r="AK790" s="2">
        <v>4</v>
      </c>
      <c r="AL790" s="2">
        <v>399.96</v>
      </c>
      <c r="AM790" s="2">
        <v>351.96</v>
      </c>
      <c r="AN790" s="2">
        <v>147.83000000000001</v>
      </c>
      <c r="AO790" s="2" t="s">
        <v>531</v>
      </c>
      <c r="AP790" s="2" t="s">
        <v>538</v>
      </c>
      <c r="AQ790" s="2" t="s">
        <v>97</v>
      </c>
      <c r="AR790" s="2" t="s">
        <v>81</v>
      </c>
      <c r="AS790" s="2">
        <v>191</v>
      </c>
      <c r="AT790" s="2">
        <v>9</v>
      </c>
      <c r="AU790" s="2" t="s">
        <v>505</v>
      </c>
      <c r="AV790" s="2">
        <v>99.99</v>
      </c>
      <c r="AW790" s="2">
        <v>0</v>
      </c>
      <c r="AX790" s="2" t="s">
        <v>3315</v>
      </c>
      <c r="AY790" s="2" t="s">
        <v>83</v>
      </c>
      <c r="AZ790" s="4">
        <v>42317</v>
      </c>
      <c r="BA790" s="5">
        <v>0.21111111111111111</v>
      </c>
      <c r="BB790" s="2">
        <v>2015</v>
      </c>
      <c r="BC790" s="2" t="s">
        <v>455</v>
      </c>
      <c r="BD790" s="2">
        <v>9</v>
      </c>
      <c r="BE790" s="4">
        <v>42261</v>
      </c>
      <c r="BF790" s="5">
        <v>0.21111111111111111</v>
      </c>
      <c r="BG790" s="2" t="str" cm="1">
        <f t="array" ref="BG790">_xlfn.IFS(BF790&lt;TIMEVALUE("06:00"),"Night", BF790&gt;=TIMEVALUE("21:00"),"Night",BF790&gt;=TIMEVALUE("17:00"),"Evening",BF790&gt;=TIMEVALUE("12:00"),"Afternoon", BF790&gt;=TIMEVALUE("06:00"),"Morning")</f>
        <v>Night</v>
      </c>
      <c r="BH790" s="2">
        <v>2015</v>
      </c>
      <c r="BI790" s="2" t="s">
        <v>552</v>
      </c>
      <c r="BJ790" s="2">
        <v>14</v>
      </c>
    </row>
    <row r="791" spans="1:62" x14ac:dyDescent="0.3">
      <c r="A791" s="2" t="s">
        <v>86</v>
      </c>
      <c r="B791" s="2">
        <v>2</v>
      </c>
      <c r="C791" s="2">
        <v>4</v>
      </c>
      <c r="D791" s="2">
        <v>-69.59</v>
      </c>
      <c r="E791" s="2">
        <v>347.97</v>
      </c>
      <c r="F791" s="2" t="s">
        <v>63</v>
      </c>
      <c r="G791" s="2" t="s">
        <v>64</v>
      </c>
      <c r="H791" s="2">
        <v>9</v>
      </c>
      <c r="I791" s="2" t="s">
        <v>496</v>
      </c>
      <c r="J791" s="2" t="s">
        <v>1266</v>
      </c>
      <c r="K791" s="2" t="s">
        <v>102</v>
      </c>
      <c r="L791" s="2" t="s">
        <v>414</v>
      </c>
      <c r="M791" s="2">
        <v>7521</v>
      </c>
      <c r="N791" s="2" t="s">
        <v>1267</v>
      </c>
      <c r="O791" s="2" t="s">
        <v>70</v>
      </c>
      <c r="P791" s="2" t="s">
        <v>280</v>
      </c>
      <c r="Q791" s="2" t="s">
        <v>1268</v>
      </c>
      <c r="R791" s="2">
        <v>17402</v>
      </c>
      <c r="S791" s="2">
        <v>3</v>
      </c>
      <c r="T791" s="2" t="s">
        <v>466</v>
      </c>
      <c r="U791" s="2">
        <v>39.960235599999997</v>
      </c>
      <c r="V791" s="2">
        <v>-76.676757800000004</v>
      </c>
      <c r="W791" s="2" t="s">
        <v>528</v>
      </c>
      <c r="X791" s="2" t="s">
        <v>3316</v>
      </c>
      <c r="Y791" s="2" t="s">
        <v>2791</v>
      </c>
      <c r="Z791" s="2">
        <v>7521</v>
      </c>
      <c r="AA791" s="3">
        <v>42348.581944444442</v>
      </c>
      <c r="AB791" s="2">
        <v>19496</v>
      </c>
      <c r="AC791" s="2">
        <v>191</v>
      </c>
      <c r="AD791" s="2">
        <v>51.99</v>
      </c>
      <c r="AE791" s="2">
        <v>0.13</v>
      </c>
      <c r="AF791" s="2" t="str" cm="1">
        <f t="array" ref="AF791">_xlfn.IFS(AE791=0, "No Discount ", AE791&lt;=0.08,"Low Discount", AE791&lt;=0.16,"Medium Discount", AE791&gt;0.16, "High Discount")</f>
        <v>Medium Discount</v>
      </c>
      <c r="AG791" s="2">
        <v>48717</v>
      </c>
      <c r="AH791" s="2">
        <v>99.99</v>
      </c>
      <c r="AI791" s="2">
        <v>-0.2</v>
      </c>
      <c r="AJ791" s="2" t="str" cm="1">
        <f t="array" ref="AJ791">_xlfn.IFS(AI791&lt;=0, "No Profit", AI791&lt;=0.16,"Low Profit",AI791&lt;=0.32,"Medium Profit",AI791&gt;0.32,"High Profit")</f>
        <v>No Profit</v>
      </c>
      <c r="AK791" s="2">
        <v>4</v>
      </c>
      <c r="AL791" s="2">
        <v>399.96</v>
      </c>
      <c r="AM791" s="2">
        <v>347.97</v>
      </c>
      <c r="AN791" s="2">
        <v>-69.59</v>
      </c>
      <c r="AO791" s="2" t="s">
        <v>531</v>
      </c>
      <c r="AP791" s="2" t="s">
        <v>3317</v>
      </c>
      <c r="AQ791" s="2" t="s">
        <v>97</v>
      </c>
      <c r="AR791" s="2" t="s">
        <v>81</v>
      </c>
      <c r="AS791" s="2">
        <v>191</v>
      </c>
      <c r="AT791" s="2">
        <v>9</v>
      </c>
      <c r="AU791" s="2" t="s">
        <v>505</v>
      </c>
      <c r="AV791" s="2">
        <v>99.99</v>
      </c>
      <c r="AW791" s="2">
        <v>0</v>
      </c>
      <c r="AX791" s="2" t="s">
        <v>3318</v>
      </c>
      <c r="AY791" s="2" t="s">
        <v>83</v>
      </c>
      <c r="AZ791" s="4">
        <v>42348</v>
      </c>
      <c r="BA791" s="5">
        <v>0.58194444444444449</v>
      </c>
      <c r="BB791" s="2">
        <v>2015</v>
      </c>
      <c r="BC791" s="2" t="s">
        <v>357</v>
      </c>
      <c r="BD791" s="2">
        <v>10</v>
      </c>
      <c r="BE791" s="4">
        <v>42291</v>
      </c>
      <c r="BF791" s="5">
        <v>0.58194444444444449</v>
      </c>
      <c r="BG791" s="2" t="str" cm="1">
        <f t="array" ref="BG791">_xlfn.IFS(BF791&lt;TIMEVALUE("06:00"),"Night", BF791&gt;=TIMEVALUE("21:00"),"Night",BF791&gt;=TIMEVALUE("17:00"),"Evening",BF791&gt;=TIMEVALUE("12:00"),"Afternoon", BF791&gt;=TIMEVALUE("06:00"),"Morning")</f>
        <v>Afternoon</v>
      </c>
      <c r="BH791" s="2">
        <v>2015</v>
      </c>
      <c r="BI791" s="2" t="s">
        <v>434</v>
      </c>
      <c r="BJ791" s="2">
        <v>14</v>
      </c>
    </row>
    <row r="792" spans="1:62" x14ac:dyDescent="0.3">
      <c r="A792" s="2" t="s">
        <v>86</v>
      </c>
      <c r="B792" s="2">
        <v>5</v>
      </c>
      <c r="C792" s="2">
        <v>4</v>
      </c>
      <c r="D792" s="2">
        <v>105.39</v>
      </c>
      <c r="E792" s="2">
        <v>339.97</v>
      </c>
      <c r="F792" s="2" t="s">
        <v>87</v>
      </c>
      <c r="G792" s="2" t="s">
        <v>88</v>
      </c>
      <c r="H792" s="2">
        <v>9</v>
      </c>
      <c r="I792" s="2" t="s">
        <v>496</v>
      </c>
      <c r="J792" s="2" t="s">
        <v>1736</v>
      </c>
      <c r="K792" s="2" t="s">
        <v>102</v>
      </c>
      <c r="L792" s="2" t="s">
        <v>1694</v>
      </c>
      <c r="M792" s="2">
        <v>1628</v>
      </c>
      <c r="N792" s="2" t="s">
        <v>425</v>
      </c>
      <c r="O792" s="2" t="s">
        <v>70</v>
      </c>
      <c r="P792" s="2" t="s">
        <v>1254</v>
      </c>
      <c r="Q792" s="2" t="s">
        <v>3319</v>
      </c>
      <c r="R792" s="2">
        <v>85022</v>
      </c>
      <c r="S792" s="2">
        <v>3</v>
      </c>
      <c r="T792" s="2" t="s">
        <v>466</v>
      </c>
      <c r="U792" s="2">
        <v>33.647819499999997</v>
      </c>
      <c r="V792" s="2">
        <v>-112.0518799</v>
      </c>
      <c r="W792" s="2" t="s">
        <v>528</v>
      </c>
      <c r="X792" s="2" t="s">
        <v>2446</v>
      </c>
      <c r="Y792" s="2" t="s">
        <v>530</v>
      </c>
      <c r="Z792" s="2">
        <v>1628</v>
      </c>
      <c r="AA792" s="3">
        <v>42862.559027777781</v>
      </c>
      <c r="AB792" s="2">
        <v>62789</v>
      </c>
      <c r="AC792" s="2">
        <v>191</v>
      </c>
      <c r="AD792" s="2">
        <v>59.99</v>
      </c>
      <c r="AE792" s="2">
        <v>0.15</v>
      </c>
      <c r="AF792" s="2" t="str" cm="1">
        <f t="array" ref="AF792">_xlfn.IFS(AE792=0, "No Discount ", AE792&lt;=0.08,"Low Discount", AE792&lt;=0.16,"Medium Discount", AE792&gt;0.16, "High Discount")</f>
        <v>Medium Discount</v>
      </c>
      <c r="AG792" s="2">
        <v>156983</v>
      </c>
      <c r="AH792" s="2">
        <v>99.99</v>
      </c>
      <c r="AI792" s="2">
        <v>0.31</v>
      </c>
      <c r="AJ792" s="2" t="str" cm="1">
        <f t="array" ref="AJ792">_xlfn.IFS(AI792&lt;=0, "No Profit", AI792&lt;=0.16,"Low Profit",AI792&lt;=0.32,"Medium Profit",AI792&gt;0.32,"High Profit")</f>
        <v>Medium Profit</v>
      </c>
      <c r="AK792" s="2">
        <v>4</v>
      </c>
      <c r="AL792" s="2">
        <v>399.96</v>
      </c>
      <c r="AM792" s="2">
        <v>339.97</v>
      </c>
      <c r="AN792" s="2">
        <v>105.39</v>
      </c>
      <c r="AO792" s="2" t="s">
        <v>531</v>
      </c>
      <c r="AP792" s="2" t="s">
        <v>914</v>
      </c>
      <c r="AQ792" s="2" t="s">
        <v>97</v>
      </c>
      <c r="AR792" s="2" t="s">
        <v>81</v>
      </c>
      <c r="AS792" s="2">
        <v>191</v>
      </c>
      <c r="AT792" s="2">
        <v>9</v>
      </c>
      <c r="AU792" s="2" t="s">
        <v>505</v>
      </c>
      <c r="AV792" s="2">
        <v>99.99</v>
      </c>
      <c r="AW792" s="2">
        <v>0</v>
      </c>
      <c r="AX792" s="3">
        <v>43015.559027777781</v>
      </c>
      <c r="AY792" s="2" t="s">
        <v>83</v>
      </c>
      <c r="AZ792" s="4">
        <v>42862</v>
      </c>
      <c r="BA792" s="5">
        <v>0.55902777777777779</v>
      </c>
      <c r="BB792" s="2">
        <v>2017</v>
      </c>
      <c r="BC792" s="2" t="s">
        <v>443</v>
      </c>
      <c r="BD792" s="2">
        <v>7</v>
      </c>
      <c r="BE792" s="4">
        <v>43015</v>
      </c>
      <c r="BF792" s="5">
        <v>0.55902777777777779</v>
      </c>
      <c r="BG792" s="2" t="str" cm="1">
        <f t="array" ref="BG792">_xlfn.IFS(BF792&lt;TIMEVALUE("06:00"),"Night", BF792&gt;=TIMEVALUE("21:00"),"Night",BF792&gt;=TIMEVALUE("17:00"),"Evening",BF792&gt;=TIMEVALUE("12:00"),"Afternoon", BF792&gt;=TIMEVALUE("06:00"),"Morning")</f>
        <v>Afternoon</v>
      </c>
      <c r="BH792" s="2">
        <v>2017</v>
      </c>
      <c r="BI792" s="2" t="s">
        <v>434</v>
      </c>
      <c r="BJ792" s="2">
        <v>7</v>
      </c>
    </row>
    <row r="793" spans="1:62" x14ac:dyDescent="0.3">
      <c r="A793" s="2" t="s">
        <v>86</v>
      </c>
      <c r="B793" s="2">
        <v>5</v>
      </c>
      <c r="C793" s="2">
        <v>4</v>
      </c>
      <c r="D793" s="2">
        <v>87.35</v>
      </c>
      <c r="E793" s="2">
        <v>335.97</v>
      </c>
      <c r="F793" s="2" t="s">
        <v>87</v>
      </c>
      <c r="G793" s="2" t="s">
        <v>88</v>
      </c>
      <c r="H793" s="2">
        <v>9</v>
      </c>
      <c r="I793" s="2" t="s">
        <v>496</v>
      </c>
      <c r="J793" s="2" t="s">
        <v>3320</v>
      </c>
      <c r="K793" s="2" t="s">
        <v>102</v>
      </c>
      <c r="L793" s="2" t="s">
        <v>3321</v>
      </c>
      <c r="M793" s="2">
        <v>7222</v>
      </c>
      <c r="N793" s="2" t="s">
        <v>2227</v>
      </c>
      <c r="O793" s="2" t="s">
        <v>70</v>
      </c>
      <c r="P793" s="2" t="s">
        <v>105</v>
      </c>
      <c r="Q793" s="2" t="s">
        <v>3322</v>
      </c>
      <c r="R793" s="2">
        <v>93436</v>
      </c>
      <c r="S793" s="2">
        <v>3</v>
      </c>
      <c r="T793" s="2" t="s">
        <v>466</v>
      </c>
      <c r="U793" s="2">
        <v>34.587642700000004</v>
      </c>
      <c r="V793" s="2">
        <v>-120.4081879</v>
      </c>
      <c r="W793" s="2" t="s">
        <v>528</v>
      </c>
      <c r="X793" s="2" t="s">
        <v>3323</v>
      </c>
      <c r="Y793" s="2" t="s">
        <v>536</v>
      </c>
      <c r="Z793" s="2">
        <v>7222</v>
      </c>
      <c r="AA793" s="2" t="s">
        <v>3324</v>
      </c>
      <c r="AB793" s="2">
        <v>11674</v>
      </c>
      <c r="AC793" s="2">
        <v>191</v>
      </c>
      <c r="AD793" s="2">
        <v>63.99</v>
      </c>
      <c r="AE793" s="2">
        <v>0.16</v>
      </c>
      <c r="AF793" s="2" t="str" cm="1">
        <f t="array" ref="AF793">_xlfn.IFS(AE793=0, "No Discount ", AE793&lt;=0.08,"Low Discount", AE793&lt;=0.16,"Medium Discount", AE793&gt;0.16, "High Discount")</f>
        <v>Medium Discount</v>
      </c>
      <c r="AG793" s="2">
        <v>29198</v>
      </c>
      <c r="AH793" s="2">
        <v>99.99</v>
      </c>
      <c r="AI793" s="2">
        <v>0.26</v>
      </c>
      <c r="AJ793" s="2" t="str" cm="1">
        <f t="array" ref="AJ793">_xlfn.IFS(AI793&lt;=0, "No Profit", AI793&lt;=0.16,"Low Profit",AI793&lt;=0.32,"Medium Profit",AI793&gt;0.32,"High Profit")</f>
        <v>Medium Profit</v>
      </c>
      <c r="AK793" s="2">
        <v>4</v>
      </c>
      <c r="AL793" s="2">
        <v>399.96</v>
      </c>
      <c r="AM793" s="2">
        <v>335.97</v>
      </c>
      <c r="AN793" s="2">
        <v>87.35</v>
      </c>
      <c r="AO793" s="2" t="s">
        <v>531</v>
      </c>
      <c r="AP793" s="2" t="s">
        <v>1014</v>
      </c>
      <c r="AQ793" s="2" t="s">
        <v>97</v>
      </c>
      <c r="AR793" s="2" t="s">
        <v>81</v>
      </c>
      <c r="AS793" s="2">
        <v>191</v>
      </c>
      <c r="AT793" s="2">
        <v>9</v>
      </c>
      <c r="AU793" s="2" t="s">
        <v>505</v>
      </c>
      <c r="AV793" s="2">
        <v>99.99</v>
      </c>
      <c r="AW793" s="2">
        <v>0</v>
      </c>
      <c r="AX793" s="2" t="s">
        <v>3325</v>
      </c>
      <c r="AY793" s="2" t="s">
        <v>83</v>
      </c>
      <c r="AZ793" s="4">
        <v>42175</v>
      </c>
      <c r="BA793" s="5">
        <v>0.39861111111111114</v>
      </c>
      <c r="BB793" s="2">
        <v>2015</v>
      </c>
      <c r="BC793" s="2" t="s">
        <v>474</v>
      </c>
      <c r="BD793" s="2">
        <v>20</v>
      </c>
      <c r="BE793" s="4">
        <v>42180</v>
      </c>
      <c r="BF793" s="5">
        <v>0.39861111111111114</v>
      </c>
      <c r="BG793" s="2" t="str" cm="1">
        <f t="array" ref="BG793">_xlfn.IFS(BF793&lt;TIMEVALUE("06:00"),"Night", BF793&gt;=TIMEVALUE("21:00"),"Night",BF793&gt;=TIMEVALUE("17:00"),"Evening",BF793&gt;=TIMEVALUE("12:00"),"Afternoon", BF793&gt;=TIMEVALUE("06:00"),"Morning")</f>
        <v>Morning</v>
      </c>
      <c r="BH793" s="2">
        <v>2015</v>
      </c>
      <c r="BI793" s="2" t="s">
        <v>474</v>
      </c>
      <c r="BJ793" s="2">
        <v>25</v>
      </c>
    </row>
    <row r="794" spans="1:62" x14ac:dyDescent="0.3">
      <c r="A794" s="2" t="s">
        <v>86</v>
      </c>
      <c r="B794" s="2">
        <v>2</v>
      </c>
      <c r="C794" s="2">
        <v>4</v>
      </c>
      <c r="D794" s="2">
        <v>28.86</v>
      </c>
      <c r="E794" s="2">
        <v>327.97</v>
      </c>
      <c r="F794" s="2" t="s">
        <v>63</v>
      </c>
      <c r="G794" s="2" t="s">
        <v>64</v>
      </c>
      <c r="H794" s="2">
        <v>9</v>
      </c>
      <c r="I794" s="2" t="s">
        <v>496</v>
      </c>
      <c r="J794" s="2" t="s">
        <v>149</v>
      </c>
      <c r="K794" s="2" t="s">
        <v>102</v>
      </c>
      <c r="L794" s="2" t="s">
        <v>414</v>
      </c>
      <c r="M794" s="2">
        <v>5929</v>
      </c>
      <c r="N794" s="2" t="s">
        <v>3326</v>
      </c>
      <c r="O794" s="2" t="s">
        <v>70</v>
      </c>
      <c r="P794" s="2" t="s">
        <v>152</v>
      </c>
      <c r="Q794" s="2" t="s">
        <v>3327</v>
      </c>
      <c r="R794" s="2">
        <v>33186</v>
      </c>
      <c r="S794" s="2">
        <v>3</v>
      </c>
      <c r="T794" s="2" t="s">
        <v>466</v>
      </c>
      <c r="U794" s="2">
        <v>25.7743702</v>
      </c>
      <c r="V794" s="2">
        <v>-80.193779000000006</v>
      </c>
      <c r="W794" s="2" t="s">
        <v>528</v>
      </c>
      <c r="X794" s="2" t="s">
        <v>3328</v>
      </c>
      <c r="Y794" s="2" t="s">
        <v>904</v>
      </c>
      <c r="Z794" s="2">
        <v>5929</v>
      </c>
      <c r="AA794" s="2" t="s">
        <v>3329</v>
      </c>
      <c r="AB794" s="2">
        <v>67866</v>
      </c>
      <c r="AC794" s="2">
        <v>191</v>
      </c>
      <c r="AD794" s="2">
        <v>71.989999999999995</v>
      </c>
      <c r="AE794" s="2">
        <v>0.18</v>
      </c>
      <c r="AF794" s="2" t="str" cm="1">
        <f t="array" ref="AF794">_xlfn.IFS(AE794=0, "No Discount ", AE794&lt;=0.08,"Low Discount", AE794&lt;=0.16,"Medium Discount", AE794&gt;0.16, "High Discount")</f>
        <v>High Discount</v>
      </c>
      <c r="AG794" s="2">
        <v>169683</v>
      </c>
      <c r="AH794" s="2">
        <v>99.99</v>
      </c>
      <c r="AI794" s="2">
        <v>0.09</v>
      </c>
      <c r="AJ794" s="2" t="str" cm="1">
        <f t="array" ref="AJ794">_xlfn.IFS(AI794&lt;=0, "No Profit", AI794&lt;=0.16,"Low Profit",AI794&lt;=0.32,"Medium Profit",AI794&gt;0.32,"High Profit")</f>
        <v>Low Profit</v>
      </c>
      <c r="AK794" s="2">
        <v>4</v>
      </c>
      <c r="AL794" s="2">
        <v>399.96</v>
      </c>
      <c r="AM794" s="2">
        <v>327.97</v>
      </c>
      <c r="AN794" s="2">
        <v>28.86</v>
      </c>
      <c r="AO794" s="2" t="s">
        <v>905</v>
      </c>
      <c r="AP794" s="2" t="s">
        <v>1763</v>
      </c>
      <c r="AQ794" s="2" t="s">
        <v>97</v>
      </c>
      <c r="AR794" s="2" t="s">
        <v>81</v>
      </c>
      <c r="AS794" s="2">
        <v>191</v>
      </c>
      <c r="AT794" s="2">
        <v>9</v>
      </c>
      <c r="AU794" s="2" t="s">
        <v>505</v>
      </c>
      <c r="AV794" s="2">
        <v>99.99</v>
      </c>
      <c r="AW794" s="2">
        <v>0</v>
      </c>
      <c r="AX794" s="2" t="s">
        <v>3330</v>
      </c>
      <c r="AY794" s="2" t="s">
        <v>83</v>
      </c>
      <c r="AZ794" s="4">
        <v>42995</v>
      </c>
      <c r="BA794" s="5">
        <v>0.67152777777777772</v>
      </c>
      <c r="BB794" s="2">
        <v>2017</v>
      </c>
      <c r="BC794" s="2" t="s">
        <v>552</v>
      </c>
      <c r="BD794" s="2">
        <v>17</v>
      </c>
      <c r="BE794" s="4">
        <v>42997</v>
      </c>
      <c r="BF794" s="5">
        <v>0.67152777777777772</v>
      </c>
      <c r="BG794" s="2" t="str" cm="1">
        <f t="array" ref="BG794">_xlfn.IFS(BF794&lt;TIMEVALUE("06:00"),"Night", BF794&gt;=TIMEVALUE("21:00"),"Night",BF794&gt;=TIMEVALUE("17:00"),"Evening",BF794&gt;=TIMEVALUE("12:00"),"Afternoon", BF794&gt;=TIMEVALUE("06:00"),"Morning")</f>
        <v>Afternoon</v>
      </c>
      <c r="BH794" s="2">
        <v>2017</v>
      </c>
      <c r="BI794" s="2" t="s">
        <v>552</v>
      </c>
      <c r="BJ794" s="2">
        <v>19</v>
      </c>
    </row>
    <row r="795" spans="1:62" x14ac:dyDescent="0.3">
      <c r="A795" s="2" t="s">
        <v>86</v>
      </c>
      <c r="B795" s="2">
        <v>5</v>
      </c>
      <c r="C795" s="2">
        <v>4</v>
      </c>
      <c r="D795" s="2">
        <v>20.16</v>
      </c>
      <c r="E795" s="2">
        <v>319.97000000000003</v>
      </c>
      <c r="F795" s="2" t="s">
        <v>87</v>
      </c>
      <c r="G795" s="2" t="s">
        <v>88</v>
      </c>
      <c r="H795" s="2">
        <v>9</v>
      </c>
      <c r="I795" s="2" t="s">
        <v>496</v>
      </c>
      <c r="J795" s="2" t="s">
        <v>1266</v>
      </c>
      <c r="K795" s="2" t="s">
        <v>102</v>
      </c>
      <c r="L795" s="2" t="s">
        <v>414</v>
      </c>
      <c r="M795" s="2">
        <v>6123</v>
      </c>
      <c r="N795" s="2" t="s">
        <v>2418</v>
      </c>
      <c r="O795" s="2" t="s">
        <v>70</v>
      </c>
      <c r="P795" s="2" t="s">
        <v>280</v>
      </c>
      <c r="Q795" s="2" t="s">
        <v>3331</v>
      </c>
      <c r="R795" s="2">
        <v>17404</v>
      </c>
      <c r="S795" s="2">
        <v>3</v>
      </c>
      <c r="T795" s="2" t="s">
        <v>466</v>
      </c>
      <c r="U795" s="2">
        <v>39.954799700000002</v>
      </c>
      <c r="V795" s="2">
        <v>-76.757873500000002</v>
      </c>
      <c r="W795" s="2" t="s">
        <v>528</v>
      </c>
      <c r="X795" s="2" t="s">
        <v>3332</v>
      </c>
      <c r="Y795" s="2" t="s">
        <v>530</v>
      </c>
      <c r="Z795" s="2">
        <v>6123</v>
      </c>
      <c r="AA795" s="2" t="s">
        <v>3333</v>
      </c>
      <c r="AB795" s="2">
        <v>13599</v>
      </c>
      <c r="AC795" s="2">
        <v>191</v>
      </c>
      <c r="AD795" s="2">
        <v>79.989999999999995</v>
      </c>
      <c r="AE795" s="2">
        <v>0.2</v>
      </c>
      <c r="AF795" s="2" t="str" cm="1">
        <f t="array" ref="AF795">_xlfn.IFS(AE795=0, "No Discount ", AE795&lt;=0.08,"Low Discount", AE795&lt;=0.16,"Medium Discount", AE795&gt;0.16, "High Discount")</f>
        <v>High Discount</v>
      </c>
      <c r="AG795" s="2">
        <v>34073</v>
      </c>
      <c r="AH795" s="2">
        <v>99.99</v>
      </c>
      <c r="AI795" s="2">
        <v>0.06</v>
      </c>
      <c r="AJ795" s="2" t="str" cm="1">
        <f t="array" ref="AJ795">_xlfn.IFS(AI795&lt;=0, "No Profit", AI795&lt;=0.16,"Low Profit",AI795&lt;=0.32,"Medium Profit",AI795&gt;0.32,"High Profit")</f>
        <v>Low Profit</v>
      </c>
      <c r="AK795" s="2">
        <v>4</v>
      </c>
      <c r="AL795" s="2">
        <v>399.96</v>
      </c>
      <c r="AM795" s="2">
        <v>319.97000000000003</v>
      </c>
      <c r="AN795" s="2">
        <v>20.16</v>
      </c>
      <c r="AO795" s="2" t="s">
        <v>531</v>
      </c>
      <c r="AP795" s="2" t="s">
        <v>2704</v>
      </c>
      <c r="AQ795" s="2" t="s">
        <v>97</v>
      </c>
      <c r="AR795" s="2" t="s">
        <v>81</v>
      </c>
      <c r="AS795" s="2">
        <v>191</v>
      </c>
      <c r="AT795" s="2">
        <v>9</v>
      </c>
      <c r="AU795" s="2" t="s">
        <v>505</v>
      </c>
      <c r="AV795" s="2">
        <v>99.99</v>
      </c>
      <c r="AW795" s="2">
        <v>0</v>
      </c>
      <c r="AX795" s="2" t="s">
        <v>3334</v>
      </c>
      <c r="AY795" s="2" t="s">
        <v>83</v>
      </c>
      <c r="AZ795" s="4">
        <v>42203</v>
      </c>
      <c r="BA795" s="5">
        <v>0.49930555555555556</v>
      </c>
      <c r="BB795" s="2">
        <v>2015</v>
      </c>
      <c r="BC795" s="2" t="s">
        <v>533</v>
      </c>
      <c r="BD795" s="2">
        <v>18</v>
      </c>
      <c r="BE795" s="4">
        <v>42208</v>
      </c>
      <c r="BF795" s="5">
        <v>0.49930555555555556</v>
      </c>
      <c r="BG795" s="2" t="str" cm="1">
        <f t="array" ref="BG795">_xlfn.IFS(BF795&lt;TIMEVALUE("06:00"),"Night", BF795&gt;=TIMEVALUE("21:00"),"Night",BF795&gt;=TIMEVALUE("17:00"),"Evening",BF795&gt;=TIMEVALUE("12:00"),"Afternoon", BF795&gt;=TIMEVALUE("06:00"),"Morning")</f>
        <v>Morning</v>
      </c>
      <c r="BH795" s="2">
        <v>2015</v>
      </c>
      <c r="BI795" s="2" t="s">
        <v>533</v>
      </c>
      <c r="BJ795" s="2">
        <v>23</v>
      </c>
    </row>
    <row r="796" spans="1:62" x14ac:dyDescent="0.3">
      <c r="A796" s="2" t="s">
        <v>86</v>
      </c>
      <c r="B796" s="2">
        <v>5</v>
      </c>
      <c r="C796" s="2">
        <v>4</v>
      </c>
      <c r="D796" s="2">
        <v>-39.11</v>
      </c>
      <c r="E796" s="2">
        <v>239.96</v>
      </c>
      <c r="F796" s="2" t="s">
        <v>87</v>
      </c>
      <c r="G796" s="2" t="s">
        <v>88</v>
      </c>
      <c r="H796" s="2">
        <v>17</v>
      </c>
      <c r="I796" s="2" t="s">
        <v>412</v>
      </c>
      <c r="J796" s="2" t="s">
        <v>3335</v>
      </c>
      <c r="K796" s="2" t="s">
        <v>102</v>
      </c>
      <c r="L796" s="2" t="s">
        <v>1798</v>
      </c>
      <c r="M796" s="2">
        <v>587</v>
      </c>
      <c r="N796" s="2" t="s">
        <v>425</v>
      </c>
      <c r="O796" s="2" t="s">
        <v>70</v>
      </c>
      <c r="P796" s="2" t="s">
        <v>1448</v>
      </c>
      <c r="Q796" s="2" t="s">
        <v>3336</v>
      </c>
      <c r="R796" s="2">
        <v>84404</v>
      </c>
      <c r="S796" s="2">
        <v>4</v>
      </c>
      <c r="T796" s="2" t="s">
        <v>417</v>
      </c>
      <c r="U796" s="2">
        <v>41.282772100000003</v>
      </c>
      <c r="V796" s="2">
        <v>-112.12334439999999</v>
      </c>
      <c r="W796" s="2" t="s">
        <v>528</v>
      </c>
      <c r="X796" s="2" t="s">
        <v>3337</v>
      </c>
      <c r="Y796" s="2" t="s">
        <v>557</v>
      </c>
      <c r="Z796" s="2">
        <v>587</v>
      </c>
      <c r="AA796" s="3">
        <v>42010.567361111112</v>
      </c>
      <c r="AB796" s="2">
        <v>10384</v>
      </c>
      <c r="AC796" s="2">
        <v>365</v>
      </c>
      <c r="AD796" s="2">
        <v>0</v>
      </c>
      <c r="AE796" s="2">
        <v>0</v>
      </c>
      <c r="AF796" s="2" t="str" cm="1">
        <f t="array" ref="AF796">_xlfn.IFS(AE796=0, "No Discount ", AE796&lt;=0.08,"Low Discount", AE796&lt;=0.16,"Medium Discount", AE796&gt;0.16, "High Discount")</f>
        <v xml:space="preserve">No Discount </v>
      </c>
      <c r="AG796" s="2">
        <v>26004</v>
      </c>
      <c r="AH796" s="2">
        <v>59.99</v>
      </c>
      <c r="AI796" s="2">
        <v>-0.16</v>
      </c>
      <c r="AJ796" s="2" t="str" cm="1">
        <f t="array" ref="AJ796">_xlfn.IFS(AI796&lt;=0, "No Profit", AI796&lt;=0.16,"Low Profit",AI796&lt;=0.32,"Medium Profit",AI796&gt;0.32,"High Profit")</f>
        <v>No Profit</v>
      </c>
      <c r="AK796" s="2">
        <v>4</v>
      </c>
      <c r="AL796" s="2">
        <v>239.96</v>
      </c>
      <c r="AM796" s="2">
        <v>239.96</v>
      </c>
      <c r="AN796" s="2">
        <v>-39.11</v>
      </c>
      <c r="AO796" s="2" t="s">
        <v>558</v>
      </c>
      <c r="AP796" s="2" t="s">
        <v>559</v>
      </c>
      <c r="AQ796" s="2" t="s">
        <v>97</v>
      </c>
      <c r="AR796" s="2" t="s">
        <v>81</v>
      </c>
      <c r="AS796" s="2">
        <v>365</v>
      </c>
      <c r="AT796" s="2">
        <v>17</v>
      </c>
      <c r="AU796" s="2" t="s">
        <v>421</v>
      </c>
      <c r="AV796" s="2">
        <v>59.99</v>
      </c>
      <c r="AW796" s="2">
        <v>0</v>
      </c>
      <c r="AX796" s="3">
        <v>42161.567361111112</v>
      </c>
      <c r="AY796" s="2" t="s">
        <v>83</v>
      </c>
      <c r="AZ796" s="4">
        <v>42010</v>
      </c>
      <c r="BA796" s="5">
        <v>0.56736111111111109</v>
      </c>
      <c r="BB796" s="2">
        <v>2015</v>
      </c>
      <c r="BC796" s="2" t="s">
        <v>84</v>
      </c>
      <c r="BD796" s="2">
        <v>6</v>
      </c>
      <c r="BE796" s="4">
        <v>42161</v>
      </c>
      <c r="BF796" s="5">
        <v>0.56736111111111109</v>
      </c>
      <c r="BG796" s="2" t="str" cm="1">
        <f t="array" ref="BG796">_xlfn.IFS(BF796&lt;TIMEVALUE("06:00"),"Night", BF796&gt;=TIMEVALUE("21:00"),"Night",BF796&gt;=TIMEVALUE("17:00"),"Evening",BF796&gt;=TIMEVALUE("12:00"),"Afternoon", BF796&gt;=TIMEVALUE("06:00"),"Morning")</f>
        <v>Afternoon</v>
      </c>
      <c r="BH796" s="2">
        <v>2015</v>
      </c>
      <c r="BI796" s="2" t="s">
        <v>474</v>
      </c>
      <c r="BJ796" s="2">
        <v>6</v>
      </c>
    </row>
    <row r="797" spans="1:62" x14ac:dyDescent="0.3">
      <c r="A797" s="2" t="s">
        <v>86</v>
      </c>
      <c r="B797" s="2">
        <v>6</v>
      </c>
      <c r="C797" s="2">
        <v>4</v>
      </c>
      <c r="D797" s="2">
        <v>79.19</v>
      </c>
      <c r="E797" s="2">
        <v>239.96</v>
      </c>
      <c r="F797" s="2" t="s">
        <v>87</v>
      </c>
      <c r="G797" s="2" t="s">
        <v>88</v>
      </c>
      <c r="H797" s="2">
        <v>17</v>
      </c>
      <c r="I797" s="2" t="s">
        <v>412</v>
      </c>
      <c r="J797" s="2" t="s">
        <v>3338</v>
      </c>
      <c r="K797" s="2" t="s">
        <v>102</v>
      </c>
      <c r="L797" s="2" t="s">
        <v>414</v>
      </c>
      <c r="M797" s="2">
        <v>1240</v>
      </c>
      <c r="N797" s="2" t="s">
        <v>3010</v>
      </c>
      <c r="O797" s="2" t="s">
        <v>70</v>
      </c>
      <c r="P797" s="2" t="s">
        <v>1322</v>
      </c>
      <c r="Q797" s="2" t="s">
        <v>3339</v>
      </c>
      <c r="R797" s="2">
        <v>27610</v>
      </c>
      <c r="S797" s="2">
        <v>4</v>
      </c>
      <c r="T797" s="2" t="s">
        <v>417</v>
      </c>
      <c r="U797" s="2">
        <v>35.811782800000003</v>
      </c>
      <c r="V797" s="2">
        <v>-78.597564700000007</v>
      </c>
      <c r="W797" s="2" t="s">
        <v>528</v>
      </c>
      <c r="X797" s="2" t="s">
        <v>3340</v>
      </c>
      <c r="Y797" s="2" t="s">
        <v>530</v>
      </c>
      <c r="Z797" s="2">
        <v>1240</v>
      </c>
      <c r="AA797" s="3">
        <v>43015.318055555559</v>
      </c>
      <c r="AB797" s="2">
        <v>63115</v>
      </c>
      <c r="AC797" s="2">
        <v>365</v>
      </c>
      <c r="AD797" s="2">
        <v>0</v>
      </c>
      <c r="AE797" s="2">
        <v>0</v>
      </c>
      <c r="AF797" s="2" t="str" cm="1">
        <f t="array" ref="AF797">_xlfn.IFS(AE797=0, "No Discount ", AE797&lt;=0.08,"Low Discount", AE797&lt;=0.16,"Medium Discount", AE797&gt;0.16, "High Discount")</f>
        <v xml:space="preserve">No Discount </v>
      </c>
      <c r="AG797" s="2">
        <v>157797</v>
      </c>
      <c r="AH797" s="2">
        <v>59.99</v>
      </c>
      <c r="AI797" s="2">
        <v>0.33</v>
      </c>
      <c r="AJ797" s="2" t="str" cm="1">
        <f t="array" ref="AJ797">_xlfn.IFS(AI797&lt;=0, "No Profit", AI797&lt;=0.16,"Low Profit",AI797&lt;=0.32,"Medium Profit",AI797&gt;0.32,"High Profit")</f>
        <v>High Profit</v>
      </c>
      <c r="AK797" s="2">
        <v>4</v>
      </c>
      <c r="AL797" s="2">
        <v>239.96</v>
      </c>
      <c r="AM797" s="2">
        <v>239.96</v>
      </c>
      <c r="AN797" s="2">
        <v>79.19</v>
      </c>
      <c r="AO797" s="2" t="s">
        <v>531</v>
      </c>
      <c r="AP797" s="2" t="s">
        <v>532</v>
      </c>
      <c r="AQ797" s="2" t="s">
        <v>97</v>
      </c>
      <c r="AR797" s="2" t="s">
        <v>81</v>
      </c>
      <c r="AS797" s="2">
        <v>365</v>
      </c>
      <c r="AT797" s="2">
        <v>17</v>
      </c>
      <c r="AU797" s="2" t="s">
        <v>421</v>
      </c>
      <c r="AV797" s="2">
        <v>59.99</v>
      </c>
      <c r="AW797" s="2">
        <v>0</v>
      </c>
      <c r="AX797" s="2" t="s">
        <v>3341</v>
      </c>
      <c r="AY797" s="2" t="s">
        <v>83</v>
      </c>
      <c r="AZ797" s="4">
        <v>43015</v>
      </c>
      <c r="BA797" s="5">
        <v>0.31805555555555554</v>
      </c>
      <c r="BB797" s="2">
        <v>2017</v>
      </c>
      <c r="BC797" s="2" t="s">
        <v>434</v>
      </c>
      <c r="BD797" s="2">
        <v>7</v>
      </c>
      <c r="BE797" s="4">
        <v>42932</v>
      </c>
      <c r="BF797" s="5">
        <v>0.31805555555555554</v>
      </c>
      <c r="BG797" s="2" t="str" cm="1">
        <f t="array" ref="BG797">_xlfn.IFS(BF797&lt;TIMEVALUE("06:00"),"Night", BF797&gt;=TIMEVALUE("21:00"),"Night",BF797&gt;=TIMEVALUE("17:00"),"Evening",BF797&gt;=TIMEVALUE("12:00"),"Afternoon", BF797&gt;=TIMEVALUE("06:00"),"Morning")</f>
        <v>Morning</v>
      </c>
      <c r="BH797" s="2">
        <v>2017</v>
      </c>
      <c r="BI797" s="2" t="s">
        <v>533</v>
      </c>
      <c r="BJ797" s="2">
        <v>16</v>
      </c>
    </row>
    <row r="798" spans="1:62" x14ac:dyDescent="0.3">
      <c r="A798" s="2" t="s">
        <v>86</v>
      </c>
      <c r="B798" s="2">
        <v>2</v>
      </c>
      <c r="C798" s="2">
        <v>4</v>
      </c>
      <c r="D798" s="2">
        <v>117.58</v>
      </c>
      <c r="E798" s="2">
        <v>235.16</v>
      </c>
      <c r="F798" s="2" t="s">
        <v>63</v>
      </c>
      <c r="G798" s="2" t="s">
        <v>64</v>
      </c>
      <c r="H798" s="2">
        <v>17</v>
      </c>
      <c r="I798" s="2" t="s">
        <v>412</v>
      </c>
      <c r="J798" s="2" t="s">
        <v>1606</v>
      </c>
      <c r="K798" s="2" t="s">
        <v>102</v>
      </c>
      <c r="L798" s="2" t="s">
        <v>2849</v>
      </c>
      <c r="M798" s="2">
        <v>8806</v>
      </c>
      <c r="N798" s="2" t="s">
        <v>3342</v>
      </c>
      <c r="O798" s="2" t="s">
        <v>70</v>
      </c>
      <c r="P798" s="2" t="s">
        <v>1394</v>
      </c>
      <c r="Q798" s="2" t="s">
        <v>3343</v>
      </c>
      <c r="R798" s="2">
        <v>23455</v>
      </c>
      <c r="S798" s="2">
        <v>4</v>
      </c>
      <c r="T798" s="2" t="s">
        <v>417</v>
      </c>
      <c r="U798" s="2">
        <v>36.855304699999998</v>
      </c>
      <c r="V798" s="2">
        <v>-76.194610600000004</v>
      </c>
      <c r="W798" s="2" t="s">
        <v>528</v>
      </c>
      <c r="X798" s="2" t="s">
        <v>542</v>
      </c>
      <c r="Y798" s="2" t="s">
        <v>536</v>
      </c>
      <c r="Z798" s="2">
        <v>8806</v>
      </c>
      <c r="AA798" s="2" t="s">
        <v>3344</v>
      </c>
      <c r="AB798" s="2">
        <v>63516</v>
      </c>
      <c r="AC798" s="2">
        <v>365</v>
      </c>
      <c r="AD798" s="2">
        <v>4.8</v>
      </c>
      <c r="AE798" s="2">
        <v>0.02</v>
      </c>
      <c r="AF798" s="2" t="str" cm="1">
        <f t="array" ref="AF798">_xlfn.IFS(AE798=0, "No Discount ", AE798&lt;=0.08,"Low Discount", AE798&lt;=0.16,"Medium Discount", AE798&gt;0.16, "High Discount")</f>
        <v>Low Discount</v>
      </c>
      <c r="AG798" s="2">
        <v>158778</v>
      </c>
      <c r="AH798" s="2">
        <v>59.99</v>
      </c>
      <c r="AI798" s="2">
        <v>0.5</v>
      </c>
      <c r="AJ798" s="2" t="str" cm="1">
        <f t="array" ref="AJ798">_xlfn.IFS(AI798&lt;=0, "No Profit", AI798&lt;=0.16,"Low Profit",AI798&lt;=0.32,"Medium Profit",AI798&gt;0.32,"High Profit")</f>
        <v>High Profit</v>
      </c>
      <c r="AK798" s="2">
        <v>4</v>
      </c>
      <c r="AL798" s="2">
        <v>239.96</v>
      </c>
      <c r="AM798" s="2">
        <v>235.16</v>
      </c>
      <c r="AN798" s="2">
        <v>117.58</v>
      </c>
      <c r="AO798" s="2" t="s">
        <v>531</v>
      </c>
      <c r="AP798" s="2" t="s">
        <v>543</v>
      </c>
      <c r="AQ798" s="2" t="s">
        <v>97</v>
      </c>
      <c r="AR798" s="2" t="s">
        <v>81</v>
      </c>
      <c r="AS798" s="2">
        <v>365</v>
      </c>
      <c r="AT798" s="2">
        <v>17</v>
      </c>
      <c r="AU798" s="2" t="s">
        <v>421</v>
      </c>
      <c r="AV798" s="2">
        <v>59.99</v>
      </c>
      <c r="AW798" s="2">
        <v>0</v>
      </c>
      <c r="AX798" s="2" t="s">
        <v>3345</v>
      </c>
      <c r="AY798" s="2" t="s">
        <v>83</v>
      </c>
      <c r="AZ798" s="4">
        <v>42932</v>
      </c>
      <c r="BA798" s="5">
        <v>0.17222222222222222</v>
      </c>
      <c r="BB798" s="2">
        <v>2017</v>
      </c>
      <c r="BC798" s="2" t="s">
        <v>533</v>
      </c>
      <c r="BD798" s="2">
        <v>16</v>
      </c>
      <c r="BE798" s="4">
        <v>42934</v>
      </c>
      <c r="BF798" s="5">
        <v>0.17222222222222222</v>
      </c>
      <c r="BG798" s="2" t="str" cm="1">
        <f t="array" ref="BG798">_xlfn.IFS(BF798&lt;TIMEVALUE("06:00"),"Night", BF798&gt;=TIMEVALUE("21:00"),"Night",BF798&gt;=TIMEVALUE("17:00"),"Evening",BF798&gt;=TIMEVALUE("12:00"),"Afternoon", BF798&gt;=TIMEVALUE("06:00"),"Morning")</f>
        <v>Night</v>
      </c>
      <c r="BH798" s="2">
        <v>2017</v>
      </c>
      <c r="BI798" s="2" t="s">
        <v>533</v>
      </c>
      <c r="BJ798" s="2">
        <v>18</v>
      </c>
    </row>
    <row r="799" spans="1:62" x14ac:dyDescent="0.3">
      <c r="A799" s="2" t="s">
        <v>86</v>
      </c>
      <c r="B799" s="2">
        <v>2</v>
      </c>
      <c r="C799" s="2">
        <v>4</v>
      </c>
      <c r="D799" s="2">
        <v>20.48</v>
      </c>
      <c r="E799" s="2">
        <v>232.76</v>
      </c>
      <c r="F799" s="2" t="s">
        <v>63</v>
      </c>
      <c r="G799" s="2" t="s">
        <v>64</v>
      </c>
      <c r="H799" s="2">
        <v>17</v>
      </c>
      <c r="I799" s="2" t="s">
        <v>412</v>
      </c>
      <c r="J799" s="2" t="s">
        <v>1883</v>
      </c>
      <c r="K799" s="2" t="s">
        <v>102</v>
      </c>
      <c r="L799" s="2" t="s">
        <v>414</v>
      </c>
      <c r="M799" s="2">
        <v>341</v>
      </c>
      <c r="N799" s="2" t="s">
        <v>425</v>
      </c>
      <c r="O799" s="2" t="s">
        <v>70</v>
      </c>
      <c r="P799" s="2" t="s">
        <v>105</v>
      </c>
      <c r="Q799" s="2" t="s">
        <v>3346</v>
      </c>
      <c r="R799" s="2">
        <v>92009</v>
      </c>
      <c r="S799" s="2">
        <v>4</v>
      </c>
      <c r="T799" s="2" t="s">
        <v>417</v>
      </c>
      <c r="U799" s="2">
        <v>33.103557600000002</v>
      </c>
      <c r="V799" s="2">
        <v>-117.2678757</v>
      </c>
      <c r="W799" s="2" t="s">
        <v>528</v>
      </c>
      <c r="X799" s="2" t="s">
        <v>946</v>
      </c>
      <c r="Y799" s="2" t="s">
        <v>557</v>
      </c>
      <c r="Z799" s="2">
        <v>341</v>
      </c>
      <c r="AA799" s="2" t="s">
        <v>3347</v>
      </c>
      <c r="AB799" s="2">
        <v>62086</v>
      </c>
      <c r="AC799" s="2">
        <v>365</v>
      </c>
      <c r="AD799" s="2">
        <v>7.2</v>
      </c>
      <c r="AE799" s="2">
        <v>0.03</v>
      </c>
      <c r="AF799" s="2" t="str" cm="1">
        <f t="array" ref="AF799">_xlfn.IFS(AE799=0, "No Discount ", AE799&lt;=0.08,"Low Discount", AE799&lt;=0.16,"Medium Discount", AE799&gt;0.16, "High Discount")</f>
        <v>Low Discount</v>
      </c>
      <c r="AG799" s="2">
        <v>155234</v>
      </c>
      <c r="AH799" s="2">
        <v>59.99</v>
      </c>
      <c r="AI799" s="2">
        <v>0.09</v>
      </c>
      <c r="AJ799" s="2" t="str" cm="1">
        <f t="array" ref="AJ799">_xlfn.IFS(AI799&lt;=0, "No Profit", AI799&lt;=0.16,"Low Profit",AI799&lt;=0.32,"Medium Profit",AI799&gt;0.32,"High Profit")</f>
        <v>Low Profit</v>
      </c>
      <c r="AK799" s="2">
        <v>4</v>
      </c>
      <c r="AL799" s="2">
        <v>239.96</v>
      </c>
      <c r="AM799" s="2">
        <v>232.76</v>
      </c>
      <c r="AN799" s="2">
        <v>20.48</v>
      </c>
      <c r="AO799" s="2" t="s">
        <v>558</v>
      </c>
      <c r="AP799" s="2" t="s">
        <v>559</v>
      </c>
      <c r="AQ799" s="2" t="s">
        <v>97</v>
      </c>
      <c r="AR799" s="2" t="s">
        <v>81</v>
      </c>
      <c r="AS799" s="2">
        <v>365</v>
      </c>
      <c r="AT799" s="2">
        <v>17</v>
      </c>
      <c r="AU799" s="2" t="s">
        <v>421</v>
      </c>
      <c r="AV799" s="2">
        <v>59.99</v>
      </c>
      <c r="AW799" s="2">
        <v>0</v>
      </c>
      <c r="AX799" s="2" t="s">
        <v>3348</v>
      </c>
      <c r="AY799" s="2" t="s">
        <v>83</v>
      </c>
      <c r="AZ799" s="4">
        <v>42911</v>
      </c>
      <c r="BA799" s="5">
        <v>0.29722222222222222</v>
      </c>
      <c r="BB799" s="2">
        <v>2017</v>
      </c>
      <c r="BC799" s="2" t="s">
        <v>474</v>
      </c>
      <c r="BD799" s="2">
        <v>25</v>
      </c>
      <c r="BE799" s="4">
        <v>42913</v>
      </c>
      <c r="BF799" s="5">
        <v>0.29722222222222222</v>
      </c>
      <c r="BG799" s="2" t="str" cm="1">
        <f t="array" ref="BG799">_xlfn.IFS(BF799&lt;TIMEVALUE("06:00"),"Night", BF799&gt;=TIMEVALUE("21:00"),"Night",BF799&gt;=TIMEVALUE("17:00"),"Evening",BF799&gt;=TIMEVALUE("12:00"),"Afternoon", BF799&gt;=TIMEVALUE("06:00"),"Morning")</f>
        <v>Morning</v>
      </c>
      <c r="BH799" s="2">
        <v>2017</v>
      </c>
      <c r="BI799" s="2" t="s">
        <v>474</v>
      </c>
      <c r="BJ799" s="2">
        <v>27</v>
      </c>
    </row>
    <row r="800" spans="1:62" x14ac:dyDescent="0.3">
      <c r="A800" s="2" t="s">
        <v>86</v>
      </c>
      <c r="B800" s="2">
        <v>3</v>
      </c>
      <c r="C800" s="2">
        <v>4</v>
      </c>
      <c r="D800" s="2">
        <v>58.19</v>
      </c>
      <c r="E800" s="2">
        <v>232.76</v>
      </c>
      <c r="F800" s="2" t="s">
        <v>63</v>
      </c>
      <c r="G800" s="2" t="s">
        <v>64</v>
      </c>
      <c r="H800" s="2">
        <v>17</v>
      </c>
      <c r="I800" s="2" t="s">
        <v>412</v>
      </c>
      <c r="J800" s="2" t="s">
        <v>3349</v>
      </c>
      <c r="K800" s="2" t="s">
        <v>102</v>
      </c>
      <c r="L800" s="2" t="s">
        <v>698</v>
      </c>
      <c r="M800" s="2">
        <v>3064</v>
      </c>
      <c r="N800" s="2" t="s">
        <v>425</v>
      </c>
      <c r="O800" s="2" t="s">
        <v>70</v>
      </c>
      <c r="P800" s="2" t="s">
        <v>105</v>
      </c>
      <c r="Q800" s="2" t="s">
        <v>3350</v>
      </c>
      <c r="R800" s="2">
        <v>91745</v>
      </c>
      <c r="S800" s="2">
        <v>4</v>
      </c>
      <c r="T800" s="2" t="s">
        <v>417</v>
      </c>
      <c r="U800" s="2">
        <v>33.9711456</v>
      </c>
      <c r="V800" s="2">
        <v>-117.9650879</v>
      </c>
      <c r="W800" s="2" t="s">
        <v>528</v>
      </c>
      <c r="X800" s="2" t="s">
        <v>3351</v>
      </c>
      <c r="Y800" s="2" t="s">
        <v>983</v>
      </c>
      <c r="Z800" s="2">
        <v>3064</v>
      </c>
      <c r="AA800" s="3">
        <v>42862.968055555553</v>
      </c>
      <c r="AB800" s="2">
        <v>62817</v>
      </c>
      <c r="AC800" s="2">
        <v>365</v>
      </c>
      <c r="AD800" s="2">
        <v>7.2</v>
      </c>
      <c r="AE800" s="2">
        <v>0.03</v>
      </c>
      <c r="AF800" s="2" t="str" cm="1">
        <f t="array" ref="AF800">_xlfn.IFS(AE800=0, "No Discount ", AE800&lt;=0.08,"Low Discount", AE800&lt;=0.16,"Medium Discount", AE800&gt;0.16, "High Discount")</f>
        <v>Low Discount</v>
      </c>
      <c r="AG800" s="2">
        <v>157066</v>
      </c>
      <c r="AH800" s="2">
        <v>59.99</v>
      </c>
      <c r="AI800" s="2">
        <v>0.25</v>
      </c>
      <c r="AJ800" s="2" t="str" cm="1">
        <f t="array" ref="AJ800">_xlfn.IFS(AI800&lt;=0, "No Profit", AI800&lt;=0.16,"Low Profit",AI800&lt;=0.32,"Medium Profit",AI800&gt;0.32,"High Profit")</f>
        <v>Medium Profit</v>
      </c>
      <c r="AK800" s="2">
        <v>4</v>
      </c>
      <c r="AL800" s="2">
        <v>239.96</v>
      </c>
      <c r="AM800" s="2">
        <v>232.76</v>
      </c>
      <c r="AN800" s="2">
        <v>58.19</v>
      </c>
      <c r="AO800" s="2" t="s">
        <v>905</v>
      </c>
      <c r="AP800" s="2" t="s">
        <v>982</v>
      </c>
      <c r="AQ800" s="2" t="s">
        <v>97</v>
      </c>
      <c r="AR800" s="2" t="s">
        <v>81</v>
      </c>
      <c r="AS800" s="2">
        <v>365</v>
      </c>
      <c r="AT800" s="2">
        <v>17</v>
      </c>
      <c r="AU800" s="2" t="s">
        <v>421</v>
      </c>
      <c r="AV800" s="2">
        <v>59.99</v>
      </c>
      <c r="AW800" s="2">
        <v>0</v>
      </c>
      <c r="AX800" s="3">
        <v>42954.968055555553</v>
      </c>
      <c r="AY800" s="2" t="s">
        <v>83</v>
      </c>
      <c r="AZ800" s="4">
        <v>42862</v>
      </c>
      <c r="BA800" s="5">
        <v>0.96805555555555556</v>
      </c>
      <c r="BB800" s="2">
        <v>2017</v>
      </c>
      <c r="BC800" s="2" t="s">
        <v>443</v>
      </c>
      <c r="BD800" s="2">
        <v>7</v>
      </c>
      <c r="BE800" s="4">
        <v>42954</v>
      </c>
      <c r="BF800" s="5">
        <v>0.96805555555555556</v>
      </c>
      <c r="BG800" s="2" t="str" cm="1">
        <f t="array" ref="BG800">_xlfn.IFS(BF800&lt;TIMEVALUE("06:00"),"Night", BF800&gt;=TIMEVALUE("21:00"),"Night",BF800&gt;=TIMEVALUE("17:00"),"Evening",BF800&gt;=TIMEVALUE("12:00"),"Afternoon", BF800&gt;=TIMEVALUE("06:00"),"Morning")</f>
        <v>Night</v>
      </c>
      <c r="BH800" s="2">
        <v>2017</v>
      </c>
      <c r="BI800" s="2" t="s">
        <v>482</v>
      </c>
      <c r="BJ800" s="2">
        <v>7</v>
      </c>
    </row>
    <row r="801" spans="1:62" x14ac:dyDescent="0.3">
      <c r="A801" s="2" t="s">
        <v>86</v>
      </c>
      <c r="B801" s="2">
        <v>2</v>
      </c>
      <c r="C801" s="2">
        <v>4</v>
      </c>
      <c r="D801" s="2">
        <v>82.93</v>
      </c>
      <c r="E801" s="2">
        <v>230.36</v>
      </c>
      <c r="F801" s="2" t="s">
        <v>63</v>
      </c>
      <c r="G801" s="2" t="s">
        <v>64</v>
      </c>
      <c r="H801" s="2">
        <v>17</v>
      </c>
      <c r="I801" s="2" t="s">
        <v>412</v>
      </c>
      <c r="J801" s="2" t="s">
        <v>3352</v>
      </c>
      <c r="K801" s="2" t="s">
        <v>102</v>
      </c>
      <c r="L801" s="2" t="s">
        <v>786</v>
      </c>
      <c r="M801" s="2">
        <v>10614</v>
      </c>
      <c r="N801" s="2" t="s">
        <v>425</v>
      </c>
      <c r="O801" s="2" t="s">
        <v>70</v>
      </c>
      <c r="P801" s="2" t="s">
        <v>1163</v>
      </c>
      <c r="Q801" s="2" t="s">
        <v>2197</v>
      </c>
      <c r="R801" s="2">
        <v>7087</v>
      </c>
      <c r="S801" s="2">
        <v>4</v>
      </c>
      <c r="T801" s="2" t="s">
        <v>417</v>
      </c>
      <c r="U801" s="2">
        <v>40.761524199999997</v>
      </c>
      <c r="V801" s="2">
        <v>-74.038269</v>
      </c>
      <c r="W801" s="2" t="s">
        <v>528</v>
      </c>
      <c r="X801" s="2" t="s">
        <v>3353</v>
      </c>
      <c r="Y801" s="2" t="s">
        <v>557</v>
      </c>
      <c r="Z801" s="2">
        <v>10614</v>
      </c>
      <c r="AA801" s="3">
        <v>42222.457638888889</v>
      </c>
      <c r="AB801" s="2">
        <v>10856</v>
      </c>
      <c r="AC801" s="2">
        <v>365</v>
      </c>
      <c r="AD801" s="2">
        <v>9.6</v>
      </c>
      <c r="AE801" s="2">
        <v>0.04</v>
      </c>
      <c r="AF801" s="2" t="str" cm="1">
        <f t="array" ref="AF801">_xlfn.IFS(AE801=0, "No Discount ", AE801&lt;=0.08,"Low Discount", AE801&lt;=0.16,"Medium Discount", AE801&gt;0.16, "High Discount")</f>
        <v>Low Discount</v>
      </c>
      <c r="AG801" s="2">
        <v>27189</v>
      </c>
      <c r="AH801" s="2">
        <v>59.99</v>
      </c>
      <c r="AI801" s="2">
        <v>0.36</v>
      </c>
      <c r="AJ801" s="2" t="str" cm="1">
        <f t="array" ref="AJ801">_xlfn.IFS(AI801&lt;=0, "No Profit", AI801&lt;=0.16,"Low Profit",AI801&lt;=0.32,"Medium Profit",AI801&gt;0.32,"High Profit")</f>
        <v>High Profit</v>
      </c>
      <c r="AK801" s="2">
        <v>4</v>
      </c>
      <c r="AL801" s="2">
        <v>239.96</v>
      </c>
      <c r="AM801" s="2">
        <v>230.36</v>
      </c>
      <c r="AN801" s="2">
        <v>82.93</v>
      </c>
      <c r="AO801" s="2" t="s">
        <v>558</v>
      </c>
      <c r="AP801" s="2" t="s">
        <v>559</v>
      </c>
      <c r="AQ801" s="2" t="s">
        <v>97</v>
      </c>
      <c r="AR801" s="2" t="s">
        <v>81</v>
      </c>
      <c r="AS801" s="2">
        <v>365</v>
      </c>
      <c r="AT801" s="2">
        <v>17</v>
      </c>
      <c r="AU801" s="2" t="s">
        <v>421</v>
      </c>
      <c r="AV801" s="2">
        <v>59.99</v>
      </c>
      <c r="AW801" s="2">
        <v>0</v>
      </c>
      <c r="AX801" s="3">
        <v>42283.457638888889</v>
      </c>
      <c r="AY801" s="2" t="s">
        <v>83</v>
      </c>
      <c r="AZ801" s="4">
        <v>42222</v>
      </c>
      <c r="BA801" s="5">
        <v>0.45763888888888887</v>
      </c>
      <c r="BB801" s="2">
        <v>2015</v>
      </c>
      <c r="BC801" s="2" t="s">
        <v>482</v>
      </c>
      <c r="BD801" s="2">
        <v>6</v>
      </c>
      <c r="BE801" s="4">
        <v>42283</v>
      </c>
      <c r="BF801" s="5">
        <v>0.45763888888888887</v>
      </c>
      <c r="BG801" s="2" t="str" cm="1">
        <f t="array" ref="BG801">_xlfn.IFS(BF801&lt;TIMEVALUE("06:00"),"Night", BF801&gt;=TIMEVALUE("21:00"),"Night",BF801&gt;=TIMEVALUE("17:00"),"Evening",BF801&gt;=TIMEVALUE("12:00"),"Afternoon", BF801&gt;=TIMEVALUE("06:00"),"Morning")</f>
        <v>Morning</v>
      </c>
      <c r="BH801" s="2">
        <v>2015</v>
      </c>
      <c r="BI801" s="2" t="s">
        <v>434</v>
      </c>
      <c r="BJ801" s="2">
        <v>6</v>
      </c>
    </row>
    <row r="802" spans="1:62" x14ac:dyDescent="0.3">
      <c r="A802" s="2" t="s">
        <v>86</v>
      </c>
      <c r="B802" s="2">
        <v>6</v>
      </c>
      <c r="C802" s="2">
        <v>4</v>
      </c>
      <c r="D802" s="2">
        <v>26.03</v>
      </c>
      <c r="E802" s="2">
        <v>230.36</v>
      </c>
      <c r="F802" s="2" t="s">
        <v>87</v>
      </c>
      <c r="G802" s="2" t="s">
        <v>88</v>
      </c>
      <c r="H802" s="2">
        <v>17</v>
      </c>
      <c r="I802" s="2" t="s">
        <v>412</v>
      </c>
      <c r="J802" s="2" t="s">
        <v>3354</v>
      </c>
      <c r="K802" s="2" t="s">
        <v>102</v>
      </c>
      <c r="L802" s="2" t="s">
        <v>414</v>
      </c>
      <c r="M802" s="2">
        <v>10563</v>
      </c>
      <c r="N802" s="2" t="s">
        <v>425</v>
      </c>
      <c r="O802" s="2" t="s">
        <v>70</v>
      </c>
      <c r="P802" s="2" t="s">
        <v>152</v>
      </c>
      <c r="Q802" s="2" t="s">
        <v>3355</v>
      </c>
      <c r="R802" s="2">
        <v>33023</v>
      </c>
      <c r="S802" s="2">
        <v>4</v>
      </c>
      <c r="T802" s="2" t="s">
        <v>417</v>
      </c>
      <c r="U802" s="2">
        <v>25.979539899999999</v>
      </c>
      <c r="V802" s="2">
        <v>-80.194229100000001</v>
      </c>
      <c r="W802" s="2" t="s">
        <v>528</v>
      </c>
      <c r="X802" s="2" t="s">
        <v>3356</v>
      </c>
      <c r="Y802" s="2" t="s">
        <v>536</v>
      </c>
      <c r="Z802" s="2">
        <v>10563</v>
      </c>
      <c r="AA802" s="3">
        <v>42071.352083333331</v>
      </c>
      <c r="AB802" s="2">
        <v>14685</v>
      </c>
      <c r="AC802" s="2">
        <v>365</v>
      </c>
      <c r="AD802" s="2">
        <v>9.6</v>
      </c>
      <c r="AE802" s="2">
        <v>0.04</v>
      </c>
      <c r="AF802" s="2" t="str" cm="1">
        <f t="array" ref="AF802">_xlfn.IFS(AE802=0, "No Discount ", AE802&lt;=0.08,"Low Discount", AE802&lt;=0.16,"Medium Discount", AE802&gt;0.16, "High Discount")</f>
        <v>Low Discount</v>
      </c>
      <c r="AG802" s="2">
        <v>36739</v>
      </c>
      <c r="AH802" s="2">
        <v>59.99</v>
      </c>
      <c r="AI802" s="2">
        <v>0.11</v>
      </c>
      <c r="AJ802" s="2" t="str" cm="1">
        <f t="array" ref="AJ802">_xlfn.IFS(AI802&lt;=0, "No Profit", AI802&lt;=0.16,"Low Profit",AI802&lt;=0.32,"Medium Profit",AI802&gt;0.32,"High Profit")</f>
        <v>Low Profit</v>
      </c>
      <c r="AK802" s="2">
        <v>4</v>
      </c>
      <c r="AL802" s="2">
        <v>239.96</v>
      </c>
      <c r="AM802" s="2">
        <v>230.36</v>
      </c>
      <c r="AN802" s="2">
        <v>26.03</v>
      </c>
      <c r="AO802" s="2" t="s">
        <v>531</v>
      </c>
      <c r="AP802" s="2" t="s">
        <v>568</v>
      </c>
      <c r="AQ802" s="2" t="s">
        <v>97</v>
      </c>
      <c r="AR802" s="2" t="s">
        <v>81</v>
      </c>
      <c r="AS802" s="2">
        <v>365</v>
      </c>
      <c r="AT802" s="2">
        <v>17</v>
      </c>
      <c r="AU802" s="2" t="s">
        <v>421</v>
      </c>
      <c r="AV802" s="2">
        <v>59.99</v>
      </c>
      <c r="AW802" s="2">
        <v>0</v>
      </c>
      <c r="AX802" s="3">
        <v>42255.352083333331</v>
      </c>
      <c r="AY802" s="2" t="s">
        <v>83</v>
      </c>
      <c r="AZ802" s="4">
        <v>42071</v>
      </c>
      <c r="BA802" s="5">
        <v>0.35208333333333336</v>
      </c>
      <c r="BB802" s="2">
        <v>2015</v>
      </c>
      <c r="BC802" s="2" t="s">
        <v>85</v>
      </c>
      <c r="BD802" s="2">
        <v>8</v>
      </c>
      <c r="BE802" s="4">
        <v>42255</v>
      </c>
      <c r="BF802" s="5">
        <v>0.35208333333333336</v>
      </c>
      <c r="BG802" s="2" t="str" cm="1">
        <f t="array" ref="BG802">_xlfn.IFS(BF802&lt;TIMEVALUE("06:00"),"Night", BF802&gt;=TIMEVALUE("21:00"),"Night",BF802&gt;=TIMEVALUE("17:00"),"Evening",BF802&gt;=TIMEVALUE("12:00"),"Afternoon", BF802&gt;=TIMEVALUE("06:00"),"Morning")</f>
        <v>Morning</v>
      </c>
      <c r="BH802" s="2">
        <v>2015</v>
      </c>
      <c r="BI802" s="2" t="s">
        <v>552</v>
      </c>
      <c r="BJ802" s="2">
        <v>8</v>
      </c>
    </row>
    <row r="803" spans="1:62" x14ac:dyDescent="0.3">
      <c r="A803" s="2" t="s">
        <v>86</v>
      </c>
      <c r="B803" s="2">
        <v>5</v>
      </c>
      <c r="C803" s="2">
        <v>4</v>
      </c>
      <c r="D803" s="2">
        <v>108.27</v>
      </c>
      <c r="E803" s="2">
        <v>230.36</v>
      </c>
      <c r="F803" s="2" t="s">
        <v>87</v>
      </c>
      <c r="G803" s="2" t="s">
        <v>88</v>
      </c>
      <c r="H803" s="2">
        <v>17</v>
      </c>
      <c r="I803" s="2" t="s">
        <v>412</v>
      </c>
      <c r="J803" s="2" t="s">
        <v>3357</v>
      </c>
      <c r="K803" s="2" t="s">
        <v>102</v>
      </c>
      <c r="L803" s="2" t="s">
        <v>693</v>
      </c>
      <c r="M803" s="2">
        <v>11002</v>
      </c>
      <c r="N803" s="2" t="s">
        <v>425</v>
      </c>
      <c r="O803" s="2" t="s">
        <v>70</v>
      </c>
      <c r="P803" s="2" t="s">
        <v>234</v>
      </c>
      <c r="Q803" s="2" t="s">
        <v>3358</v>
      </c>
      <c r="R803" s="2">
        <v>60440</v>
      </c>
      <c r="S803" s="2">
        <v>4</v>
      </c>
      <c r="T803" s="2" t="s">
        <v>417</v>
      </c>
      <c r="U803" s="2">
        <v>41.725860599999997</v>
      </c>
      <c r="V803" s="2">
        <v>-88.064193700000004</v>
      </c>
      <c r="W803" s="2" t="s">
        <v>528</v>
      </c>
      <c r="X803" s="2" t="s">
        <v>3359</v>
      </c>
      <c r="Y803" s="2" t="s">
        <v>536</v>
      </c>
      <c r="Z803" s="2">
        <v>11002</v>
      </c>
      <c r="AA803" s="2" t="s">
        <v>3360</v>
      </c>
      <c r="AB803" s="2">
        <v>66229</v>
      </c>
      <c r="AC803" s="2">
        <v>365</v>
      </c>
      <c r="AD803" s="2">
        <v>9.6</v>
      </c>
      <c r="AE803" s="2">
        <v>0.04</v>
      </c>
      <c r="AF803" s="2" t="str" cm="1">
        <f t="array" ref="AF803">_xlfn.IFS(AE803=0, "No Discount ", AE803&lt;=0.08,"Low Discount", AE803&lt;=0.16,"Medium Discount", AE803&gt;0.16, "High Discount")</f>
        <v>Low Discount</v>
      </c>
      <c r="AG803" s="2">
        <v>165567</v>
      </c>
      <c r="AH803" s="2">
        <v>59.99</v>
      </c>
      <c r="AI803" s="2">
        <v>0.47</v>
      </c>
      <c r="AJ803" s="2" t="str" cm="1">
        <f t="array" ref="AJ803">_xlfn.IFS(AI803&lt;=0, "No Profit", AI803&lt;=0.16,"Low Profit",AI803&lt;=0.32,"Medium Profit",AI803&gt;0.32,"High Profit")</f>
        <v>High Profit</v>
      </c>
      <c r="AK803" s="2">
        <v>4</v>
      </c>
      <c r="AL803" s="2">
        <v>239.96</v>
      </c>
      <c r="AM803" s="2">
        <v>230.36</v>
      </c>
      <c r="AN803" s="2">
        <v>108.27</v>
      </c>
      <c r="AO803" s="2" t="s">
        <v>531</v>
      </c>
      <c r="AP803" s="2" t="s">
        <v>538</v>
      </c>
      <c r="AQ803" s="2" t="s">
        <v>97</v>
      </c>
      <c r="AR803" s="2" t="s">
        <v>81</v>
      </c>
      <c r="AS803" s="2">
        <v>365</v>
      </c>
      <c r="AT803" s="2">
        <v>17</v>
      </c>
      <c r="AU803" s="2" t="s">
        <v>421</v>
      </c>
      <c r="AV803" s="2">
        <v>59.99</v>
      </c>
      <c r="AW803" s="2">
        <v>0</v>
      </c>
      <c r="AX803" s="2" t="s">
        <v>3361</v>
      </c>
      <c r="AY803" s="2" t="s">
        <v>83</v>
      </c>
      <c r="AZ803" s="4">
        <v>42971</v>
      </c>
      <c r="BA803" s="5">
        <v>0.77569444444444446</v>
      </c>
      <c r="BB803" s="2">
        <v>2017</v>
      </c>
      <c r="BC803" s="2" t="s">
        <v>482</v>
      </c>
      <c r="BD803" s="2">
        <v>24</v>
      </c>
      <c r="BE803" s="4">
        <v>42976</v>
      </c>
      <c r="BF803" s="5">
        <v>0.77569444444444446</v>
      </c>
      <c r="BG803" s="2" t="str" cm="1">
        <f t="array" ref="BG803">_xlfn.IFS(BF803&lt;TIMEVALUE("06:00"),"Night", BF803&gt;=TIMEVALUE("21:00"),"Night",BF803&gt;=TIMEVALUE("17:00"),"Evening",BF803&gt;=TIMEVALUE("12:00"),"Afternoon", BF803&gt;=TIMEVALUE("06:00"),"Morning")</f>
        <v>Evening</v>
      </c>
      <c r="BH803" s="2">
        <v>2017</v>
      </c>
      <c r="BI803" s="2" t="s">
        <v>482</v>
      </c>
      <c r="BJ803" s="2">
        <v>29</v>
      </c>
    </row>
    <row r="804" spans="1:62" x14ac:dyDescent="0.3">
      <c r="A804" s="2" t="s">
        <v>86</v>
      </c>
      <c r="B804" s="2">
        <v>5</v>
      </c>
      <c r="C804" s="2">
        <v>4</v>
      </c>
      <c r="D804" s="2">
        <v>76.02</v>
      </c>
      <c r="E804" s="2">
        <v>230.36</v>
      </c>
      <c r="F804" s="2" t="s">
        <v>87</v>
      </c>
      <c r="G804" s="2" t="s">
        <v>88</v>
      </c>
      <c r="H804" s="2">
        <v>17</v>
      </c>
      <c r="I804" s="2" t="s">
        <v>412</v>
      </c>
      <c r="J804" s="2" t="s">
        <v>3362</v>
      </c>
      <c r="K804" s="2" t="s">
        <v>102</v>
      </c>
      <c r="L804" s="2" t="s">
        <v>414</v>
      </c>
      <c r="M804" s="2">
        <v>11486</v>
      </c>
      <c r="N804" s="2" t="s">
        <v>425</v>
      </c>
      <c r="O804" s="2" t="s">
        <v>70</v>
      </c>
      <c r="P804" s="2" t="s">
        <v>3115</v>
      </c>
      <c r="Q804" s="2" t="s">
        <v>3363</v>
      </c>
      <c r="R804" s="2">
        <v>47906</v>
      </c>
      <c r="S804" s="2">
        <v>4</v>
      </c>
      <c r="T804" s="2" t="s">
        <v>417</v>
      </c>
      <c r="U804" s="2">
        <v>40.485309600000001</v>
      </c>
      <c r="V804" s="2">
        <v>-87.059387200000003</v>
      </c>
      <c r="W804" s="2" t="s">
        <v>528</v>
      </c>
      <c r="X804" s="2" t="s">
        <v>2446</v>
      </c>
      <c r="Y804" s="2" t="s">
        <v>530</v>
      </c>
      <c r="Z804" s="2">
        <v>11486</v>
      </c>
      <c r="AA804" s="3">
        <v>42163.84097222222</v>
      </c>
      <c r="AB804" s="2">
        <v>14924</v>
      </c>
      <c r="AC804" s="2">
        <v>365</v>
      </c>
      <c r="AD804" s="2">
        <v>9.6</v>
      </c>
      <c r="AE804" s="2">
        <v>0.04</v>
      </c>
      <c r="AF804" s="2" t="str" cm="1">
        <f t="array" ref="AF804">_xlfn.IFS(AE804=0, "No Discount ", AE804&lt;=0.08,"Low Discount", AE804&lt;=0.16,"Medium Discount", AE804&gt;0.16, "High Discount")</f>
        <v>Low Discount</v>
      </c>
      <c r="AG804" s="2">
        <v>37371</v>
      </c>
      <c r="AH804" s="2">
        <v>59.99</v>
      </c>
      <c r="AI804" s="2">
        <v>0.33</v>
      </c>
      <c r="AJ804" s="2" t="str" cm="1">
        <f t="array" ref="AJ804">_xlfn.IFS(AI804&lt;=0, "No Profit", AI804&lt;=0.16,"Low Profit",AI804&lt;=0.32,"Medium Profit",AI804&gt;0.32,"High Profit")</f>
        <v>High Profit</v>
      </c>
      <c r="AK804" s="2">
        <v>4</v>
      </c>
      <c r="AL804" s="2">
        <v>239.96</v>
      </c>
      <c r="AM804" s="2">
        <v>230.36</v>
      </c>
      <c r="AN804" s="2">
        <v>76.02</v>
      </c>
      <c r="AO804" s="2" t="s">
        <v>531</v>
      </c>
      <c r="AP804" s="2" t="s">
        <v>914</v>
      </c>
      <c r="AQ804" s="2" t="s">
        <v>97</v>
      </c>
      <c r="AR804" s="2" t="s">
        <v>81</v>
      </c>
      <c r="AS804" s="2">
        <v>365</v>
      </c>
      <c r="AT804" s="2">
        <v>17</v>
      </c>
      <c r="AU804" s="2" t="s">
        <v>421</v>
      </c>
      <c r="AV804" s="2">
        <v>59.99</v>
      </c>
      <c r="AW804" s="2">
        <v>0</v>
      </c>
      <c r="AX804" s="3">
        <v>42316.84097222222</v>
      </c>
      <c r="AY804" s="2" t="s">
        <v>83</v>
      </c>
      <c r="AZ804" s="4">
        <v>42163</v>
      </c>
      <c r="BA804" s="5">
        <v>0.84097222222222223</v>
      </c>
      <c r="BB804" s="2">
        <v>2015</v>
      </c>
      <c r="BC804" s="2" t="s">
        <v>474</v>
      </c>
      <c r="BD804" s="2">
        <v>8</v>
      </c>
      <c r="BE804" s="4">
        <v>42316</v>
      </c>
      <c r="BF804" s="5">
        <v>0.84097222222222223</v>
      </c>
      <c r="BG804" s="2" t="str" cm="1">
        <f t="array" ref="BG804">_xlfn.IFS(BF804&lt;TIMEVALUE("06:00"),"Night", BF804&gt;=TIMEVALUE("21:00"),"Night",BF804&gt;=TIMEVALUE("17:00"),"Evening",BF804&gt;=TIMEVALUE("12:00"),"Afternoon", BF804&gt;=TIMEVALUE("06:00"),"Morning")</f>
        <v>Evening</v>
      </c>
      <c r="BH804" s="2">
        <v>2015</v>
      </c>
      <c r="BI804" s="2" t="s">
        <v>455</v>
      </c>
      <c r="BJ804" s="2">
        <v>8</v>
      </c>
    </row>
    <row r="805" spans="1:62" x14ac:dyDescent="0.3">
      <c r="A805" s="2" t="s">
        <v>86</v>
      </c>
      <c r="B805" s="2">
        <v>5</v>
      </c>
      <c r="C805" s="2">
        <v>4</v>
      </c>
      <c r="D805" s="2">
        <v>-46.07</v>
      </c>
      <c r="E805" s="2">
        <v>230.36</v>
      </c>
      <c r="F805" s="2" t="s">
        <v>87</v>
      </c>
      <c r="G805" s="2" t="s">
        <v>88</v>
      </c>
      <c r="H805" s="2">
        <v>17</v>
      </c>
      <c r="I805" s="2" t="s">
        <v>412</v>
      </c>
      <c r="J805" s="2" t="s">
        <v>2295</v>
      </c>
      <c r="K805" s="2" t="s">
        <v>102</v>
      </c>
      <c r="L805" s="2" t="s">
        <v>414</v>
      </c>
      <c r="M805" s="2">
        <v>1759</v>
      </c>
      <c r="N805" s="2" t="s">
        <v>3364</v>
      </c>
      <c r="O805" s="2" t="s">
        <v>70</v>
      </c>
      <c r="P805" s="2" t="s">
        <v>133</v>
      </c>
      <c r="Q805" s="2" t="s">
        <v>3365</v>
      </c>
      <c r="R805" s="2">
        <v>11103</v>
      </c>
      <c r="S805" s="2">
        <v>4</v>
      </c>
      <c r="T805" s="2" t="s">
        <v>417</v>
      </c>
      <c r="U805" s="2">
        <v>40.7686195</v>
      </c>
      <c r="V805" s="2">
        <v>-73.909492499999999</v>
      </c>
      <c r="W805" s="2" t="s">
        <v>528</v>
      </c>
      <c r="X805" s="2" t="s">
        <v>1087</v>
      </c>
      <c r="Y805" s="2" t="s">
        <v>1088</v>
      </c>
      <c r="Z805" s="2">
        <v>1759</v>
      </c>
      <c r="AA805" s="2" t="s">
        <v>3366</v>
      </c>
      <c r="AB805" s="2">
        <v>49839</v>
      </c>
      <c r="AC805" s="2">
        <v>365</v>
      </c>
      <c r="AD805" s="2">
        <v>9.6</v>
      </c>
      <c r="AE805" s="2">
        <v>0.04</v>
      </c>
      <c r="AF805" s="2" t="str" cm="1">
        <f t="array" ref="AF805">_xlfn.IFS(AE805=0, "No Discount ", AE805&lt;=0.08,"Low Discount", AE805&lt;=0.16,"Medium Discount", AE805&gt;0.16, "High Discount")</f>
        <v>Low Discount</v>
      </c>
      <c r="AG805" s="2">
        <v>124607</v>
      </c>
      <c r="AH805" s="2">
        <v>59.99</v>
      </c>
      <c r="AI805" s="2">
        <v>-0.2</v>
      </c>
      <c r="AJ805" s="2" t="str" cm="1">
        <f t="array" ref="AJ805">_xlfn.IFS(AI805&lt;=0, "No Profit", AI805&lt;=0.16,"Low Profit",AI805&lt;=0.32,"Medium Profit",AI805&gt;0.32,"High Profit")</f>
        <v>No Profit</v>
      </c>
      <c r="AK805" s="2">
        <v>4</v>
      </c>
      <c r="AL805" s="2">
        <v>239.96</v>
      </c>
      <c r="AM805" s="2">
        <v>230.36</v>
      </c>
      <c r="AN805" s="2">
        <v>-46.07</v>
      </c>
      <c r="AO805" s="2" t="s">
        <v>531</v>
      </c>
      <c r="AP805" s="2" t="s">
        <v>1087</v>
      </c>
      <c r="AQ805" s="2" t="s">
        <v>97</v>
      </c>
      <c r="AR805" s="2" t="s">
        <v>81</v>
      </c>
      <c r="AS805" s="2">
        <v>365</v>
      </c>
      <c r="AT805" s="2">
        <v>17</v>
      </c>
      <c r="AU805" s="2" t="s">
        <v>421</v>
      </c>
      <c r="AV805" s="2">
        <v>59.99</v>
      </c>
      <c r="AW805" s="2">
        <v>0</v>
      </c>
      <c r="AX805" s="3">
        <v>42767.519444444442</v>
      </c>
      <c r="AY805" s="2" t="s">
        <v>83</v>
      </c>
      <c r="AZ805" s="4">
        <v>42732</v>
      </c>
      <c r="BA805" s="5">
        <v>0.51944444444444449</v>
      </c>
      <c r="BB805" s="2">
        <v>2016</v>
      </c>
      <c r="BC805" s="2" t="s">
        <v>357</v>
      </c>
      <c r="BD805" s="2">
        <v>28</v>
      </c>
      <c r="BE805" s="4">
        <v>42767</v>
      </c>
      <c r="BF805" s="5">
        <v>0.51944444444444449</v>
      </c>
      <c r="BG805" s="2" t="str" cm="1">
        <f t="array" ref="BG805">_xlfn.IFS(BF805&lt;TIMEVALUE("06:00"),"Night", BF805&gt;=TIMEVALUE("21:00"),"Night",BF805&gt;=TIMEVALUE("17:00"),"Evening",BF805&gt;=TIMEVALUE("12:00"),"Afternoon", BF805&gt;=TIMEVALUE("06:00"),"Morning")</f>
        <v>Afternoon</v>
      </c>
      <c r="BH805" s="2">
        <v>2017</v>
      </c>
      <c r="BI805" s="2" t="s">
        <v>423</v>
      </c>
      <c r="BJ805" s="2">
        <v>1</v>
      </c>
    </row>
    <row r="806" spans="1:62" x14ac:dyDescent="0.3">
      <c r="A806" s="2" t="s">
        <v>86</v>
      </c>
      <c r="B806" s="2">
        <v>4</v>
      </c>
      <c r="C806" s="2">
        <v>4</v>
      </c>
      <c r="D806" s="2">
        <v>25.62</v>
      </c>
      <c r="E806" s="2">
        <v>226.76</v>
      </c>
      <c r="F806" s="2" t="s">
        <v>100</v>
      </c>
      <c r="G806" s="2" t="s">
        <v>64</v>
      </c>
      <c r="H806" s="2">
        <v>17</v>
      </c>
      <c r="I806" s="2" t="s">
        <v>412</v>
      </c>
      <c r="J806" s="2" t="s">
        <v>362</v>
      </c>
      <c r="K806" s="2" t="s">
        <v>102</v>
      </c>
      <c r="L806" s="2" t="s">
        <v>2918</v>
      </c>
      <c r="M806" s="2">
        <v>10659</v>
      </c>
      <c r="N806" s="2" t="s">
        <v>3367</v>
      </c>
      <c r="O806" s="2" t="s">
        <v>70</v>
      </c>
      <c r="P806" s="2" t="s">
        <v>1163</v>
      </c>
      <c r="Q806" s="2" t="s">
        <v>3368</v>
      </c>
      <c r="R806" s="2">
        <v>7105</v>
      </c>
      <c r="S806" s="2">
        <v>4</v>
      </c>
      <c r="T806" s="2" t="s">
        <v>417</v>
      </c>
      <c r="U806" s="2">
        <v>45.589881900000002</v>
      </c>
      <c r="V806" s="2">
        <v>-122.7153473</v>
      </c>
      <c r="W806" s="2" t="s">
        <v>528</v>
      </c>
      <c r="X806" s="2" t="s">
        <v>3369</v>
      </c>
      <c r="Y806" s="2" t="s">
        <v>904</v>
      </c>
      <c r="Z806" s="2">
        <v>10659</v>
      </c>
      <c r="AA806" s="2" t="s">
        <v>3370</v>
      </c>
      <c r="AB806" s="2">
        <v>12393</v>
      </c>
      <c r="AC806" s="2">
        <v>365</v>
      </c>
      <c r="AD806" s="2">
        <v>13.2</v>
      </c>
      <c r="AE806" s="2">
        <v>0.06</v>
      </c>
      <c r="AF806" s="2" t="str" cm="1">
        <f t="array" ref="AF806">_xlfn.IFS(AE806=0, "No Discount ", AE806&lt;=0.08,"Low Discount", AE806&lt;=0.16,"Medium Discount", AE806&gt;0.16, "High Discount")</f>
        <v>Low Discount</v>
      </c>
      <c r="AG806" s="2">
        <v>31010</v>
      </c>
      <c r="AH806" s="2">
        <v>59.99</v>
      </c>
      <c r="AI806" s="2">
        <v>0.11</v>
      </c>
      <c r="AJ806" s="2" t="str" cm="1">
        <f t="array" ref="AJ806">_xlfn.IFS(AI806&lt;=0, "No Profit", AI806&lt;=0.16,"Low Profit",AI806&lt;=0.32,"Medium Profit",AI806&gt;0.32,"High Profit")</f>
        <v>Low Profit</v>
      </c>
      <c r="AK806" s="2">
        <v>4</v>
      </c>
      <c r="AL806" s="2">
        <v>239.96</v>
      </c>
      <c r="AM806" s="2">
        <v>226.76</v>
      </c>
      <c r="AN806" s="2">
        <v>25.62</v>
      </c>
      <c r="AO806" s="2" t="s">
        <v>905</v>
      </c>
      <c r="AP806" s="2" t="s">
        <v>2755</v>
      </c>
      <c r="AQ806" s="2" t="s">
        <v>97</v>
      </c>
      <c r="AR806" s="2" t="s">
        <v>81</v>
      </c>
      <c r="AS806" s="2">
        <v>365</v>
      </c>
      <c r="AT806" s="2">
        <v>17</v>
      </c>
      <c r="AU806" s="2" t="s">
        <v>421</v>
      </c>
      <c r="AV806" s="2">
        <v>59.99</v>
      </c>
      <c r="AW806" s="2">
        <v>0</v>
      </c>
      <c r="AX806" s="3">
        <v>42101.894444444442</v>
      </c>
      <c r="AY806" s="2" t="s">
        <v>83</v>
      </c>
      <c r="AZ806" s="4">
        <v>42185</v>
      </c>
      <c r="BA806" s="5">
        <v>0.89444444444444449</v>
      </c>
      <c r="BB806" s="2">
        <v>2015</v>
      </c>
      <c r="BC806" s="2" t="s">
        <v>474</v>
      </c>
      <c r="BD806" s="2">
        <v>30</v>
      </c>
      <c r="BE806" s="4">
        <v>42101</v>
      </c>
      <c r="BF806" s="5">
        <v>0.89444444444444449</v>
      </c>
      <c r="BG806" s="2" t="str" cm="1">
        <f t="array" ref="BG806">_xlfn.IFS(BF806&lt;TIMEVALUE("06:00"),"Night", BF806&gt;=TIMEVALUE("21:00"),"Night",BF806&gt;=TIMEVALUE("17:00"),"Evening",BF806&gt;=TIMEVALUE("12:00"),"Afternoon", BF806&gt;=TIMEVALUE("06:00"),"Morning")</f>
        <v>Night</v>
      </c>
      <c r="BH806" s="2">
        <v>2015</v>
      </c>
      <c r="BI806" s="2" t="s">
        <v>487</v>
      </c>
      <c r="BJ806" s="2">
        <v>7</v>
      </c>
    </row>
    <row r="807" spans="1:62" x14ac:dyDescent="0.3">
      <c r="A807" s="2" t="s">
        <v>86</v>
      </c>
      <c r="B807" s="2">
        <v>4</v>
      </c>
      <c r="C807" s="2">
        <v>4</v>
      </c>
      <c r="D807" s="2">
        <v>31.75</v>
      </c>
      <c r="E807" s="2">
        <v>226.76</v>
      </c>
      <c r="F807" s="2" t="s">
        <v>100</v>
      </c>
      <c r="G807" s="2" t="s">
        <v>64</v>
      </c>
      <c r="H807" s="2">
        <v>17</v>
      </c>
      <c r="I807" s="2" t="s">
        <v>412</v>
      </c>
      <c r="J807" s="2" t="s">
        <v>101</v>
      </c>
      <c r="K807" s="2" t="s">
        <v>102</v>
      </c>
      <c r="L807" s="2" t="s">
        <v>1364</v>
      </c>
      <c r="M807" s="2">
        <v>8899</v>
      </c>
      <c r="N807" s="2" t="s">
        <v>1884</v>
      </c>
      <c r="O807" s="2" t="s">
        <v>70</v>
      </c>
      <c r="P807" s="2" t="s">
        <v>105</v>
      </c>
      <c r="Q807" s="2" t="s">
        <v>3371</v>
      </c>
      <c r="R807" s="2">
        <v>95127</v>
      </c>
      <c r="S807" s="2">
        <v>4</v>
      </c>
      <c r="T807" s="2" t="s">
        <v>417</v>
      </c>
      <c r="U807" s="2">
        <v>37.378833800000002</v>
      </c>
      <c r="V807" s="2">
        <v>-121.8303375</v>
      </c>
      <c r="W807" s="2" t="s">
        <v>528</v>
      </c>
      <c r="X807" s="2" t="s">
        <v>3372</v>
      </c>
      <c r="Y807" s="2" t="s">
        <v>536</v>
      </c>
      <c r="Z807" s="2">
        <v>8899</v>
      </c>
      <c r="AA807" s="2" t="s">
        <v>3373</v>
      </c>
      <c r="AB807" s="2">
        <v>65898</v>
      </c>
      <c r="AC807" s="2">
        <v>365</v>
      </c>
      <c r="AD807" s="2">
        <v>13.2</v>
      </c>
      <c r="AE807" s="2">
        <v>0.06</v>
      </c>
      <c r="AF807" s="2" t="str" cm="1">
        <f t="array" ref="AF807">_xlfn.IFS(AE807=0, "No Discount ", AE807&lt;=0.08,"Low Discount", AE807&lt;=0.16,"Medium Discount", AE807&gt;0.16, "High Discount")</f>
        <v>Low Discount</v>
      </c>
      <c r="AG807" s="2">
        <v>164682</v>
      </c>
      <c r="AH807" s="2">
        <v>59.99</v>
      </c>
      <c r="AI807" s="2">
        <v>0.14000000000000001</v>
      </c>
      <c r="AJ807" s="2" t="str" cm="1">
        <f t="array" ref="AJ807">_xlfn.IFS(AI807&lt;=0, "No Profit", AI807&lt;=0.16,"Low Profit",AI807&lt;=0.32,"Medium Profit",AI807&gt;0.32,"High Profit")</f>
        <v>Low Profit</v>
      </c>
      <c r="AK807" s="2">
        <v>4</v>
      </c>
      <c r="AL807" s="2">
        <v>239.96</v>
      </c>
      <c r="AM807" s="2">
        <v>226.76</v>
      </c>
      <c r="AN807" s="2">
        <v>31.75</v>
      </c>
      <c r="AO807" s="2" t="s">
        <v>531</v>
      </c>
      <c r="AP807" s="2" t="s">
        <v>538</v>
      </c>
      <c r="AQ807" s="2" t="s">
        <v>97</v>
      </c>
      <c r="AR807" s="2" t="s">
        <v>81</v>
      </c>
      <c r="AS807" s="2">
        <v>365</v>
      </c>
      <c r="AT807" s="2">
        <v>17</v>
      </c>
      <c r="AU807" s="2" t="s">
        <v>421</v>
      </c>
      <c r="AV807" s="2">
        <v>59.99</v>
      </c>
      <c r="AW807" s="2">
        <v>0</v>
      </c>
      <c r="AX807" s="2" t="s">
        <v>3374</v>
      </c>
      <c r="AY807" s="2" t="s">
        <v>83</v>
      </c>
      <c r="AZ807" s="4">
        <v>42966</v>
      </c>
      <c r="BA807" s="5">
        <v>0.94374999999999998</v>
      </c>
      <c r="BB807" s="2">
        <v>2017</v>
      </c>
      <c r="BC807" s="2" t="s">
        <v>482</v>
      </c>
      <c r="BD807" s="2">
        <v>19</v>
      </c>
      <c r="BE807" s="4">
        <v>42970</v>
      </c>
      <c r="BF807" s="5">
        <v>0.94374999999999998</v>
      </c>
      <c r="BG807" s="2" t="str" cm="1">
        <f t="array" ref="BG807">_xlfn.IFS(BF807&lt;TIMEVALUE("06:00"),"Night", BF807&gt;=TIMEVALUE("21:00"),"Night",BF807&gt;=TIMEVALUE("17:00"),"Evening",BF807&gt;=TIMEVALUE("12:00"),"Afternoon", BF807&gt;=TIMEVALUE("06:00"),"Morning")</f>
        <v>Night</v>
      </c>
      <c r="BH807" s="2">
        <v>2017</v>
      </c>
      <c r="BI807" s="2" t="s">
        <v>482</v>
      </c>
      <c r="BJ807" s="2">
        <v>23</v>
      </c>
    </row>
    <row r="808" spans="1:62" x14ac:dyDescent="0.3">
      <c r="A808" s="2" t="s">
        <v>86</v>
      </c>
      <c r="B808" s="2">
        <v>5</v>
      </c>
      <c r="C808" s="2">
        <v>4</v>
      </c>
      <c r="D808" s="2">
        <v>60.25</v>
      </c>
      <c r="E808" s="2">
        <v>223.16</v>
      </c>
      <c r="F808" s="2" t="s">
        <v>87</v>
      </c>
      <c r="G808" s="2" t="s">
        <v>88</v>
      </c>
      <c r="H808" s="2">
        <v>17</v>
      </c>
      <c r="I808" s="2" t="s">
        <v>412</v>
      </c>
      <c r="J808" s="2" t="s">
        <v>3375</v>
      </c>
      <c r="K808" s="2" t="s">
        <v>102</v>
      </c>
      <c r="L808" s="2" t="s">
        <v>1747</v>
      </c>
      <c r="M808" s="2">
        <v>3315</v>
      </c>
      <c r="N808" s="2" t="s">
        <v>1678</v>
      </c>
      <c r="O808" s="2" t="s">
        <v>70</v>
      </c>
      <c r="P808" s="2" t="s">
        <v>1394</v>
      </c>
      <c r="Q808" s="2" t="s">
        <v>3376</v>
      </c>
      <c r="R808" s="2">
        <v>22192</v>
      </c>
      <c r="S808" s="2">
        <v>4</v>
      </c>
      <c r="T808" s="2" t="s">
        <v>417</v>
      </c>
      <c r="U808" s="2">
        <v>37.6272278</v>
      </c>
      <c r="V808" s="2">
        <v>-77.326728799999998</v>
      </c>
      <c r="W808" s="2" t="s">
        <v>528</v>
      </c>
      <c r="X808" s="2" t="s">
        <v>2941</v>
      </c>
      <c r="Y808" s="2" t="s">
        <v>983</v>
      </c>
      <c r="Z808" s="2">
        <v>3315</v>
      </c>
      <c r="AA808" s="2" t="s">
        <v>3377</v>
      </c>
      <c r="AB808" s="2">
        <v>64599</v>
      </c>
      <c r="AC808" s="2">
        <v>365</v>
      </c>
      <c r="AD808" s="2">
        <v>16.8</v>
      </c>
      <c r="AE808" s="2">
        <v>7.0000000000000007E-2</v>
      </c>
      <c r="AF808" s="2" t="str" cm="1">
        <f t="array" ref="AF808">_xlfn.IFS(AE808=0, "No Discount ", AE808&lt;=0.08,"Low Discount", AE808&lt;=0.16,"Medium Discount", AE808&gt;0.16, "High Discount")</f>
        <v>Low Discount</v>
      </c>
      <c r="AG808" s="2">
        <v>161461</v>
      </c>
      <c r="AH808" s="2">
        <v>59.99</v>
      </c>
      <c r="AI808" s="2">
        <v>0.27</v>
      </c>
      <c r="AJ808" s="2" t="str" cm="1">
        <f t="array" ref="AJ808">_xlfn.IFS(AI808&lt;=0, "No Profit", AI808&lt;=0.16,"Low Profit",AI808&lt;=0.32,"Medium Profit",AI808&gt;0.32,"High Profit")</f>
        <v>Medium Profit</v>
      </c>
      <c r="AK808" s="2">
        <v>4</v>
      </c>
      <c r="AL808" s="2">
        <v>239.96</v>
      </c>
      <c r="AM808" s="2">
        <v>223.16</v>
      </c>
      <c r="AN808" s="2">
        <v>60.25</v>
      </c>
      <c r="AO808" s="2" t="s">
        <v>905</v>
      </c>
      <c r="AP808" s="2" t="s">
        <v>3378</v>
      </c>
      <c r="AQ808" s="2" t="s">
        <v>97</v>
      </c>
      <c r="AR808" s="2" t="s">
        <v>81</v>
      </c>
      <c r="AS808" s="2">
        <v>365</v>
      </c>
      <c r="AT808" s="2">
        <v>17</v>
      </c>
      <c r="AU808" s="2" t="s">
        <v>421</v>
      </c>
      <c r="AV808" s="2">
        <v>59.99</v>
      </c>
      <c r="AW808" s="2">
        <v>0</v>
      </c>
      <c r="AX808" s="3">
        <v>42863.981249999997</v>
      </c>
      <c r="AY808" s="2" t="s">
        <v>83</v>
      </c>
      <c r="AZ808" s="4">
        <v>42947</v>
      </c>
      <c r="BA808" s="5">
        <v>0.98124999999999996</v>
      </c>
      <c r="BB808" s="2">
        <v>2017</v>
      </c>
      <c r="BC808" s="2" t="s">
        <v>533</v>
      </c>
      <c r="BD808" s="2">
        <v>31</v>
      </c>
      <c r="BE808" s="4">
        <v>42863</v>
      </c>
      <c r="BF808" s="5">
        <v>0.98124999999999996</v>
      </c>
      <c r="BG808" s="2" t="str" cm="1">
        <f t="array" ref="BG808">_xlfn.IFS(BF808&lt;TIMEVALUE("06:00"),"Night", BF808&gt;=TIMEVALUE("21:00"),"Night",BF808&gt;=TIMEVALUE("17:00"),"Evening",BF808&gt;=TIMEVALUE("12:00"),"Afternoon", BF808&gt;=TIMEVALUE("06:00"),"Morning")</f>
        <v>Night</v>
      </c>
      <c r="BH808" s="2">
        <v>2017</v>
      </c>
      <c r="BI808" s="2" t="s">
        <v>443</v>
      </c>
      <c r="BJ808" s="2">
        <v>8</v>
      </c>
    </row>
    <row r="809" spans="1:62" x14ac:dyDescent="0.3">
      <c r="A809" s="2" t="s">
        <v>86</v>
      </c>
      <c r="B809" s="2">
        <v>6</v>
      </c>
      <c r="C809" s="2">
        <v>4</v>
      </c>
      <c r="D809" s="2">
        <v>-163.58000000000001</v>
      </c>
      <c r="E809" s="2">
        <v>223.16</v>
      </c>
      <c r="F809" s="2" t="s">
        <v>87</v>
      </c>
      <c r="G809" s="2" t="s">
        <v>88</v>
      </c>
      <c r="H809" s="2">
        <v>17</v>
      </c>
      <c r="I809" s="2" t="s">
        <v>412</v>
      </c>
      <c r="J809" s="2" t="s">
        <v>3379</v>
      </c>
      <c r="K809" s="2" t="s">
        <v>102</v>
      </c>
      <c r="L809" s="2" t="s">
        <v>2825</v>
      </c>
      <c r="M809" s="2">
        <v>10051</v>
      </c>
      <c r="N809" s="2" t="s">
        <v>425</v>
      </c>
      <c r="O809" s="2" t="s">
        <v>70</v>
      </c>
      <c r="P809" s="2" t="s">
        <v>333</v>
      </c>
      <c r="Q809" s="2" t="s">
        <v>3380</v>
      </c>
      <c r="R809" s="2">
        <v>78596</v>
      </c>
      <c r="S809" s="2">
        <v>4</v>
      </c>
      <c r="T809" s="2" t="s">
        <v>417</v>
      </c>
      <c r="U809" s="2">
        <v>26.162525200000001</v>
      </c>
      <c r="V809" s="2">
        <v>-97.988876300000001</v>
      </c>
      <c r="W809" s="2" t="s">
        <v>528</v>
      </c>
      <c r="X809" s="2" t="s">
        <v>3381</v>
      </c>
      <c r="Y809" s="2" t="s">
        <v>536</v>
      </c>
      <c r="Z809" s="2">
        <v>10051</v>
      </c>
      <c r="AA809" s="3">
        <v>43077.236111111109</v>
      </c>
      <c r="AB809" s="2">
        <v>65370</v>
      </c>
      <c r="AC809" s="2">
        <v>365</v>
      </c>
      <c r="AD809" s="2">
        <v>16.8</v>
      </c>
      <c r="AE809" s="2">
        <v>7.0000000000000007E-2</v>
      </c>
      <c r="AF809" s="2" t="str" cm="1">
        <f t="array" ref="AF809">_xlfn.IFS(AE809=0, "No Discount ", AE809&lt;=0.08,"Low Discount", AE809&lt;=0.16,"Medium Discount", AE809&gt;0.16, "High Discount")</f>
        <v>Low Discount</v>
      </c>
      <c r="AG809" s="2">
        <v>163390</v>
      </c>
      <c r="AH809" s="2">
        <v>59.99</v>
      </c>
      <c r="AI809" s="2">
        <v>-0.73</v>
      </c>
      <c r="AJ809" s="2" t="str" cm="1">
        <f t="array" ref="AJ809">_xlfn.IFS(AI809&lt;=0, "No Profit", AI809&lt;=0.16,"Low Profit",AI809&lt;=0.32,"Medium Profit",AI809&gt;0.32,"High Profit")</f>
        <v>No Profit</v>
      </c>
      <c r="AK809" s="2">
        <v>4</v>
      </c>
      <c r="AL809" s="2">
        <v>239.96</v>
      </c>
      <c r="AM809" s="2">
        <v>223.16</v>
      </c>
      <c r="AN809" s="2">
        <v>-163.58000000000001</v>
      </c>
      <c r="AO809" s="2" t="s">
        <v>531</v>
      </c>
      <c r="AP809" s="2" t="s">
        <v>538</v>
      </c>
      <c r="AQ809" s="2" t="s">
        <v>97</v>
      </c>
      <c r="AR809" s="2" t="s">
        <v>81</v>
      </c>
      <c r="AS809" s="2">
        <v>365</v>
      </c>
      <c r="AT809" s="2">
        <v>17</v>
      </c>
      <c r="AU809" s="2" t="s">
        <v>421</v>
      </c>
      <c r="AV809" s="2">
        <v>59.99</v>
      </c>
      <c r="AW809" s="2">
        <v>0</v>
      </c>
      <c r="AX809" s="2" t="s">
        <v>3382</v>
      </c>
      <c r="AY809" s="2" t="s">
        <v>83</v>
      </c>
      <c r="AZ809" s="4">
        <v>43077</v>
      </c>
      <c r="BA809" s="5">
        <v>0.2361111111111111</v>
      </c>
      <c r="BB809" s="2">
        <v>2017</v>
      </c>
      <c r="BC809" s="2" t="s">
        <v>357</v>
      </c>
      <c r="BD809" s="2">
        <v>8</v>
      </c>
      <c r="BE809" s="4">
        <v>42965</v>
      </c>
      <c r="BF809" s="5">
        <v>0.2361111111111111</v>
      </c>
      <c r="BG809" s="2" t="str" cm="1">
        <f t="array" ref="BG809">_xlfn.IFS(BF809&lt;TIMEVALUE("06:00"),"Night", BF809&gt;=TIMEVALUE("21:00"),"Night",BF809&gt;=TIMEVALUE("17:00"),"Evening",BF809&gt;=TIMEVALUE("12:00"),"Afternoon", BF809&gt;=TIMEVALUE("06:00"),"Morning")</f>
        <v>Night</v>
      </c>
      <c r="BH809" s="2">
        <v>2017</v>
      </c>
      <c r="BI809" s="2" t="s">
        <v>482</v>
      </c>
      <c r="BJ809" s="2">
        <v>18</v>
      </c>
    </row>
    <row r="810" spans="1:62" x14ac:dyDescent="0.3">
      <c r="A810" s="2" t="s">
        <v>86</v>
      </c>
      <c r="B810" s="2">
        <v>3</v>
      </c>
      <c r="C810" s="2">
        <v>4</v>
      </c>
      <c r="D810" s="2">
        <v>104.81</v>
      </c>
      <c r="E810" s="2">
        <v>218.36</v>
      </c>
      <c r="F810" s="2" t="s">
        <v>63</v>
      </c>
      <c r="G810" s="2" t="s">
        <v>64</v>
      </c>
      <c r="H810" s="2">
        <v>17</v>
      </c>
      <c r="I810" s="2" t="s">
        <v>412</v>
      </c>
      <c r="J810" s="2" t="s">
        <v>1229</v>
      </c>
      <c r="K810" s="2" t="s">
        <v>102</v>
      </c>
      <c r="L810" s="2" t="s">
        <v>414</v>
      </c>
      <c r="M810" s="2">
        <v>6402</v>
      </c>
      <c r="N810" s="2" t="s">
        <v>2602</v>
      </c>
      <c r="O810" s="2" t="s">
        <v>70</v>
      </c>
      <c r="P810" s="2" t="s">
        <v>133</v>
      </c>
      <c r="Q810" s="2" t="s">
        <v>3383</v>
      </c>
      <c r="R810" s="2">
        <v>11432</v>
      </c>
      <c r="S810" s="2">
        <v>4</v>
      </c>
      <c r="T810" s="2" t="s">
        <v>417</v>
      </c>
      <c r="U810" s="2">
        <v>40.7079849</v>
      </c>
      <c r="V810" s="2">
        <v>-73.783035299999995</v>
      </c>
      <c r="W810" s="2" t="s">
        <v>528</v>
      </c>
      <c r="X810" s="2" t="s">
        <v>3384</v>
      </c>
      <c r="Y810" s="2" t="s">
        <v>983</v>
      </c>
      <c r="Z810" s="2">
        <v>6402</v>
      </c>
      <c r="AA810" s="2" t="s">
        <v>3385</v>
      </c>
      <c r="AB810" s="2">
        <v>19732</v>
      </c>
      <c r="AC810" s="2">
        <v>365</v>
      </c>
      <c r="AD810" s="2">
        <v>21.6</v>
      </c>
      <c r="AE810" s="2">
        <v>0.09</v>
      </c>
      <c r="AF810" s="2" t="str" cm="1">
        <f t="array" ref="AF810">_xlfn.IFS(AE810=0, "No Discount ", AE810&lt;=0.08,"Low Discount", AE810&lt;=0.16,"Medium Discount", AE810&gt;0.16, "High Discount")</f>
        <v>Medium Discount</v>
      </c>
      <c r="AG810" s="2">
        <v>49329</v>
      </c>
      <c r="AH810" s="2">
        <v>59.99</v>
      </c>
      <c r="AI810" s="2">
        <v>0.48</v>
      </c>
      <c r="AJ810" s="2" t="str" cm="1">
        <f t="array" ref="AJ810">_xlfn.IFS(AI810&lt;=0, "No Profit", AI810&lt;=0.16,"Low Profit",AI810&lt;=0.32,"Medium Profit",AI810&gt;0.32,"High Profit")</f>
        <v>High Profit</v>
      </c>
      <c r="AK810" s="2">
        <v>4</v>
      </c>
      <c r="AL810" s="2">
        <v>239.96</v>
      </c>
      <c r="AM810" s="2">
        <v>218.36</v>
      </c>
      <c r="AN810" s="2">
        <v>104.81</v>
      </c>
      <c r="AO810" s="2" t="s">
        <v>905</v>
      </c>
      <c r="AP810" s="2" t="s">
        <v>3378</v>
      </c>
      <c r="AQ810" s="2" t="s">
        <v>97</v>
      </c>
      <c r="AR810" s="2" t="s">
        <v>81</v>
      </c>
      <c r="AS810" s="2">
        <v>365</v>
      </c>
      <c r="AT810" s="2">
        <v>17</v>
      </c>
      <c r="AU810" s="2" t="s">
        <v>421</v>
      </c>
      <c r="AV810" s="2">
        <v>59.99</v>
      </c>
      <c r="AW810" s="2">
        <v>0</v>
      </c>
      <c r="AX810" s="2" t="s">
        <v>3386</v>
      </c>
      <c r="AY810" s="2" t="s">
        <v>83</v>
      </c>
      <c r="AZ810" s="4">
        <v>42293</v>
      </c>
      <c r="BA810" s="5">
        <v>2.6388888888888889E-2</v>
      </c>
      <c r="BB810" s="2">
        <v>2015</v>
      </c>
      <c r="BC810" s="2" t="s">
        <v>434</v>
      </c>
      <c r="BD810" s="2">
        <v>16</v>
      </c>
      <c r="BE810" s="4">
        <v>42296</v>
      </c>
      <c r="BF810" s="5">
        <v>2.6388888888888889E-2</v>
      </c>
      <c r="BG810" s="2" t="str" cm="1">
        <f t="array" ref="BG810">_xlfn.IFS(BF810&lt;TIMEVALUE("06:00"),"Night", BF810&gt;=TIMEVALUE("21:00"),"Night",BF810&gt;=TIMEVALUE("17:00"),"Evening",BF810&gt;=TIMEVALUE("12:00"),"Afternoon", BF810&gt;=TIMEVALUE("06:00"),"Morning")</f>
        <v>Night</v>
      </c>
      <c r="BH810" s="2">
        <v>2015</v>
      </c>
      <c r="BI810" s="2" t="s">
        <v>434</v>
      </c>
      <c r="BJ810" s="2">
        <v>19</v>
      </c>
    </row>
    <row r="811" spans="1:62" x14ac:dyDescent="0.3">
      <c r="A811" s="2" t="s">
        <v>86</v>
      </c>
      <c r="B811" s="2">
        <v>5</v>
      </c>
      <c r="C811" s="2">
        <v>4</v>
      </c>
      <c r="D811" s="2">
        <v>-43.67</v>
      </c>
      <c r="E811" s="2">
        <v>218.36</v>
      </c>
      <c r="F811" s="2" t="s">
        <v>87</v>
      </c>
      <c r="G811" s="2" t="s">
        <v>88</v>
      </c>
      <c r="H811" s="2">
        <v>17</v>
      </c>
      <c r="I811" s="2" t="s">
        <v>412</v>
      </c>
      <c r="J811" s="2" t="s">
        <v>1161</v>
      </c>
      <c r="K811" s="2" t="s">
        <v>102</v>
      </c>
      <c r="L811" s="2" t="s">
        <v>2896</v>
      </c>
      <c r="M811" s="2">
        <v>4021</v>
      </c>
      <c r="N811" s="2" t="s">
        <v>2100</v>
      </c>
      <c r="O811" s="2" t="s">
        <v>70</v>
      </c>
      <c r="P811" s="2" t="s">
        <v>1117</v>
      </c>
      <c r="Q811" s="2" t="s">
        <v>3387</v>
      </c>
      <c r="R811" s="2">
        <v>44107</v>
      </c>
      <c r="S811" s="2">
        <v>4</v>
      </c>
      <c r="T811" s="2" t="s">
        <v>417</v>
      </c>
      <c r="U811" s="2">
        <v>40.527370500000004</v>
      </c>
      <c r="V811" s="2">
        <v>-81.268959100000004</v>
      </c>
      <c r="W811" s="2" t="s">
        <v>528</v>
      </c>
      <c r="X811" s="2" t="s">
        <v>3388</v>
      </c>
      <c r="Y811" s="2" t="s">
        <v>530</v>
      </c>
      <c r="Z811" s="2">
        <v>4021</v>
      </c>
      <c r="AA811" s="2" t="s">
        <v>3389</v>
      </c>
      <c r="AB811" s="2">
        <v>67549</v>
      </c>
      <c r="AC811" s="2">
        <v>365</v>
      </c>
      <c r="AD811" s="2">
        <v>21.6</v>
      </c>
      <c r="AE811" s="2">
        <v>0.09</v>
      </c>
      <c r="AF811" s="2" t="str" cm="1">
        <f t="array" ref="AF811">_xlfn.IFS(AE811=0, "No Discount ", AE811&lt;=0.08,"Low Discount", AE811&lt;=0.16,"Medium Discount", AE811&gt;0.16, "High Discount")</f>
        <v>Medium Discount</v>
      </c>
      <c r="AG811" s="2">
        <v>168880</v>
      </c>
      <c r="AH811" s="2">
        <v>59.99</v>
      </c>
      <c r="AI811" s="2">
        <v>-0.2</v>
      </c>
      <c r="AJ811" s="2" t="str" cm="1">
        <f t="array" ref="AJ811">_xlfn.IFS(AI811&lt;=0, "No Profit", AI811&lt;=0.16,"Low Profit",AI811&lt;=0.32,"Medium Profit",AI811&gt;0.32,"High Profit")</f>
        <v>No Profit</v>
      </c>
      <c r="AK811" s="2">
        <v>4</v>
      </c>
      <c r="AL811" s="2">
        <v>239.96</v>
      </c>
      <c r="AM811" s="2">
        <v>218.36</v>
      </c>
      <c r="AN811" s="2">
        <v>-43.67</v>
      </c>
      <c r="AO811" s="2" t="s">
        <v>531</v>
      </c>
      <c r="AP811" s="2" t="s">
        <v>532</v>
      </c>
      <c r="AQ811" s="2" t="s">
        <v>97</v>
      </c>
      <c r="AR811" s="2" t="s">
        <v>81</v>
      </c>
      <c r="AS811" s="2">
        <v>365</v>
      </c>
      <c r="AT811" s="2">
        <v>17</v>
      </c>
      <c r="AU811" s="2" t="s">
        <v>421</v>
      </c>
      <c r="AV811" s="2">
        <v>59.99</v>
      </c>
      <c r="AW811" s="2">
        <v>0</v>
      </c>
      <c r="AX811" s="2" t="s">
        <v>3390</v>
      </c>
      <c r="AY811" s="2" t="s">
        <v>83</v>
      </c>
      <c r="AZ811" s="4">
        <v>42991</v>
      </c>
      <c r="BA811" s="5">
        <v>4.4444444444444446E-2</v>
      </c>
      <c r="BB811" s="2">
        <v>2017</v>
      </c>
      <c r="BC811" s="2" t="s">
        <v>552</v>
      </c>
      <c r="BD811" s="2">
        <v>13</v>
      </c>
      <c r="BE811" s="4">
        <v>42996</v>
      </c>
      <c r="BF811" s="5">
        <v>4.4444444444444446E-2</v>
      </c>
      <c r="BG811" s="2" t="str" cm="1">
        <f t="array" ref="BG811">_xlfn.IFS(BF811&lt;TIMEVALUE("06:00"),"Night", BF811&gt;=TIMEVALUE("21:00"),"Night",BF811&gt;=TIMEVALUE("17:00"),"Evening",BF811&gt;=TIMEVALUE("12:00"),"Afternoon", BF811&gt;=TIMEVALUE("06:00"),"Morning")</f>
        <v>Night</v>
      </c>
      <c r="BH811" s="2">
        <v>2017</v>
      </c>
      <c r="BI811" s="2" t="s">
        <v>552</v>
      </c>
      <c r="BJ811" s="2">
        <v>18</v>
      </c>
    </row>
    <row r="812" spans="1:62" x14ac:dyDescent="0.3">
      <c r="A812" s="2" t="s">
        <v>86</v>
      </c>
      <c r="B812" s="2">
        <v>5</v>
      </c>
      <c r="C812" s="2">
        <v>4</v>
      </c>
      <c r="D812" s="2">
        <v>75.59</v>
      </c>
      <c r="E812" s="2">
        <v>215.96</v>
      </c>
      <c r="F812" s="2" t="s">
        <v>87</v>
      </c>
      <c r="G812" s="2" t="s">
        <v>88</v>
      </c>
      <c r="H812" s="2">
        <v>17</v>
      </c>
      <c r="I812" s="2" t="s">
        <v>412</v>
      </c>
      <c r="J812" s="2" t="s">
        <v>1161</v>
      </c>
      <c r="K812" s="2" t="s">
        <v>102</v>
      </c>
      <c r="L812" s="2" t="s">
        <v>2896</v>
      </c>
      <c r="M812" s="2">
        <v>4021</v>
      </c>
      <c r="N812" s="2" t="s">
        <v>2100</v>
      </c>
      <c r="O812" s="2" t="s">
        <v>70</v>
      </c>
      <c r="P812" s="2" t="s">
        <v>1117</v>
      </c>
      <c r="Q812" s="2" t="s">
        <v>3387</v>
      </c>
      <c r="R812" s="2">
        <v>44107</v>
      </c>
      <c r="S812" s="2">
        <v>4</v>
      </c>
      <c r="T812" s="2" t="s">
        <v>417</v>
      </c>
      <c r="U812" s="2">
        <v>40.527370500000004</v>
      </c>
      <c r="V812" s="2">
        <v>-81.268959100000004</v>
      </c>
      <c r="W812" s="2" t="s">
        <v>528</v>
      </c>
      <c r="X812" s="2" t="s">
        <v>3388</v>
      </c>
      <c r="Y812" s="2" t="s">
        <v>530</v>
      </c>
      <c r="Z812" s="2">
        <v>4021</v>
      </c>
      <c r="AA812" s="2" t="s">
        <v>3389</v>
      </c>
      <c r="AB812" s="2">
        <v>67549</v>
      </c>
      <c r="AC812" s="2">
        <v>365</v>
      </c>
      <c r="AD812" s="2">
        <v>24</v>
      </c>
      <c r="AE812" s="2">
        <v>0.1</v>
      </c>
      <c r="AF812" s="2" t="str" cm="1">
        <f t="array" ref="AF812">_xlfn.IFS(AE812=0, "No Discount ", AE812&lt;=0.08,"Low Discount", AE812&lt;=0.16,"Medium Discount", AE812&gt;0.16, "High Discount")</f>
        <v>Medium Discount</v>
      </c>
      <c r="AG812" s="2">
        <v>168879</v>
      </c>
      <c r="AH812" s="2">
        <v>59.99</v>
      </c>
      <c r="AI812" s="2">
        <v>0.35</v>
      </c>
      <c r="AJ812" s="2" t="str" cm="1">
        <f t="array" ref="AJ812">_xlfn.IFS(AI812&lt;=0, "No Profit", AI812&lt;=0.16,"Low Profit",AI812&lt;=0.32,"Medium Profit",AI812&gt;0.32,"High Profit")</f>
        <v>High Profit</v>
      </c>
      <c r="AK812" s="2">
        <v>4</v>
      </c>
      <c r="AL812" s="2">
        <v>239.96</v>
      </c>
      <c r="AM812" s="2">
        <v>215.96</v>
      </c>
      <c r="AN812" s="2">
        <v>75.59</v>
      </c>
      <c r="AO812" s="2" t="s">
        <v>531</v>
      </c>
      <c r="AP812" s="2" t="s">
        <v>532</v>
      </c>
      <c r="AQ812" s="2" t="s">
        <v>97</v>
      </c>
      <c r="AR812" s="2" t="s">
        <v>81</v>
      </c>
      <c r="AS812" s="2">
        <v>365</v>
      </c>
      <c r="AT812" s="2">
        <v>17</v>
      </c>
      <c r="AU812" s="2" t="s">
        <v>421</v>
      </c>
      <c r="AV812" s="2">
        <v>59.99</v>
      </c>
      <c r="AW812" s="2">
        <v>0</v>
      </c>
      <c r="AX812" s="2" t="s">
        <v>3390</v>
      </c>
      <c r="AY812" s="2" t="s">
        <v>83</v>
      </c>
      <c r="AZ812" s="4">
        <v>42991</v>
      </c>
      <c r="BA812" s="5">
        <v>4.4444444444444446E-2</v>
      </c>
      <c r="BB812" s="2">
        <v>2017</v>
      </c>
      <c r="BC812" s="2" t="s">
        <v>552</v>
      </c>
      <c r="BD812" s="2">
        <v>13</v>
      </c>
      <c r="BE812" s="4">
        <v>42996</v>
      </c>
      <c r="BF812" s="5">
        <v>4.4444444444444446E-2</v>
      </c>
      <c r="BG812" s="2" t="str" cm="1">
        <f t="array" ref="BG812">_xlfn.IFS(BF812&lt;TIMEVALUE("06:00"),"Night", BF812&gt;=TIMEVALUE("21:00"),"Night",BF812&gt;=TIMEVALUE("17:00"),"Evening",BF812&gt;=TIMEVALUE("12:00"),"Afternoon", BF812&gt;=TIMEVALUE("06:00"),"Morning")</f>
        <v>Night</v>
      </c>
      <c r="BH812" s="2">
        <v>2017</v>
      </c>
      <c r="BI812" s="2" t="s">
        <v>552</v>
      </c>
      <c r="BJ812" s="2">
        <v>18</v>
      </c>
    </row>
    <row r="813" spans="1:62" x14ac:dyDescent="0.3">
      <c r="A813" s="2" t="s">
        <v>86</v>
      </c>
      <c r="B813" s="2">
        <v>2</v>
      </c>
      <c r="C813" s="2">
        <v>4</v>
      </c>
      <c r="D813" s="2">
        <v>-36.950000000000003</v>
      </c>
      <c r="E813" s="2">
        <v>211.16</v>
      </c>
      <c r="F813" s="2" t="s">
        <v>63</v>
      </c>
      <c r="G813" s="2" t="s">
        <v>64</v>
      </c>
      <c r="H813" s="2">
        <v>17</v>
      </c>
      <c r="I813" s="2" t="s">
        <v>412</v>
      </c>
      <c r="J813" s="2" t="s">
        <v>149</v>
      </c>
      <c r="K813" s="2" t="s">
        <v>102</v>
      </c>
      <c r="L813" s="2" t="s">
        <v>414</v>
      </c>
      <c r="M813" s="2">
        <v>5929</v>
      </c>
      <c r="N813" s="2" t="s">
        <v>3326</v>
      </c>
      <c r="O813" s="2" t="s">
        <v>70</v>
      </c>
      <c r="P813" s="2" t="s">
        <v>152</v>
      </c>
      <c r="Q813" s="2" t="s">
        <v>3327</v>
      </c>
      <c r="R813" s="2">
        <v>33186</v>
      </c>
      <c r="S813" s="2">
        <v>4</v>
      </c>
      <c r="T813" s="2" t="s">
        <v>417</v>
      </c>
      <c r="U813" s="2">
        <v>25.7743702</v>
      </c>
      <c r="V813" s="2">
        <v>-80.193779000000006</v>
      </c>
      <c r="W813" s="2" t="s">
        <v>528</v>
      </c>
      <c r="X813" s="2" t="s">
        <v>3328</v>
      </c>
      <c r="Y813" s="2" t="s">
        <v>904</v>
      </c>
      <c r="Z813" s="2">
        <v>5929</v>
      </c>
      <c r="AA813" s="2" t="s">
        <v>3329</v>
      </c>
      <c r="AB813" s="2">
        <v>67866</v>
      </c>
      <c r="AC813" s="2">
        <v>365</v>
      </c>
      <c r="AD813" s="2">
        <v>28.8</v>
      </c>
      <c r="AE813" s="2">
        <v>0.12</v>
      </c>
      <c r="AF813" s="2" t="str" cm="1">
        <f t="array" ref="AF813">_xlfn.IFS(AE813=0, "No Discount ", AE813&lt;=0.08,"Low Discount", AE813&lt;=0.16,"Medium Discount", AE813&gt;0.16, "High Discount")</f>
        <v>Medium Discount</v>
      </c>
      <c r="AG813" s="2">
        <v>169681</v>
      </c>
      <c r="AH813" s="2">
        <v>59.99</v>
      </c>
      <c r="AI813" s="2">
        <v>-0.18</v>
      </c>
      <c r="AJ813" s="2" t="str" cm="1">
        <f t="array" ref="AJ813">_xlfn.IFS(AI813&lt;=0, "No Profit", AI813&lt;=0.16,"Low Profit",AI813&lt;=0.32,"Medium Profit",AI813&gt;0.32,"High Profit")</f>
        <v>No Profit</v>
      </c>
      <c r="AK813" s="2">
        <v>4</v>
      </c>
      <c r="AL813" s="2">
        <v>239.96</v>
      </c>
      <c r="AM813" s="2">
        <v>211.16</v>
      </c>
      <c r="AN813" s="2">
        <v>-36.950000000000003</v>
      </c>
      <c r="AO813" s="2" t="s">
        <v>905</v>
      </c>
      <c r="AP813" s="2" t="s">
        <v>1763</v>
      </c>
      <c r="AQ813" s="2" t="s">
        <v>97</v>
      </c>
      <c r="AR813" s="2" t="s">
        <v>81</v>
      </c>
      <c r="AS813" s="2">
        <v>365</v>
      </c>
      <c r="AT813" s="2">
        <v>17</v>
      </c>
      <c r="AU813" s="2" t="s">
        <v>421</v>
      </c>
      <c r="AV813" s="2">
        <v>59.99</v>
      </c>
      <c r="AW813" s="2">
        <v>0</v>
      </c>
      <c r="AX813" s="2" t="s">
        <v>3330</v>
      </c>
      <c r="AY813" s="2" t="s">
        <v>83</v>
      </c>
      <c r="AZ813" s="4">
        <v>42995</v>
      </c>
      <c r="BA813" s="5">
        <v>0.67152777777777772</v>
      </c>
      <c r="BB813" s="2">
        <v>2017</v>
      </c>
      <c r="BC813" s="2" t="s">
        <v>552</v>
      </c>
      <c r="BD813" s="2">
        <v>17</v>
      </c>
      <c r="BE813" s="4">
        <v>42997</v>
      </c>
      <c r="BF813" s="5">
        <v>0.67152777777777772</v>
      </c>
      <c r="BG813" s="2" t="str" cm="1">
        <f t="array" ref="BG813">_xlfn.IFS(BF813&lt;TIMEVALUE("06:00"),"Night", BF813&gt;=TIMEVALUE("21:00"),"Night",BF813&gt;=TIMEVALUE("17:00"),"Evening",BF813&gt;=TIMEVALUE("12:00"),"Afternoon", BF813&gt;=TIMEVALUE("06:00"),"Morning")</f>
        <v>Afternoon</v>
      </c>
      <c r="BH813" s="2">
        <v>2017</v>
      </c>
      <c r="BI813" s="2" t="s">
        <v>552</v>
      </c>
      <c r="BJ813" s="2">
        <v>19</v>
      </c>
    </row>
    <row r="814" spans="1:62" x14ac:dyDescent="0.3">
      <c r="A814" s="2" t="s">
        <v>86</v>
      </c>
      <c r="B814" s="2">
        <v>6</v>
      </c>
      <c r="C814" s="2">
        <v>4</v>
      </c>
      <c r="D814" s="2">
        <v>39.700000000000003</v>
      </c>
      <c r="E814" s="2">
        <v>211.16</v>
      </c>
      <c r="F814" s="2" t="s">
        <v>87</v>
      </c>
      <c r="G814" s="2" t="s">
        <v>88</v>
      </c>
      <c r="H814" s="2">
        <v>17</v>
      </c>
      <c r="I814" s="2" t="s">
        <v>412</v>
      </c>
      <c r="J814" s="2" t="s">
        <v>330</v>
      </c>
      <c r="K814" s="2" t="s">
        <v>102</v>
      </c>
      <c r="L814" s="2" t="s">
        <v>444</v>
      </c>
      <c r="M814" s="2">
        <v>4195</v>
      </c>
      <c r="N814" s="2" t="s">
        <v>1486</v>
      </c>
      <c r="O814" s="2" t="s">
        <v>70</v>
      </c>
      <c r="P814" s="2" t="s">
        <v>333</v>
      </c>
      <c r="Q814" s="2" t="s">
        <v>3391</v>
      </c>
      <c r="R814" s="2">
        <v>75243</v>
      </c>
      <c r="S814" s="2">
        <v>4</v>
      </c>
      <c r="T814" s="2" t="s">
        <v>417</v>
      </c>
      <c r="U814" s="2">
        <v>32.9131012</v>
      </c>
      <c r="V814" s="2">
        <v>-96.739593499999998</v>
      </c>
      <c r="W814" s="2" t="s">
        <v>528</v>
      </c>
      <c r="X814" s="2" t="s">
        <v>3392</v>
      </c>
      <c r="Y814" s="2" t="s">
        <v>530</v>
      </c>
      <c r="Z814" s="2">
        <v>4195</v>
      </c>
      <c r="AA814" s="3">
        <v>42987.044444444444</v>
      </c>
      <c r="AB814" s="2">
        <v>67275</v>
      </c>
      <c r="AC814" s="2">
        <v>365</v>
      </c>
      <c r="AD814" s="2">
        <v>28.8</v>
      </c>
      <c r="AE814" s="2">
        <v>0.12</v>
      </c>
      <c r="AF814" s="2" t="str" cm="1">
        <f t="array" ref="AF814">_xlfn.IFS(AE814=0, "No Discount ", AE814&lt;=0.08,"Low Discount", AE814&lt;=0.16,"Medium Discount", AE814&gt;0.16, "High Discount")</f>
        <v>Medium Discount</v>
      </c>
      <c r="AG814" s="2">
        <v>168137</v>
      </c>
      <c r="AH814" s="2">
        <v>59.99</v>
      </c>
      <c r="AI814" s="2">
        <v>0.19</v>
      </c>
      <c r="AJ814" s="2" t="str" cm="1">
        <f t="array" ref="AJ814">_xlfn.IFS(AI814&lt;=0, "No Profit", AI814&lt;=0.16,"Low Profit",AI814&lt;=0.32,"Medium Profit",AI814&gt;0.32,"High Profit")</f>
        <v>Medium Profit</v>
      </c>
      <c r="AK814" s="2">
        <v>4</v>
      </c>
      <c r="AL814" s="2">
        <v>239.96</v>
      </c>
      <c r="AM814" s="2">
        <v>211.16</v>
      </c>
      <c r="AN814" s="2">
        <v>39.700000000000003</v>
      </c>
      <c r="AO814" s="2" t="s">
        <v>531</v>
      </c>
      <c r="AP814" s="2" t="s">
        <v>2441</v>
      </c>
      <c r="AQ814" s="2" t="s">
        <v>97</v>
      </c>
      <c r="AR814" s="2" t="s">
        <v>81</v>
      </c>
      <c r="AS814" s="2">
        <v>365</v>
      </c>
      <c r="AT814" s="2">
        <v>17</v>
      </c>
      <c r="AU814" s="2" t="s">
        <v>421</v>
      </c>
      <c r="AV814" s="2">
        <v>59.99</v>
      </c>
      <c r="AW814" s="2">
        <v>0</v>
      </c>
      <c r="AX814" s="2" t="s">
        <v>3393</v>
      </c>
      <c r="AY814" s="2" t="s">
        <v>83</v>
      </c>
      <c r="AZ814" s="4">
        <v>42987</v>
      </c>
      <c r="BA814" s="5">
        <v>4.4444444444444446E-2</v>
      </c>
      <c r="BB814" s="2">
        <v>2017</v>
      </c>
      <c r="BC814" s="2" t="s">
        <v>552</v>
      </c>
      <c r="BD814" s="2">
        <v>9</v>
      </c>
      <c r="BE814" s="4">
        <v>42993</v>
      </c>
      <c r="BF814" s="5">
        <v>4.4444444444444446E-2</v>
      </c>
      <c r="BG814" s="2" t="str" cm="1">
        <f t="array" ref="BG814">_xlfn.IFS(BF814&lt;TIMEVALUE("06:00"),"Night", BF814&gt;=TIMEVALUE("21:00"),"Night",BF814&gt;=TIMEVALUE("17:00"),"Evening",BF814&gt;=TIMEVALUE("12:00"),"Afternoon", BF814&gt;=TIMEVALUE("06:00"),"Morning")</f>
        <v>Night</v>
      </c>
      <c r="BH814" s="2">
        <v>2017</v>
      </c>
      <c r="BI814" s="2" t="s">
        <v>552</v>
      </c>
      <c r="BJ814" s="2">
        <v>15</v>
      </c>
    </row>
    <row r="815" spans="1:62" x14ac:dyDescent="0.3">
      <c r="A815" s="2" t="s">
        <v>86</v>
      </c>
      <c r="B815" s="2">
        <v>4</v>
      </c>
      <c r="C815" s="2">
        <v>4</v>
      </c>
      <c r="D815" s="2">
        <v>59.15</v>
      </c>
      <c r="E815" s="2">
        <v>203.97</v>
      </c>
      <c r="F815" s="2" t="s">
        <v>100</v>
      </c>
      <c r="G815" s="2" t="s">
        <v>64</v>
      </c>
      <c r="H815" s="2">
        <v>17</v>
      </c>
      <c r="I815" s="2" t="s">
        <v>412</v>
      </c>
      <c r="J815" s="2" t="s">
        <v>3394</v>
      </c>
      <c r="K815" s="2" t="s">
        <v>102</v>
      </c>
      <c r="L815" s="2" t="s">
        <v>414</v>
      </c>
      <c r="M815" s="2">
        <v>7464</v>
      </c>
      <c r="N815" s="2" t="s">
        <v>1168</v>
      </c>
      <c r="O815" s="2" t="s">
        <v>70</v>
      </c>
      <c r="P815" s="2" t="s">
        <v>105</v>
      </c>
      <c r="Q815" s="2" t="s">
        <v>3395</v>
      </c>
      <c r="R815" s="2">
        <v>90201</v>
      </c>
      <c r="S815" s="2">
        <v>4</v>
      </c>
      <c r="T815" s="2" t="s">
        <v>417</v>
      </c>
      <c r="U815" s="2">
        <v>33.974830599999997</v>
      </c>
      <c r="V815" s="2">
        <v>-118.1829376</v>
      </c>
      <c r="W815" s="2" t="s">
        <v>528</v>
      </c>
      <c r="X815" s="2" t="s">
        <v>3216</v>
      </c>
      <c r="Y815" s="2" t="s">
        <v>2613</v>
      </c>
      <c r="Z815" s="2">
        <v>7464</v>
      </c>
      <c r="AA815" s="2" t="s">
        <v>3396</v>
      </c>
      <c r="AB815" s="2">
        <v>46863</v>
      </c>
      <c r="AC815" s="2">
        <v>365</v>
      </c>
      <c r="AD815" s="2">
        <v>35.99</v>
      </c>
      <c r="AE815" s="2">
        <v>0.15</v>
      </c>
      <c r="AF815" s="2" t="str" cm="1">
        <f t="array" ref="AF815">_xlfn.IFS(AE815=0, "No Discount ", AE815&lt;=0.08,"Low Discount", AE815&lt;=0.16,"Medium Discount", AE815&gt;0.16, "High Discount")</f>
        <v>Medium Discount</v>
      </c>
      <c r="AG815" s="2">
        <v>117152</v>
      </c>
      <c r="AH815" s="2">
        <v>59.99</v>
      </c>
      <c r="AI815" s="2">
        <v>0.28999999999999998</v>
      </c>
      <c r="AJ815" s="2" t="str" cm="1">
        <f t="array" ref="AJ815">_xlfn.IFS(AI815&lt;=0, "No Profit", AI815&lt;=0.16,"Low Profit",AI815&lt;=0.32,"Medium Profit",AI815&gt;0.32,"High Profit")</f>
        <v>Medium Profit</v>
      </c>
      <c r="AK815" s="2">
        <v>4</v>
      </c>
      <c r="AL815" s="2">
        <v>239.96</v>
      </c>
      <c r="AM815" s="2">
        <v>203.97</v>
      </c>
      <c r="AN815" s="2">
        <v>59.15</v>
      </c>
      <c r="AO815" s="2" t="s">
        <v>1717</v>
      </c>
      <c r="AP815" s="2" t="s">
        <v>3218</v>
      </c>
      <c r="AQ815" s="2" t="s">
        <v>97</v>
      </c>
      <c r="AR815" s="2" t="s">
        <v>81</v>
      </c>
      <c r="AS815" s="2">
        <v>365</v>
      </c>
      <c r="AT815" s="2">
        <v>17</v>
      </c>
      <c r="AU815" s="2" t="s">
        <v>421</v>
      </c>
      <c r="AV815" s="2">
        <v>59.99</v>
      </c>
      <c r="AW815" s="2">
        <v>0</v>
      </c>
      <c r="AX815" s="2" t="s">
        <v>3397</v>
      </c>
      <c r="AY815" s="2" t="s">
        <v>83</v>
      </c>
      <c r="AZ815" s="4">
        <v>42689</v>
      </c>
      <c r="BA815" s="5">
        <v>7.6388888888888895E-2</v>
      </c>
      <c r="BB815" s="2">
        <v>2016</v>
      </c>
      <c r="BC815" s="2" t="s">
        <v>455</v>
      </c>
      <c r="BD815" s="2">
        <v>15</v>
      </c>
      <c r="BE815" s="4">
        <v>42693</v>
      </c>
      <c r="BF815" s="5">
        <v>7.6388888888888895E-2</v>
      </c>
      <c r="BG815" s="2" t="str" cm="1">
        <f t="array" ref="BG815">_xlfn.IFS(BF815&lt;TIMEVALUE("06:00"),"Night", BF815&gt;=TIMEVALUE("21:00"),"Night",BF815&gt;=TIMEVALUE("17:00"),"Evening",BF815&gt;=TIMEVALUE("12:00"),"Afternoon", BF815&gt;=TIMEVALUE("06:00"),"Morning")</f>
        <v>Night</v>
      </c>
      <c r="BH815" s="2">
        <v>2016</v>
      </c>
      <c r="BI815" s="2" t="s">
        <v>455</v>
      </c>
      <c r="BJ815" s="2">
        <v>19</v>
      </c>
    </row>
    <row r="816" spans="1:62" x14ac:dyDescent="0.3">
      <c r="A816" s="2" t="s">
        <v>86</v>
      </c>
      <c r="B816" s="2">
        <v>2</v>
      </c>
      <c r="C816" s="2">
        <v>4</v>
      </c>
      <c r="D816" s="2">
        <v>67.31</v>
      </c>
      <c r="E816" s="2">
        <v>203.97</v>
      </c>
      <c r="F816" s="2" t="s">
        <v>63</v>
      </c>
      <c r="G816" s="2" t="s">
        <v>64</v>
      </c>
      <c r="H816" s="2">
        <v>17</v>
      </c>
      <c r="I816" s="2" t="s">
        <v>412</v>
      </c>
      <c r="J816" s="2" t="s">
        <v>1413</v>
      </c>
      <c r="K816" s="2" t="s">
        <v>102</v>
      </c>
      <c r="L816" s="2" t="s">
        <v>414</v>
      </c>
      <c r="M816" s="2">
        <v>11592</v>
      </c>
      <c r="N816" s="2" t="s">
        <v>425</v>
      </c>
      <c r="O816" s="2" t="s">
        <v>70</v>
      </c>
      <c r="P816" s="2" t="s">
        <v>1365</v>
      </c>
      <c r="Q816" s="2" t="s">
        <v>3398</v>
      </c>
      <c r="R816" s="2">
        <v>97223</v>
      </c>
      <c r="S816" s="2">
        <v>4</v>
      </c>
      <c r="T816" s="2" t="s">
        <v>417</v>
      </c>
      <c r="U816" s="2">
        <v>45.448150599999998</v>
      </c>
      <c r="V816" s="2">
        <v>-122.76949310000001</v>
      </c>
      <c r="W816" s="2" t="s">
        <v>528</v>
      </c>
      <c r="X816" s="2" t="s">
        <v>3399</v>
      </c>
      <c r="Y816" s="2" t="s">
        <v>557</v>
      </c>
      <c r="Z816" s="2">
        <v>11592</v>
      </c>
      <c r="AA816" s="2" t="s">
        <v>3400</v>
      </c>
      <c r="AB816" s="2">
        <v>62306</v>
      </c>
      <c r="AC816" s="2">
        <v>365</v>
      </c>
      <c r="AD816" s="2">
        <v>35.99</v>
      </c>
      <c r="AE816" s="2">
        <v>0.15</v>
      </c>
      <c r="AF816" s="2" t="str" cm="1">
        <f t="array" ref="AF816">_xlfn.IFS(AE816=0, "No Discount ", AE816&lt;=0.08,"Low Discount", AE816&lt;=0.16,"Medium Discount", AE816&gt;0.16, "High Discount")</f>
        <v>Medium Discount</v>
      </c>
      <c r="AG816" s="2">
        <v>155767</v>
      </c>
      <c r="AH816" s="2">
        <v>59.99</v>
      </c>
      <c r="AI816" s="2">
        <v>0.33</v>
      </c>
      <c r="AJ816" s="2" t="str" cm="1">
        <f t="array" ref="AJ816">_xlfn.IFS(AI816&lt;=0, "No Profit", AI816&lt;=0.16,"Low Profit",AI816&lt;=0.32,"Medium Profit",AI816&gt;0.32,"High Profit")</f>
        <v>High Profit</v>
      </c>
      <c r="AK816" s="2">
        <v>4</v>
      </c>
      <c r="AL816" s="2">
        <v>239.96</v>
      </c>
      <c r="AM816" s="2">
        <v>203.97</v>
      </c>
      <c r="AN816" s="2">
        <v>67.31</v>
      </c>
      <c r="AO816" s="2" t="s">
        <v>558</v>
      </c>
      <c r="AP816" s="2" t="s">
        <v>559</v>
      </c>
      <c r="AQ816" s="2" t="s">
        <v>97</v>
      </c>
      <c r="AR816" s="2" t="s">
        <v>81</v>
      </c>
      <c r="AS816" s="2">
        <v>365</v>
      </c>
      <c r="AT816" s="2">
        <v>17</v>
      </c>
      <c r="AU816" s="2" t="s">
        <v>421</v>
      </c>
      <c r="AV816" s="2">
        <v>59.99</v>
      </c>
      <c r="AW816" s="2">
        <v>0</v>
      </c>
      <c r="AX816" s="2" t="s">
        <v>3401</v>
      </c>
      <c r="AY816" s="2" t="s">
        <v>83</v>
      </c>
      <c r="AZ816" s="4">
        <v>42914</v>
      </c>
      <c r="BA816" s="5">
        <v>0.50902777777777775</v>
      </c>
      <c r="BB816" s="2">
        <v>2017</v>
      </c>
      <c r="BC816" s="2" t="s">
        <v>474</v>
      </c>
      <c r="BD816" s="2">
        <v>28</v>
      </c>
      <c r="BE816" s="4">
        <v>42916</v>
      </c>
      <c r="BF816" s="5">
        <v>0.50902777777777775</v>
      </c>
      <c r="BG816" s="2" t="str" cm="1">
        <f t="array" ref="BG816">_xlfn.IFS(BF816&lt;TIMEVALUE("06:00"),"Night", BF816&gt;=TIMEVALUE("21:00"),"Night",BF816&gt;=TIMEVALUE("17:00"),"Evening",BF816&gt;=TIMEVALUE("12:00"),"Afternoon", BF816&gt;=TIMEVALUE("06:00"),"Morning")</f>
        <v>Afternoon</v>
      </c>
      <c r="BH816" s="2">
        <v>2017</v>
      </c>
      <c r="BI816" s="2" t="s">
        <v>474</v>
      </c>
      <c r="BJ816" s="2">
        <v>30</v>
      </c>
    </row>
    <row r="817" spans="1:62" x14ac:dyDescent="0.3">
      <c r="A817" s="2" t="s">
        <v>86</v>
      </c>
      <c r="B817" s="2">
        <v>2</v>
      </c>
      <c r="C817" s="2">
        <v>4</v>
      </c>
      <c r="D817" s="2">
        <v>20.16</v>
      </c>
      <c r="E817" s="2">
        <v>201.57</v>
      </c>
      <c r="F817" s="2" t="s">
        <v>63</v>
      </c>
      <c r="G817" s="2" t="s">
        <v>64</v>
      </c>
      <c r="H817" s="2">
        <v>17</v>
      </c>
      <c r="I817" s="2" t="s">
        <v>412</v>
      </c>
      <c r="J817" s="2" t="s">
        <v>101</v>
      </c>
      <c r="K817" s="2" t="s">
        <v>102</v>
      </c>
      <c r="L817" s="2" t="s">
        <v>414</v>
      </c>
      <c r="M817" s="2">
        <v>11715</v>
      </c>
      <c r="N817" s="2" t="s">
        <v>425</v>
      </c>
      <c r="O817" s="2" t="s">
        <v>70</v>
      </c>
      <c r="P817" s="2" t="s">
        <v>105</v>
      </c>
      <c r="Q817" s="2" t="s">
        <v>3265</v>
      </c>
      <c r="R817" s="2">
        <v>95116</v>
      </c>
      <c r="S817" s="2">
        <v>4</v>
      </c>
      <c r="T817" s="2" t="s">
        <v>417</v>
      </c>
      <c r="U817" s="2">
        <v>37.360240900000001</v>
      </c>
      <c r="V817" s="2">
        <v>-121.8450699</v>
      </c>
      <c r="W817" s="2" t="s">
        <v>528</v>
      </c>
      <c r="X817" s="2" t="s">
        <v>3266</v>
      </c>
      <c r="Y817" s="2" t="s">
        <v>536</v>
      </c>
      <c r="Z817" s="2">
        <v>11715</v>
      </c>
      <c r="AA817" s="3">
        <v>42041.54583333333</v>
      </c>
      <c r="AB817" s="2">
        <v>10451</v>
      </c>
      <c r="AC817" s="2">
        <v>365</v>
      </c>
      <c r="AD817" s="2">
        <v>38.39</v>
      </c>
      <c r="AE817" s="2">
        <v>0.16</v>
      </c>
      <c r="AF817" s="2" t="str" cm="1">
        <f t="array" ref="AF817">_xlfn.IFS(AE817=0, "No Discount ", AE817&lt;=0.08,"Low Discount", AE817&lt;=0.16,"Medium Discount", AE817&gt;0.16, "High Discount")</f>
        <v>Medium Discount</v>
      </c>
      <c r="AG817" s="2">
        <v>26176</v>
      </c>
      <c r="AH817" s="2">
        <v>59.99</v>
      </c>
      <c r="AI817" s="2">
        <v>0.1</v>
      </c>
      <c r="AJ817" s="2" t="str" cm="1">
        <f t="array" ref="AJ817">_xlfn.IFS(AI817&lt;=0, "No Profit", AI817&lt;=0.16,"Low Profit",AI817&lt;=0.32,"Medium Profit",AI817&gt;0.32,"High Profit")</f>
        <v>Low Profit</v>
      </c>
      <c r="AK817" s="2">
        <v>4</v>
      </c>
      <c r="AL817" s="2">
        <v>239.96</v>
      </c>
      <c r="AM817" s="2">
        <v>201.57</v>
      </c>
      <c r="AN817" s="2">
        <v>20.16</v>
      </c>
      <c r="AO817" s="2" t="s">
        <v>531</v>
      </c>
      <c r="AP817" s="2" t="s">
        <v>3267</v>
      </c>
      <c r="AQ817" s="2" t="s">
        <v>97</v>
      </c>
      <c r="AR817" s="2" t="s">
        <v>81</v>
      </c>
      <c r="AS817" s="2">
        <v>365</v>
      </c>
      <c r="AT817" s="2">
        <v>17</v>
      </c>
      <c r="AU817" s="2" t="s">
        <v>421</v>
      </c>
      <c r="AV817" s="2">
        <v>59.99</v>
      </c>
      <c r="AW817" s="2">
        <v>0</v>
      </c>
      <c r="AX817" s="3">
        <v>42100.54583333333</v>
      </c>
      <c r="AY817" s="2" t="s">
        <v>83</v>
      </c>
      <c r="AZ817" s="4">
        <v>42041</v>
      </c>
      <c r="BA817" s="5">
        <v>0.54583333333333328</v>
      </c>
      <c r="BB817" s="2">
        <v>2015</v>
      </c>
      <c r="BC817" s="2" t="s">
        <v>423</v>
      </c>
      <c r="BD817" s="2">
        <v>6</v>
      </c>
      <c r="BE817" s="4">
        <v>42100</v>
      </c>
      <c r="BF817" s="5">
        <v>0.54583333333333328</v>
      </c>
      <c r="BG817" s="2" t="str" cm="1">
        <f t="array" ref="BG817">_xlfn.IFS(BF817&lt;TIMEVALUE("06:00"),"Night", BF817&gt;=TIMEVALUE("21:00"),"Night",BF817&gt;=TIMEVALUE("17:00"),"Evening",BF817&gt;=TIMEVALUE("12:00"),"Afternoon", BF817&gt;=TIMEVALUE("06:00"),"Morning")</f>
        <v>Afternoon</v>
      </c>
      <c r="BH817" s="2">
        <v>2015</v>
      </c>
      <c r="BI817" s="2" t="s">
        <v>487</v>
      </c>
      <c r="BJ817" s="2">
        <v>6</v>
      </c>
    </row>
    <row r="818" spans="1:62" x14ac:dyDescent="0.3">
      <c r="A818" s="2" t="s">
        <v>86</v>
      </c>
      <c r="B818" s="2">
        <v>4</v>
      </c>
      <c r="C818" s="2">
        <v>4</v>
      </c>
      <c r="D818" s="2">
        <v>68.87</v>
      </c>
      <c r="E818" s="2">
        <v>196.77</v>
      </c>
      <c r="F818" s="2" t="s">
        <v>100</v>
      </c>
      <c r="G818" s="2" t="s">
        <v>64</v>
      </c>
      <c r="H818" s="2">
        <v>17</v>
      </c>
      <c r="I818" s="2" t="s">
        <v>412</v>
      </c>
      <c r="J818" s="2" t="s">
        <v>1331</v>
      </c>
      <c r="K818" s="2" t="s">
        <v>102</v>
      </c>
      <c r="L818" s="2" t="s">
        <v>1313</v>
      </c>
      <c r="M818" s="2">
        <v>10831</v>
      </c>
      <c r="N818" s="2" t="s">
        <v>425</v>
      </c>
      <c r="O818" s="2" t="s">
        <v>70</v>
      </c>
      <c r="P818" s="2" t="s">
        <v>105</v>
      </c>
      <c r="Q818" s="2" t="s">
        <v>3402</v>
      </c>
      <c r="R818" s="2">
        <v>92109</v>
      </c>
      <c r="S818" s="2">
        <v>4</v>
      </c>
      <c r="T818" s="2" t="s">
        <v>417</v>
      </c>
      <c r="U818" s="2">
        <v>32.795219400000001</v>
      </c>
      <c r="V818" s="2">
        <v>-117.2376556</v>
      </c>
      <c r="W818" s="2" t="s">
        <v>528</v>
      </c>
      <c r="X818" s="2" t="s">
        <v>3403</v>
      </c>
      <c r="Y818" s="2" t="s">
        <v>536</v>
      </c>
      <c r="Z818" s="2">
        <v>10831</v>
      </c>
      <c r="AA818" s="2" t="s">
        <v>3404</v>
      </c>
      <c r="AB818" s="2">
        <v>18213</v>
      </c>
      <c r="AC818" s="2">
        <v>365</v>
      </c>
      <c r="AD818" s="2">
        <v>43.19</v>
      </c>
      <c r="AE818" s="2">
        <v>0.18</v>
      </c>
      <c r="AF818" s="2" t="str" cm="1">
        <f t="array" ref="AF818">_xlfn.IFS(AE818=0, "No Discount ", AE818&lt;=0.08,"Low Discount", AE818&lt;=0.16,"Medium Discount", AE818&gt;0.16, "High Discount")</f>
        <v>High Discount</v>
      </c>
      <c r="AG818" s="2">
        <v>45533</v>
      </c>
      <c r="AH818" s="2">
        <v>59.99</v>
      </c>
      <c r="AI818" s="2">
        <v>0.35</v>
      </c>
      <c r="AJ818" s="2" t="str" cm="1">
        <f t="array" ref="AJ818">_xlfn.IFS(AI818&lt;=0, "No Profit", AI818&lt;=0.16,"Low Profit",AI818&lt;=0.32,"Medium Profit",AI818&gt;0.32,"High Profit")</f>
        <v>High Profit</v>
      </c>
      <c r="AK818" s="2">
        <v>4</v>
      </c>
      <c r="AL818" s="2">
        <v>239.96</v>
      </c>
      <c r="AM818" s="2">
        <v>196.77</v>
      </c>
      <c r="AN818" s="2">
        <v>68.87</v>
      </c>
      <c r="AO818" s="2" t="s">
        <v>531</v>
      </c>
      <c r="AP818" s="2" t="s">
        <v>538</v>
      </c>
      <c r="AQ818" s="2" t="s">
        <v>97</v>
      </c>
      <c r="AR818" s="2" t="s">
        <v>81</v>
      </c>
      <c r="AS818" s="2">
        <v>365</v>
      </c>
      <c r="AT818" s="2">
        <v>17</v>
      </c>
      <c r="AU818" s="2" t="s">
        <v>421</v>
      </c>
      <c r="AV818" s="2">
        <v>59.99</v>
      </c>
      <c r="AW818" s="2">
        <v>0</v>
      </c>
      <c r="AX818" s="2" t="s">
        <v>3405</v>
      </c>
      <c r="AY818" s="2" t="s">
        <v>83</v>
      </c>
      <c r="AZ818" s="4">
        <v>42270</v>
      </c>
      <c r="BA818" s="5">
        <v>0.85277777777777775</v>
      </c>
      <c r="BB818" s="2">
        <v>2015</v>
      </c>
      <c r="BC818" s="2" t="s">
        <v>552</v>
      </c>
      <c r="BD818" s="2">
        <v>23</v>
      </c>
      <c r="BE818" s="4">
        <v>42274</v>
      </c>
      <c r="BF818" s="5">
        <v>0.85277777777777775</v>
      </c>
      <c r="BG818" s="2" t="str" cm="1">
        <f t="array" ref="BG818">_xlfn.IFS(BF818&lt;TIMEVALUE("06:00"),"Night", BF818&gt;=TIMEVALUE("21:00"),"Night",BF818&gt;=TIMEVALUE("17:00"),"Evening",BF818&gt;=TIMEVALUE("12:00"),"Afternoon", BF818&gt;=TIMEVALUE("06:00"),"Morning")</f>
        <v>Evening</v>
      </c>
      <c r="BH818" s="2">
        <v>2015</v>
      </c>
      <c r="BI818" s="2" t="s">
        <v>552</v>
      </c>
      <c r="BJ818" s="2">
        <v>27</v>
      </c>
    </row>
    <row r="819" spans="1:62" x14ac:dyDescent="0.3">
      <c r="A819" s="2" t="s">
        <v>86</v>
      </c>
      <c r="B819" s="2">
        <v>4</v>
      </c>
      <c r="C819" s="2">
        <v>4</v>
      </c>
      <c r="D819" s="2">
        <v>70.84</v>
      </c>
      <c r="E819" s="2">
        <v>196.77</v>
      </c>
      <c r="F819" s="2" t="s">
        <v>100</v>
      </c>
      <c r="G819" s="2" t="s">
        <v>64</v>
      </c>
      <c r="H819" s="2">
        <v>17</v>
      </c>
      <c r="I819" s="2" t="s">
        <v>412</v>
      </c>
      <c r="J819" s="2" t="s">
        <v>3406</v>
      </c>
      <c r="K819" s="2" t="s">
        <v>102</v>
      </c>
      <c r="L819" s="2" t="s">
        <v>680</v>
      </c>
      <c r="M819" s="2">
        <v>7586</v>
      </c>
      <c r="N819" s="2" t="s">
        <v>612</v>
      </c>
      <c r="O819" s="2" t="s">
        <v>70</v>
      </c>
      <c r="P819" s="2" t="s">
        <v>105</v>
      </c>
      <c r="Q819" s="2" t="s">
        <v>3407</v>
      </c>
      <c r="R819" s="2">
        <v>90638</v>
      </c>
      <c r="S819" s="2">
        <v>4</v>
      </c>
      <c r="T819" s="2" t="s">
        <v>417</v>
      </c>
      <c r="U819" s="2">
        <v>33.903160100000001</v>
      </c>
      <c r="V819" s="2">
        <v>-117.98987579999999</v>
      </c>
      <c r="W819" s="2" t="s">
        <v>528</v>
      </c>
      <c r="X819" s="2" t="s">
        <v>3408</v>
      </c>
      <c r="Y819" s="2" t="s">
        <v>536</v>
      </c>
      <c r="Z819" s="2">
        <v>7586</v>
      </c>
      <c r="AA819" s="3">
        <v>42103.145833333336</v>
      </c>
      <c r="AB819" s="2">
        <v>16863</v>
      </c>
      <c r="AC819" s="2">
        <v>365</v>
      </c>
      <c r="AD819" s="2">
        <v>43.19</v>
      </c>
      <c r="AE819" s="2">
        <v>0.18</v>
      </c>
      <c r="AF819" s="2" t="str" cm="1">
        <f t="array" ref="AF819">_xlfn.IFS(AE819=0, "No Discount ", AE819&lt;=0.08,"Low Discount", AE819&lt;=0.16,"Medium Discount", AE819&gt;0.16, "High Discount")</f>
        <v>High Discount</v>
      </c>
      <c r="AG819" s="2">
        <v>42135</v>
      </c>
      <c r="AH819" s="2">
        <v>59.99</v>
      </c>
      <c r="AI819" s="2">
        <v>0.36</v>
      </c>
      <c r="AJ819" s="2" t="str" cm="1">
        <f t="array" ref="AJ819">_xlfn.IFS(AI819&lt;=0, "No Profit", AI819&lt;=0.16,"Low Profit",AI819&lt;=0.32,"Medium Profit",AI819&gt;0.32,"High Profit")</f>
        <v>High Profit</v>
      </c>
      <c r="AK819" s="2">
        <v>4</v>
      </c>
      <c r="AL819" s="2">
        <v>239.96</v>
      </c>
      <c r="AM819" s="2">
        <v>196.77</v>
      </c>
      <c r="AN819" s="2">
        <v>70.84</v>
      </c>
      <c r="AO819" s="2" t="s">
        <v>531</v>
      </c>
      <c r="AP819" s="2" t="s">
        <v>579</v>
      </c>
      <c r="AQ819" s="2" t="s">
        <v>97</v>
      </c>
      <c r="AR819" s="2" t="s">
        <v>81</v>
      </c>
      <c r="AS819" s="2">
        <v>365</v>
      </c>
      <c r="AT819" s="2">
        <v>17</v>
      </c>
      <c r="AU819" s="2" t="s">
        <v>421</v>
      </c>
      <c r="AV819" s="2">
        <v>59.99</v>
      </c>
      <c r="AW819" s="2">
        <v>0</v>
      </c>
      <c r="AX819" s="3">
        <v>42225.145833333336</v>
      </c>
      <c r="AY819" s="2" t="s">
        <v>83</v>
      </c>
      <c r="AZ819" s="4">
        <v>42103</v>
      </c>
      <c r="BA819" s="5">
        <v>0.14583333333333334</v>
      </c>
      <c r="BB819" s="2">
        <v>2015</v>
      </c>
      <c r="BC819" s="2" t="s">
        <v>487</v>
      </c>
      <c r="BD819" s="2">
        <v>9</v>
      </c>
      <c r="BE819" s="4">
        <v>42225</v>
      </c>
      <c r="BF819" s="5">
        <v>0.14583333333333334</v>
      </c>
      <c r="BG819" s="2" t="str" cm="1">
        <f t="array" ref="BG819">_xlfn.IFS(BF819&lt;TIMEVALUE("06:00"),"Night", BF819&gt;=TIMEVALUE("21:00"),"Night",BF819&gt;=TIMEVALUE("17:00"),"Evening",BF819&gt;=TIMEVALUE("12:00"),"Afternoon", BF819&gt;=TIMEVALUE("06:00"),"Morning")</f>
        <v>Night</v>
      </c>
      <c r="BH819" s="2">
        <v>2015</v>
      </c>
      <c r="BI819" s="2" t="s">
        <v>482</v>
      </c>
      <c r="BJ819" s="2">
        <v>9</v>
      </c>
    </row>
    <row r="820" spans="1:62" x14ac:dyDescent="0.3">
      <c r="A820" s="2" t="s">
        <v>62</v>
      </c>
      <c r="B820" s="2">
        <v>5</v>
      </c>
      <c r="C820" s="2">
        <v>4</v>
      </c>
      <c r="D820" s="2">
        <v>42.94</v>
      </c>
      <c r="E820" s="2">
        <v>118.29</v>
      </c>
      <c r="F820" s="2" t="s">
        <v>87</v>
      </c>
      <c r="G820" s="2" t="s">
        <v>88</v>
      </c>
      <c r="H820" s="2">
        <v>18</v>
      </c>
      <c r="I820" s="2" t="s">
        <v>863</v>
      </c>
      <c r="J820" s="2" t="s">
        <v>110</v>
      </c>
      <c r="K820" s="2" t="s">
        <v>102</v>
      </c>
      <c r="L820" s="2" t="s">
        <v>2664</v>
      </c>
      <c r="M820" s="2">
        <v>8551</v>
      </c>
      <c r="N820" s="2" t="s">
        <v>3409</v>
      </c>
      <c r="O820" s="2" t="s">
        <v>124</v>
      </c>
      <c r="P820" s="2" t="s">
        <v>105</v>
      </c>
      <c r="Q820" s="2" t="s">
        <v>3410</v>
      </c>
      <c r="R820" s="2">
        <v>90065</v>
      </c>
      <c r="S820" s="2">
        <v>4</v>
      </c>
      <c r="T820" s="2" t="s">
        <v>417</v>
      </c>
      <c r="U820" s="2">
        <v>34.114910100000003</v>
      </c>
      <c r="V820" s="2">
        <v>-118.2400131</v>
      </c>
      <c r="W820" s="2" t="s">
        <v>74</v>
      </c>
      <c r="X820" s="2" t="s">
        <v>3411</v>
      </c>
      <c r="Y820" s="2" t="s">
        <v>173</v>
      </c>
      <c r="Z820" s="2">
        <v>8551</v>
      </c>
      <c r="AA820" s="2" t="s">
        <v>3412</v>
      </c>
      <c r="AB820" s="2">
        <v>24764</v>
      </c>
      <c r="AC820" s="2">
        <v>403</v>
      </c>
      <c r="AD820" s="2">
        <v>11.7</v>
      </c>
      <c r="AE820" s="2">
        <v>0.09</v>
      </c>
      <c r="AF820" s="2" t="str" cm="1">
        <f t="array" ref="AF820">_xlfn.IFS(AE820=0, "No Discount ", AE820&lt;=0.08,"Low Discount", AE820&lt;=0.16,"Medium Discount", AE820&gt;0.16, "High Discount")</f>
        <v>Medium Discount</v>
      </c>
      <c r="AG820" s="2">
        <v>62037</v>
      </c>
      <c r="AH820" s="2">
        <v>129.99</v>
      </c>
      <c r="AI820" s="2">
        <v>0.36</v>
      </c>
      <c r="AJ820" s="2" t="str" cm="1">
        <f t="array" ref="AJ820">_xlfn.IFS(AI820&lt;=0, "No Profit", AI820&lt;=0.16,"Low Profit",AI820&lt;=0.32,"Medium Profit",AI820&gt;0.32,"High Profit")</f>
        <v>High Profit</v>
      </c>
      <c r="AK820" s="2">
        <v>1</v>
      </c>
      <c r="AL820" s="2">
        <v>129.99</v>
      </c>
      <c r="AM820" s="2">
        <v>118.29</v>
      </c>
      <c r="AN820" s="2">
        <v>42.94</v>
      </c>
      <c r="AO820" s="2" t="s">
        <v>145</v>
      </c>
      <c r="AP820" s="2" t="s">
        <v>3413</v>
      </c>
      <c r="AQ820" s="2" t="s">
        <v>80</v>
      </c>
      <c r="AR820" s="2" t="s">
        <v>81</v>
      </c>
      <c r="AS820" s="2">
        <v>403</v>
      </c>
      <c r="AT820" s="2">
        <v>18</v>
      </c>
      <c r="AU820" s="2" t="s">
        <v>869</v>
      </c>
      <c r="AV820" s="2">
        <v>129.99</v>
      </c>
      <c r="AW820" s="2">
        <v>0</v>
      </c>
      <c r="AX820" s="3">
        <v>42401.481944444444</v>
      </c>
      <c r="AY820" s="2" t="s">
        <v>83</v>
      </c>
      <c r="AZ820" s="4">
        <v>42366</v>
      </c>
      <c r="BA820" s="5">
        <v>0.48194444444444445</v>
      </c>
      <c r="BB820" s="2">
        <v>2015</v>
      </c>
      <c r="BC820" s="2" t="s">
        <v>357</v>
      </c>
      <c r="BD820" s="2">
        <v>28</v>
      </c>
      <c r="BE820" s="4">
        <v>42401</v>
      </c>
      <c r="BF820" s="5">
        <v>0.48194444444444445</v>
      </c>
      <c r="BG820" s="2" t="str" cm="1">
        <f t="array" ref="BG820">_xlfn.IFS(BF820&lt;TIMEVALUE("06:00"),"Night", BF820&gt;=TIMEVALUE("21:00"),"Night",BF820&gt;=TIMEVALUE("17:00"),"Evening",BF820&gt;=TIMEVALUE("12:00"),"Afternoon", BF820&gt;=TIMEVALUE("06:00"),"Morning")</f>
        <v>Morning</v>
      </c>
      <c r="BH820" s="2">
        <v>2016</v>
      </c>
      <c r="BI820" s="2" t="s">
        <v>423</v>
      </c>
      <c r="BJ820" s="2">
        <v>1</v>
      </c>
    </row>
    <row r="821" spans="1:62" x14ac:dyDescent="0.3">
      <c r="A821" s="2" t="s">
        <v>62</v>
      </c>
      <c r="B821" s="2">
        <v>3</v>
      </c>
      <c r="C821" s="2">
        <v>4</v>
      </c>
      <c r="D821" s="2">
        <v>-94.63</v>
      </c>
      <c r="E821" s="2">
        <v>118.29</v>
      </c>
      <c r="F821" s="2" t="s">
        <v>63</v>
      </c>
      <c r="G821" s="2" t="s">
        <v>64</v>
      </c>
      <c r="H821" s="2">
        <v>18</v>
      </c>
      <c r="I821" s="2" t="s">
        <v>863</v>
      </c>
      <c r="J821" s="2" t="s">
        <v>1460</v>
      </c>
      <c r="K821" s="2" t="s">
        <v>102</v>
      </c>
      <c r="L821" s="2" t="s">
        <v>1461</v>
      </c>
      <c r="M821" s="2">
        <v>5270</v>
      </c>
      <c r="N821" s="2" t="s">
        <v>1462</v>
      </c>
      <c r="O821" s="2" t="s">
        <v>124</v>
      </c>
      <c r="P821" s="2" t="s">
        <v>234</v>
      </c>
      <c r="Q821" s="2" t="s">
        <v>1463</v>
      </c>
      <c r="R821" s="2">
        <v>60620</v>
      </c>
      <c r="S821" s="2">
        <v>4</v>
      </c>
      <c r="T821" s="2" t="s">
        <v>417</v>
      </c>
      <c r="U821" s="2">
        <v>41.748664900000001</v>
      </c>
      <c r="V821" s="2">
        <v>-87.663200399999994</v>
      </c>
      <c r="W821" s="2" t="s">
        <v>74</v>
      </c>
      <c r="X821" s="2" t="s">
        <v>1464</v>
      </c>
      <c r="Y821" s="2" t="s">
        <v>143</v>
      </c>
      <c r="Z821" s="2">
        <v>5270</v>
      </c>
      <c r="AA821" s="3">
        <v>42319.15625</v>
      </c>
      <c r="AB821" s="2">
        <v>21522</v>
      </c>
      <c r="AC821" s="2">
        <v>403</v>
      </c>
      <c r="AD821" s="2">
        <v>11.7</v>
      </c>
      <c r="AE821" s="2">
        <v>0.09</v>
      </c>
      <c r="AF821" s="2" t="str" cm="1">
        <f t="array" ref="AF821">_xlfn.IFS(AE821=0, "No Discount ", AE821&lt;=0.08,"Low Discount", AE821&lt;=0.16,"Medium Discount", AE821&gt;0.16, "High Discount")</f>
        <v>Medium Discount</v>
      </c>
      <c r="AG821" s="2">
        <v>53805</v>
      </c>
      <c r="AH821" s="2">
        <v>129.99</v>
      </c>
      <c r="AI821" s="2">
        <v>-0.8</v>
      </c>
      <c r="AJ821" s="2" t="str" cm="1">
        <f t="array" ref="AJ821">_xlfn.IFS(AI821&lt;=0, "No Profit", AI821&lt;=0.16,"Low Profit",AI821&lt;=0.32,"Medium Profit",AI821&gt;0.32,"High Profit")</f>
        <v>No Profit</v>
      </c>
      <c r="AK821" s="2">
        <v>1</v>
      </c>
      <c r="AL821" s="2">
        <v>129.99</v>
      </c>
      <c r="AM821" s="2">
        <v>118.29</v>
      </c>
      <c r="AN821" s="2">
        <v>-94.63</v>
      </c>
      <c r="AO821" s="2" t="s">
        <v>145</v>
      </c>
      <c r="AP821" s="2" t="s">
        <v>1465</v>
      </c>
      <c r="AQ821" s="2" t="s">
        <v>80</v>
      </c>
      <c r="AR821" s="2" t="s">
        <v>81</v>
      </c>
      <c r="AS821" s="2">
        <v>403</v>
      </c>
      <c r="AT821" s="2">
        <v>18</v>
      </c>
      <c r="AU821" s="2" t="s">
        <v>869</v>
      </c>
      <c r="AV821" s="2">
        <v>129.99</v>
      </c>
      <c r="AW821" s="2">
        <v>0</v>
      </c>
      <c r="AX821" s="2" t="s">
        <v>1466</v>
      </c>
      <c r="AY821" s="2" t="s">
        <v>83</v>
      </c>
      <c r="AZ821" s="4">
        <v>42319</v>
      </c>
      <c r="BA821" s="5">
        <v>0.15625</v>
      </c>
      <c r="BB821" s="2">
        <v>2015</v>
      </c>
      <c r="BC821" s="2" t="s">
        <v>455</v>
      </c>
      <c r="BD821" s="2">
        <v>11</v>
      </c>
      <c r="BE821" s="4">
        <v>42322</v>
      </c>
      <c r="BF821" s="5">
        <v>0.15625</v>
      </c>
      <c r="BG821" s="2" t="str" cm="1">
        <f t="array" ref="BG821">_xlfn.IFS(BF821&lt;TIMEVALUE("06:00"),"Night", BF821&gt;=TIMEVALUE("21:00"),"Night",BF821&gt;=TIMEVALUE("17:00"),"Evening",BF821&gt;=TIMEVALUE("12:00"),"Afternoon", BF821&gt;=TIMEVALUE("06:00"),"Morning")</f>
        <v>Night</v>
      </c>
      <c r="BH821" s="2">
        <v>2015</v>
      </c>
      <c r="BI821" s="2" t="s">
        <v>455</v>
      </c>
      <c r="BJ821" s="2">
        <v>14</v>
      </c>
    </row>
    <row r="822" spans="1:62" x14ac:dyDescent="0.3">
      <c r="A822" s="2" t="s">
        <v>62</v>
      </c>
      <c r="B822" s="2">
        <v>6</v>
      </c>
      <c r="C822" s="2">
        <v>4</v>
      </c>
      <c r="D822" s="2">
        <v>8.8699999999999992</v>
      </c>
      <c r="E822" s="2">
        <v>118.29</v>
      </c>
      <c r="F822" s="2" t="s">
        <v>87</v>
      </c>
      <c r="G822" s="2" t="s">
        <v>88</v>
      </c>
      <c r="H822" s="2">
        <v>18</v>
      </c>
      <c r="I822" s="2" t="s">
        <v>863</v>
      </c>
      <c r="J822" s="2" t="s">
        <v>322</v>
      </c>
      <c r="K822" s="2" t="s">
        <v>102</v>
      </c>
      <c r="L822" s="2" t="s">
        <v>414</v>
      </c>
      <c r="M822" s="2">
        <v>7163</v>
      </c>
      <c r="N822" s="2" t="s">
        <v>991</v>
      </c>
      <c r="O822" s="2" t="s">
        <v>124</v>
      </c>
      <c r="P822" s="2" t="s">
        <v>294</v>
      </c>
      <c r="Q822" s="2" t="s">
        <v>3414</v>
      </c>
      <c r="R822" s="2">
        <v>48205</v>
      </c>
      <c r="S822" s="2">
        <v>4</v>
      </c>
      <c r="T822" s="2" t="s">
        <v>417</v>
      </c>
      <c r="U822" s="2">
        <v>42.428772000000002</v>
      </c>
      <c r="V822" s="2">
        <v>-82.982528700000003</v>
      </c>
      <c r="W822" s="2" t="s">
        <v>74</v>
      </c>
      <c r="X822" s="2" t="s">
        <v>326</v>
      </c>
      <c r="Y822" s="2" t="s">
        <v>143</v>
      </c>
      <c r="Z822" s="2">
        <v>7163</v>
      </c>
      <c r="AA822" s="2" t="s">
        <v>3415</v>
      </c>
      <c r="AB822" s="2">
        <v>26670</v>
      </c>
      <c r="AC822" s="2">
        <v>403</v>
      </c>
      <c r="AD822" s="2">
        <v>11.7</v>
      </c>
      <c r="AE822" s="2">
        <v>0.09</v>
      </c>
      <c r="AF822" s="2" t="str" cm="1">
        <f t="array" ref="AF822">_xlfn.IFS(AE822=0, "No Discount ", AE822&lt;=0.08,"Low Discount", AE822&lt;=0.16,"Medium Discount", AE822&gt;0.16, "High Discount")</f>
        <v>Medium Discount</v>
      </c>
      <c r="AG822" s="2">
        <v>66784</v>
      </c>
      <c r="AH822" s="2">
        <v>129.99</v>
      </c>
      <c r="AI822" s="2">
        <v>0.08</v>
      </c>
      <c r="AJ822" s="2" t="str" cm="1">
        <f t="array" ref="AJ822">_xlfn.IFS(AI822&lt;=0, "No Profit", AI822&lt;=0.16,"Low Profit",AI822&lt;=0.32,"Medium Profit",AI822&gt;0.32,"High Profit")</f>
        <v>Low Profit</v>
      </c>
      <c r="AK822" s="2">
        <v>1</v>
      </c>
      <c r="AL822" s="2">
        <v>129.99</v>
      </c>
      <c r="AM822" s="2">
        <v>118.29</v>
      </c>
      <c r="AN822" s="2">
        <v>8.8699999999999992</v>
      </c>
      <c r="AO822" s="2" t="s">
        <v>145</v>
      </c>
      <c r="AP822" s="2" t="s">
        <v>3416</v>
      </c>
      <c r="AQ822" s="2" t="s">
        <v>80</v>
      </c>
      <c r="AR822" s="2" t="s">
        <v>81</v>
      </c>
      <c r="AS822" s="2">
        <v>403</v>
      </c>
      <c r="AT822" s="2">
        <v>18</v>
      </c>
      <c r="AU822" s="2" t="s">
        <v>869</v>
      </c>
      <c r="AV822" s="2">
        <v>129.99</v>
      </c>
      <c r="AW822" s="2">
        <v>0</v>
      </c>
      <c r="AX822" s="2" t="s">
        <v>3417</v>
      </c>
      <c r="AY822" s="2" t="s">
        <v>83</v>
      </c>
      <c r="AZ822" s="4">
        <v>42394</v>
      </c>
      <c r="BA822" s="5">
        <v>0.30555555555555558</v>
      </c>
      <c r="BB822" s="2">
        <v>2016</v>
      </c>
      <c r="BC822" s="2" t="s">
        <v>84</v>
      </c>
      <c r="BD822" s="2">
        <v>25</v>
      </c>
      <c r="BE822" s="4">
        <v>42400</v>
      </c>
      <c r="BF822" s="5">
        <v>0.30555555555555558</v>
      </c>
      <c r="BG822" s="2" t="str" cm="1">
        <f t="array" ref="BG822">_xlfn.IFS(BF822&lt;TIMEVALUE("06:00"),"Night", BF822&gt;=TIMEVALUE("21:00"),"Night",BF822&gt;=TIMEVALUE("17:00"),"Evening",BF822&gt;=TIMEVALUE("12:00"),"Afternoon", BF822&gt;=TIMEVALUE("06:00"),"Morning")</f>
        <v>Morning</v>
      </c>
      <c r="BH822" s="2">
        <v>2016</v>
      </c>
      <c r="BI822" s="2" t="s">
        <v>84</v>
      </c>
      <c r="BJ822" s="2">
        <v>31</v>
      </c>
    </row>
    <row r="823" spans="1:62" x14ac:dyDescent="0.3">
      <c r="A823" s="2" t="s">
        <v>62</v>
      </c>
      <c r="B823" s="2">
        <v>2</v>
      </c>
      <c r="C823" s="2">
        <v>4</v>
      </c>
      <c r="D823" s="2">
        <v>54.41</v>
      </c>
      <c r="E823" s="2">
        <v>118.29</v>
      </c>
      <c r="F823" s="2" t="s">
        <v>63</v>
      </c>
      <c r="G823" s="2" t="s">
        <v>64</v>
      </c>
      <c r="H823" s="2">
        <v>18</v>
      </c>
      <c r="I823" s="2" t="s">
        <v>863</v>
      </c>
      <c r="J823" s="2" t="s">
        <v>262</v>
      </c>
      <c r="K823" s="2" t="s">
        <v>102</v>
      </c>
      <c r="L823" s="2" t="s">
        <v>414</v>
      </c>
      <c r="M823" s="2">
        <v>9163</v>
      </c>
      <c r="N823" s="2" t="s">
        <v>1622</v>
      </c>
      <c r="O823" s="2" t="s">
        <v>124</v>
      </c>
      <c r="P823" s="2" t="s">
        <v>265</v>
      </c>
      <c r="Q823" s="2" t="s">
        <v>3418</v>
      </c>
      <c r="R823" s="2">
        <v>59102</v>
      </c>
      <c r="S823" s="2">
        <v>4</v>
      </c>
      <c r="T823" s="2" t="s">
        <v>417</v>
      </c>
      <c r="U823" s="2">
        <v>45.788311</v>
      </c>
      <c r="V823" s="2">
        <v>-108.55941009999999</v>
      </c>
      <c r="W823" s="2" t="s">
        <v>74</v>
      </c>
      <c r="X823" s="2" t="s">
        <v>3419</v>
      </c>
      <c r="Y823" s="2" t="s">
        <v>215</v>
      </c>
      <c r="Z823" s="2">
        <v>9163</v>
      </c>
      <c r="AA823" s="2" t="s">
        <v>3420</v>
      </c>
      <c r="AB823" s="2">
        <v>21971</v>
      </c>
      <c r="AC823" s="2">
        <v>403</v>
      </c>
      <c r="AD823" s="2">
        <v>11.7</v>
      </c>
      <c r="AE823" s="2">
        <v>0.09</v>
      </c>
      <c r="AF823" s="2" t="str" cm="1">
        <f t="array" ref="AF823">_xlfn.IFS(AE823=0, "No Discount ", AE823&lt;=0.08,"Low Discount", AE823&lt;=0.16,"Medium Discount", AE823&gt;0.16, "High Discount")</f>
        <v>Medium Discount</v>
      </c>
      <c r="AG823" s="2">
        <v>54950</v>
      </c>
      <c r="AH823" s="2">
        <v>129.99</v>
      </c>
      <c r="AI823" s="2">
        <v>0.46</v>
      </c>
      <c r="AJ823" s="2" t="str" cm="1">
        <f t="array" ref="AJ823">_xlfn.IFS(AI823&lt;=0, "No Profit", AI823&lt;=0.16,"Low Profit",AI823&lt;=0.32,"Medium Profit",AI823&gt;0.32,"High Profit")</f>
        <v>High Profit</v>
      </c>
      <c r="AK823" s="2">
        <v>1</v>
      </c>
      <c r="AL823" s="2">
        <v>129.99</v>
      </c>
      <c r="AM823" s="2">
        <v>118.29</v>
      </c>
      <c r="AN823" s="2">
        <v>54.41</v>
      </c>
      <c r="AO823" s="2" t="s">
        <v>145</v>
      </c>
      <c r="AP823" s="2" t="s">
        <v>3421</v>
      </c>
      <c r="AQ823" s="2" t="s">
        <v>80</v>
      </c>
      <c r="AR823" s="2" t="s">
        <v>81</v>
      </c>
      <c r="AS823" s="2">
        <v>403</v>
      </c>
      <c r="AT823" s="2">
        <v>18</v>
      </c>
      <c r="AU823" s="2" t="s">
        <v>869</v>
      </c>
      <c r="AV823" s="2">
        <v>129.99</v>
      </c>
      <c r="AW823" s="2">
        <v>0</v>
      </c>
      <c r="AX823" s="2" t="s">
        <v>3422</v>
      </c>
      <c r="AY823" s="2" t="s">
        <v>83</v>
      </c>
      <c r="AZ823" s="4">
        <v>42325</v>
      </c>
      <c r="BA823" s="5">
        <v>0.71111111111111114</v>
      </c>
      <c r="BB823" s="2">
        <v>2015</v>
      </c>
      <c r="BC823" s="2" t="s">
        <v>455</v>
      </c>
      <c r="BD823" s="2">
        <v>17</v>
      </c>
      <c r="BE823" s="4">
        <v>42327</v>
      </c>
      <c r="BF823" s="5">
        <v>0.71111111111111114</v>
      </c>
      <c r="BG823" s="2" t="str" cm="1">
        <f t="array" ref="BG823">_xlfn.IFS(BF823&lt;TIMEVALUE("06:00"),"Night", BF823&gt;=TIMEVALUE("21:00"),"Night",BF823&gt;=TIMEVALUE("17:00"),"Evening",BF823&gt;=TIMEVALUE("12:00"),"Afternoon", BF823&gt;=TIMEVALUE("06:00"),"Morning")</f>
        <v>Evening</v>
      </c>
      <c r="BH823" s="2">
        <v>2015</v>
      </c>
      <c r="BI823" s="2" t="s">
        <v>455</v>
      </c>
      <c r="BJ823" s="2">
        <v>19</v>
      </c>
    </row>
    <row r="824" spans="1:62" x14ac:dyDescent="0.3">
      <c r="A824" s="2" t="s">
        <v>62</v>
      </c>
      <c r="B824" s="2">
        <v>5</v>
      </c>
      <c r="C824" s="2">
        <v>4</v>
      </c>
      <c r="D824" s="2">
        <v>0</v>
      </c>
      <c r="E824" s="2">
        <v>196.4</v>
      </c>
      <c r="F824" s="2" t="s">
        <v>87</v>
      </c>
      <c r="G824" s="2" t="s">
        <v>88</v>
      </c>
      <c r="H824" s="2">
        <v>76</v>
      </c>
      <c r="I824" s="2" t="s">
        <v>1351</v>
      </c>
      <c r="J824" s="2" t="s">
        <v>3423</v>
      </c>
      <c r="K824" s="2" t="s">
        <v>102</v>
      </c>
      <c r="L824" s="2" t="s">
        <v>2012</v>
      </c>
      <c r="M824" s="2">
        <v>20402</v>
      </c>
      <c r="N824" s="2" t="s">
        <v>3424</v>
      </c>
      <c r="O824" s="2" t="s">
        <v>124</v>
      </c>
      <c r="P824" s="2" t="s">
        <v>1163</v>
      </c>
      <c r="Q824" s="2" t="s">
        <v>3425</v>
      </c>
      <c r="R824" s="2">
        <v>7047</v>
      </c>
      <c r="S824" s="2">
        <v>4</v>
      </c>
      <c r="T824" s="2" t="s">
        <v>417</v>
      </c>
      <c r="U824" s="2">
        <v>40.776996599999997</v>
      </c>
      <c r="V824" s="2">
        <v>-74.034019499999999</v>
      </c>
      <c r="W824" s="2" t="s">
        <v>74</v>
      </c>
      <c r="X824" s="2" t="s">
        <v>3426</v>
      </c>
      <c r="Y824" s="2" t="s">
        <v>143</v>
      </c>
      <c r="Z824" s="2">
        <v>20402</v>
      </c>
      <c r="AA824" s="2" t="s">
        <v>3427</v>
      </c>
      <c r="AB824" s="2">
        <v>76849</v>
      </c>
      <c r="AC824" s="2">
        <v>1363</v>
      </c>
      <c r="AD824" s="2">
        <v>19.420000000000002</v>
      </c>
      <c r="AE824" s="2">
        <v>0.09</v>
      </c>
      <c r="AF824" s="2" t="str" cm="1">
        <f t="array" ref="AF824">_xlfn.IFS(AE824=0, "No Discount ", AE824&lt;=0.08,"Low Discount", AE824&lt;=0.16,"Medium Discount", AE824&gt;0.16, "High Discount")</f>
        <v>Medium Discount</v>
      </c>
      <c r="AG824" s="2">
        <v>180164</v>
      </c>
      <c r="AH824" s="2">
        <v>215.82</v>
      </c>
      <c r="AI824" s="2">
        <v>0</v>
      </c>
      <c r="AJ824" s="2" t="str" cm="1">
        <f t="array" ref="AJ824">_xlfn.IFS(AI824&lt;=0, "No Profit", AI824&lt;=0.16,"Low Profit",AI824&lt;=0.32,"Medium Profit",AI824&gt;0.32,"High Profit")</f>
        <v>No Profit</v>
      </c>
      <c r="AK824" s="2">
        <v>1</v>
      </c>
      <c r="AL824" s="2">
        <v>215.82</v>
      </c>
      <c r="AM824" s="2">
        <v>196.4</v>
      </c>
      <c r="AN824" s="2">
        <v>0</v>
      </c>
      <c r="AO824" s="2" t="s">
        <v>145</v>
      </c>
      <c r="AP824" s="2" t="s">
        <v>3428</v>
      </c>
      <c r="AQ824" s="2" t="s">
        <v>80</v>
      </c>
      <c r="AR824" s="2" t="s">
        <v>81</v>
      </c>
      <c r="AS824" s="2">
        <v>1363</v>
      </c>
      <c r="AT824" s="2">
        <v>76</v>
      </c>
      <c r="AU824" s="2" t="s">
        <v>1356</v>
      </c>
      <c r="AV824" s="2">
        <v>215.82</v>
      </c>
      <c r="AW824" s="2">
        <v>0</v>
      </c>
      <c r="AX824" s="2" t="s">
        <v>3429</v>
      </c>
      <c r="AY824" s="2" t="s">
        <v>83</v>
      </c>
      <c r="AZ824" s="4">
        <v>43126</v>
      </c>
      <c r="BA824" s="5">
        <v>0.80277777777777781</v>
      </c>
      <c r="BB824" s="2">
        <v>2018</v>
      </c>
      <c r="BC824" s="2" t="s">
        <v>84</v>
      </c>
      <c r="BD824" s="2">
        <v>26</v>
      </c>
      <c r="BE824" s="4">
        <v>43131</v>
      </c>
      <c r="BF824" s="5">
        <v>0.80277777777777781</v>
      </c>
      <c r="BG824" s="2" t="str" cm="1">
        <f t="array" ref="BG824">_xlfn.IFS(BF824&lt;TIMEVALUE("06:00"),"Night", BF824&gt;=TIMEVALUE("21:00"),"Night",BF824&gt;=TIMEVALUE("17:00"),"Evening",BF824&gt;=TIMEVALUE("12:00"),"Afternoon", BF824&gt;=TIMEVALUE("06:00"),"Morning")</f>
        <v>Evening</v>
      </c>
      <c r="BH824" s="2">
        <v>2018</v>
      </c>
      <c r="BI824" s="2" t="s">
        <v>84</v>
      </c>
      <c r="BJ824" s="2">
        <v>31</v>
      </c>
    </row>
    <row r="825" spans="1:62" x14ac:dyDescent="0.3">
      <c r="A825" s="2" t="s">
        <v>62</v>
      </c>
      <c r="B825" s="2">
        <v>3</v>
      </c>
      <c r="C825" s="2">
        <v>4</v>
      </c>
      <c r="D825" s="2">
        <v>-38.92</v>
      </c>
      <c r="E825" s="2">
        <v>118.29</v>
      </c>
      <c r="F825" s="2" t="s">
        <v>63</v>
      </c>
      <c r="G825" s="2" t="s">
        <v>64</v>
      </c>
      <c r="H825" s="2">
        <v>18</v>
      </c>
      <c r="I825" s="2" t="s">
        <v>863</v>
      </c>
      <c r="J825" s="2" t="s">
        <v>2186</v>
      </c>
      <c r="K825" s="2" t="s">
        <v>102</v>
      </c>
      <c r="L825" s="2" t="s">
        <v>3430</v>
      </c>
      <c r="M825" s="2">
        <v>4807</v>
      </c>
      <c r="N825" s="2" t="s">
        <v>1868</v>
      </c>
      <c r="O825" s="2" t="s">
        <v>124</v>
      </c>
      <c r="P825" s="2" t="s">
        <v>105</v>
      </c>
      <c r="Q825" s="2" t="s">
        <v>3431</v>
      </c>
      <c r="R825" s="2">
        <v>92691</v>
      </c>
      <c r="S825" s="2">
        <v>4</v>
      </c>
      <c r="T825" s="2" t="s">
        <v>417</v>
      </c>
      <c r="U825" s="2">
        <v>33.621048000000002</v>
      </c>
      <c r="V825" s="2">
        <v>-117.6759186</v>
      </c>
      <c r="W825" s="2" t="s">
        <v>74</v>
      </c>
      <c r="X825" s="2" t="s">
        <v>1316</v>
      </c>
      <c r="Y825" s="2" t="s">
        <v>116</v>
      </c>
      <c r="Z825" s="2">
        <v>4807</v>
      </c>
      <c r="AA825" s="3">
        <v>42462.334027777775</v>
      </c>
      <c r="AB825" s="2">
        <v>27357</v>
      </c>
      <c r="AC825" s="2">
        <v>403</v>
      </c>
      <c r="AD825" s="2">
        <v>11.7</v>
      </c>
      <c r="AE825" s="2">
        <v>0.09</v>
      </c>
      <c r="AF825" s="2" t="str" cm="1">
        <f t="array" ref="AF825">_xlfn.IFS(AE825=0, "No Discount ", AE825&lt;=0.08,"Low Discount", AE825&lt;=0.16,"Medium Discount", AE825&gt;0.16, "High Discount")</f>
        <v>Medium Discount</v>
      </c>
      <c r="AG825" s="2">
        <v>68507</v>
      </c>
      <c r="AH825" s="2">
        <v>129.99</v>
      </c>
      <c r="AI825" s="2">
        <v>-0.33</v>
      </c>
      <c r="AJ825" s="2" t="str" cm="1">
        <f t="array" ref="AJ825">_xlfn.IFS(AI825&lt;=0, "No Profit", AI825&lt;=0.16,"Low Profit",AI825&lt;=0.32,"Medium Profit",AI825&gt;0.32,"High Profit")</f>
        <v>No Profit</v>
      </c>
      <c r="AK825" s="2">
        <v>1</v>
      </c>
      <c r="AL825" s="2">
        <v>129.99</v>
      </c>
      <c r="AM825" s="2">
        <v>118.29</v>
      </c>
      <c r="AN825" s="2">
        <v>-38.92</v>
      </c>
      <c r="AO825" s="2" t="s">
        <v>118</v>
      </c>
      <c r="AP825" s="2" t="s">
        <v>355</v>
      </c>
      <c r="AQ825" s="2" t="s">
        <v>80</v>
      </c>
      <c r="AR825" s="2" t="s">
        <v>81</v>
      </c>
      <c r="AS825" s="2">
        <v>403</v>
      </c>
      <c r="AT825" s="2">
        <v>18</v>
      </c>
      <c r="AU825" s="2" t="s">
        <v>869</v>
      </c>
      <c r="AV825" s="2">
        <v>129.99</v>
      </c>
      <c r="AW825" s="2">
        <v>0</v>
      </c>
      <c r="AX825" s="3">
        <v>42553.334027777775</v>
      </c>
      <c r="AY825" s="2" t="s">
        <v>83</v>
      </c>
      <c r="AZ825" s="4">
        <v>42462</v>
      </c>
      <c r="BA825" s="5">
        <v>0.33402777777777776</v>
      </c>
      <c r="BB825" s="2">
        <v>2016</v>
      </c>
      <c r="BC825" s="2" t="s">
        <v>487</v>
      </c>
      <c r="BD825" s="2">
        <v>2</v>
      </c>
      <c r="BE825" s="4">
        <v>42553</v>
      </c>
      <c r="BF825" s="5">
        <v>0.33402777777777776</v>
      </c>
      <c r="BG825" s="2" t="str" cm="1">
        <f t="array" ref="BG825">_xlfn.IFS(BF825&lt;TIMEVALUE("06:00"),"Night", BF825&gt;=TIMEVALUE("21:00"),"Night",BF825&gt;=TIMEVALUE("17:00"),"Evening",BF825&gt;=TIMEVALUE("12:00"),"Afternoon", BF825&gt;=TIMEVALUE("06:00"),"Morning")</f>
        <v>Morning</v>
      </c>
      <c r="BH825" s="2">
        <v>2016</v>
      </c>
      <c r="BI825" s="2" t="s">
        <v>533</v>
      </c>
      <c r="BJ825" s="2">
        <v>2</v>
      </c>
    </row>
    <row r="826" spans="1:62" x14ac:dyDescent="0.3">
      <c r="A826" s="2" t="s">
        <v>62</v>
      </c>
      <c r="B826" s="2">
        <v>4</v>
      </c>
      <c r="C826" s="2">
        <v>4</v>
      </c>
      <c r="D826" s="2">
        <v>40.22</v>
      </c>
      <c r="E826" s="2">
        <v>118.29</v>
      </c>
      <c r="F826" s="2" t="s">
        <v>100</v>
      </c>
      <c r="G826" s="2" t="s">
        <v>64</v>
      </c>
      <c r="H826" s="2">
        <v>18</v>
      </c>
      <c r="I826" s="2" t="s">
        <v>863</v>
      </c>
      <c r="J826" s="2" t="s">
        <v>377</v>
      </c>
      <c r="K826" s="2" t="s">
        <v>102</v>
      </c>
      <c r="L826" s="2" t="s">
        <v>414</v>
      </c>
      <c r="M826" s="2">
        <v>88</v>
      </c>
      <c r="N826" s="2" t="s">
        <v>3163</v>
      </c>
      <c r="O826" s="2" t="s">
        <v>124</v>
      </c>
      <c r="P826" s="2" t="s">
        <v>380</v>
      </c>
      <c r="Q826" s="2" t="s">
        <v>3432</v>
      </c>
      <c r="R826" s="2">
        <v>30318</v>
      </c>
      <c r="S826" s="2">
        <v>4</v>
      </c>
      <c r="T826" s="2" t="s">
        <v>417</v>
      </c>
      <c r="U826" s="2">
        <v>33.810226399999998</v>
      </c>
      <c r="V826" s="2">
        <v>-84.418083199999998</v>
      </c>
      <c r="W826" s="2" t="s">
        <v>74</v>
      </c>
      <c r="X826" s="2" t="s">
        <v>3433</v>
      </c>
      <c r="Y826" s="2" t="s">
        <v>116</v>
      </c>
      <c r="Z826" s="2">
        <v>88</v>
      </c>
      <c r="AA826" s="3">
        <v>42432.449305555558</v>
      </c>
      <c r="AB826" s="2">
        <v>29283</v>
      </c>
      <c r="AC826" s="2">
        <v>403</v>
      </c>
      <c r="AD826" s="2">
        <v>11.7</v>
      </c>
      <c r="AE826" s="2">
        <v>0.09</v>
      </c>
      <c r="AF826" s="2" t="str" cm="1">
        <f t="array" ref="AF826">_xlfn.IFS(AE826=0, "No Discount ", AE826&lt;=0.08,"Low Discount", AE826&lt;=0.16,"Medium Discount", AE826&gt;0.16, "High Discount")</f>
        <v>Medium Discount</v>
      </c>
      <c r="AG826" s="2">
        <v>73253</v>
      </c>
      <c r="AH826" s="2">
        <v>129.99</v>
      </c>
      <c r="AI826" s="2">
        <v>0.34</v>
      </c>
      <c r="AJ826" s="2" t="str" cm="1">
        <f t="array" ref="AJ826">_xlfn.IFS(AI826&lt;=0, "No Profit", AI826&lt;=0.16,"Low Profit",AI826&lt;=0.32,"Medium Profit",AI826&gt;0.32,"High Profit")</f>
        <v>High Profit</v>
      </c>
      <c r="AK826" s="2">
        <v>1</v>
      </c>
      <c r="AL826" s="2">
        <v>129.99</v>
      </c>
      <c r="AM826" s="2">
        <v>118.29</v>
      </c>
      <c r="AN826" s="2">
        <v>40.22</v>
      </c>
      <c r="AO826" s="2" t="s">
        <v>118</v>
      </c>
      <c r="AP826" s="2" t="s">
        <v>355</v>
      </c>
      <c r="AQ826" s="2" t="s">
        <v>80</v>
      </c>
      <c r="AR826" s="2" t="s">
        <v>81</v>
      </c>
      <c r="AS826" s="2">
        <v>403</v>
      </c>
      <c r="AT826" s="2">
        <v>18</v>
      </c>
      <c r="AU826" s="2" t="s">
        <v>869</v>
      </c>
      <c r="AV826" s="2">
        <v>129.99</v>
      </c>
      <c r="AW826" s="2">
        <v>0</v>
      </c>
      <c r="AX826" s="3">
        <v>42554.449305555558</v>
      </c>
      <c r="AY826" s="2" t="s">
        <v>83</v>
      </c>
      <c r="AZ826" s="4">
        <v>42432</v>
      </c>
      <c r="BA826" s="5">
        <v>0.44930555555555557</v>
      </c>
      <c r="BB826" s="2">
        <v>2016</v>
      </c>
      <c r="BC826" s="2" t="s">
        <v>85</v>
      </c>
      <c r="BD826" s="2">
        <v>3</v>
      </c>
      <c r="BE826" s="4">
        <v>42554</v>
      </c>
      <c r="BF826" s="5">
        <v>0.44930555555555557</v>
      </c>
      <c r="BG826" s="2" t="str" cm="1">
        <f t="array" ref="BG826">_xlfn.IFS(BF826&lt;TIMEVALUE("06:00"),"Night", BF826&gt;=TIMEVALUE("21:00"),"Night",BF826&gt;=TIMEVALUE("17:00"),"Evening",BF826&gt;=TIMEVALUE("12:00"),"Afternoon", BF826&gt;=TIMEVALUE("06:00"),"Morning")</f>
        <v>Morning</v>
      </c>
      <c r="BH826" s="2">
        <v>2016</v>
      </c>
      <c r="BI826" s="2" t="s">
        <v>533</v>
      </c>
      <c r="BJ826" s="2">
        <v>3</v>
      </c>
    </row>
    <row r="827" spans="1:62" x14ac:dyDescent="0.3">
      <c r="A827" s="2" t="s">
        <v>62</v>
      </c>
      <c r="B827" s="2">
        <v>5</v>
      </c>
      <c r="C827" s="2">
        <v>4</v>
      </c>
      <c r="D827" s="2">
        <v>-26.62</v>
      </c>
      <c r="E827" s="2">
        <v>118.29</v>
      </c>
      <c r="F827" s="2" t="s">
        <v>87</v>
      </c>
      <c r="G827" s="2" t="s">
        <v>88</v>
      </c>
      <c r="H827" s="2">
        <v>18</v>
      </c>
      <c r="I827" s="2" t="s">
        <v>863</v>
      </c>
      <c r="J827" s="2" t="s">
        <v>1401</v>
      </c>
      <c r="K827" s="2" t="s">
        <v>102</v>
      </c>
      <c r="L827" s="2" t="s">
        <v>284</v>
      </c>
      <c r="M827" s="2">
        <v>7697</v>
      </c>
      <c r="N827" s="2" t="s">
        <v>3434</v>
      </c>
      <c r="O827" s="2" t="s">
        <v>124</v>
      </c>
      <c r="P827" s="2" t="s">
        <v>133</v>
      </c>
      <c r="Q827" s="2" t="s">
        <v>3435</v>
      </c>
      <c r="R827" s="2">
        <v>10002</v>
      </c>
      <c r="S827" s="2">
        <v>4</v>
      </c>
      <c r="T827" s="2" t="s">
        <v>417</v>
      </c>
      <c r="U827" s="2">
        <v>40.715461699999999</v>
      </c>
      <c r="V827" s="2">
        <v>-73.990066499999998</v>
      </c>
      <c r="W827" s="2" t="s">
        <v>74</v>
      </c>
      <c r="X827" s="2" t="s">
        <v>1334</v>
      </c>
      <c r="Y827" s="2" t="s">
        <v>116</v>
      </c>
      <c r="Z827" s="2">
        <v>7697</v>
      </c>
      <c r="AA827" s="2" t="s">
        <v>3436</v>
      </c>
      <c r="AB827" s="2">
        <v>30724</v>
      </c>
      <c r="AC827" s="2">
        <v>403</v>
      </c>
      <c r="AD827" s="2">
        <v>11.7</v>
      </c>
      <c r="AE827" s="2">
        <v>0.09</v>
      </c>
      <c r="AF827" s="2" t="str" cm="1">
        <f t="array" ref="AF827">_xlfn.IFS(AE827=0, "No Discount ", AE827&lt;=0.08,"Low Discount", AE827&lt;=0.16,"Medium Discount", AE827&gt;0.16, "High Discount")</f>
        <v>Medium Discount</v>
      </c>
      <c r="AG827" s="2">
        <v>76745</v>
      </c>
      <c r="AH827" s="2">
        <v>129.99</v>
      </c>
      <c r="AI827" s="2">
        <v>-0.23</v>
      </c>
      <c r="AJ827" s="2" t="str" cm="1">
        <f t="array" ref="AJ827">_xlfn.IFS(AI827&lt;=0, "No Profit", AI827&lt;=0.16,"Low Profit",AI827&lt;=0.32,"Medium Profit",AI827&gt;0.32,"High Profit")</f>
        <v>No Profit</v>
      </c>
      <c r="AK827" s="2">
        <v>1</v>
      </c>
      <c r="AL827" s="2">
        <v>129.99</v>
      </c>
      <c r="AM827" s="2">
        <v>118.29</v>
      </c>
      <c r="AN827" s="2">
        <v>-26.62</v>
      </c>
      <c r="AO827" s="2" t="s">
        <v>118</v>
      </c>
      <c r="AP827" s="2" t="s">
        <v>119</v>
      </c>
      <c r="AQ827" s="2" t="s">
        <v>80</v>
      </c>
      <c r="AR827" s="2" t="s">
        <v>81</v>
      </c>
      <c r="AS827" s="2">
        <v>403</v>
      </c>
      <c r="AT827" s="2">
        <v>18</v>
      </c>
      <c r="AU827" s="2" t="s">
        <v>869</v>
      </c>
      <c r="AV827" s="2">
        <v>129.99</v>
      </c>
      <c r="AW827" s="2">
        <v>0</v>
      </c>
      <c r="AX827" s="2" t="s">
        <v>3437</v>
      </c>
      <c r="AY827" s="2" t="s">
        <v>83</v>
      </c>
      <c r="AZ827" s="4">
        <v>42453</v>
      </c>
      <c r="BA827" s="5">
        <v>0.48472222222222222</v>
      </c>
      <c r="BB827" s="2">
        <v>2016</v>
      </c>
      <c r="BC827" s="2" t="s">
        <v>85</v>
      </c>
      <c r="BD827" s="2">
        <v>24</v>
      </c>
      <c r="BE827" s="4">
        <v>42458</v>
      </c>
      <c r="BF827" s="5">
        <v>0.48472222222222222</v>
      </c>
      <c r="BG827" s="2" t="str" cm="1">
        <f t="array" ref="BG827">_xlfn.IFS(BF827&lt;TIMEVALUE("06:00"),"Night", BF827&gt;=TIMEVALUE("21:00"),"Night",BF827&gt;=TIMEVALUE("17:00"),"Evening",BF827&gt;=TIMEVALUE("12:00"),"Afternoon", BF827&gt;=TIMEVALUE("06:00"),"Morning")</f>
        <v>Morning</v>
      </c>
      <c r="BH827" s="2">
        <v>2016</v>
      </c>
      <c r="BI827" s="2" t="s">
        <v>85</v>
      </c>
      <c r="BJ827" s="2">
        <v>29</v>
      </c>
    </row>
    <row r="828" spans="1:62" x14ac:dyDescent="0.3">
      <c r="A828" s="2" t="s">
        <v>62</v>
      </c>
      <c r="B828" s="2">
        <v>5</v>
      </c>
      <c r="C828" s="2">
        <v>4</v>
      </c>
      <c r="D828" s="2">
        <v>40.619999999999997</v>
      </c>
      <c r="E828" s="2">
        <v>324.95999999999998</v>
      </c>
      <c r="F828" s="2" t="s">
        <v>87</v>
      </c>
      <c r="G828" s="2" t="s">
        <v>88</v>
      </c>
      <c r="H828" s="2">
        <v>63</v>
      </c>
      <c r="I828" s="2" t="s">
        <v>2799</v>
      </c>
      <c r="J828" s="2" t="s">
        <v>3203</v>
      </c>
      <c r="K828" s="2" t="s">
        <v>102</v>
      </c>
      <c r="L828" s="2" t="s">
        <v>3438</v>
      </c>
      <c r="M828" s="2">
        <v>18007</v>
      </c>
      <c r="N828" s="2" t="s">
        <v>2317</v>
      </c>
      <c r="O828" s="2" t="s">
        <v>124</v>
      </c>
      <c r="P828" s="2" t="s">
        <v>1102</v>
      </c>
      <c r="Q828" s="2" t="s">
        <v>3439</v>
      </c>
      <c r="R828" s="2">
        <v>21218</v>
      </c>
      <c r="S828" s="2">
        <v>4</v>
      </c>
      <c r="T828" s="2" t="s">
        <v>417</v>
      </c>
      <c r="U828" s="2">
        <v>39.321170799999997</v>
      </c>
      <c r="V828" s="2">
        <v>-76.614753699999994</v>
      </c>
      <c r="W828" s="2" t="s">
        <v>74</v>
      </c>
      <c r="X828" s="2" t="s">
        <v>3440</v>
      </c>
      <c r="Y828" s="2" t="s">
        <v>93</v>
      </c>
      <c r="Z828" s="2">
        <v>18007</v>
      </c>
      <c r="AA828" s="2" t="s">
        <v>3441</v>
      </c>
      <c r="AB828" s="2">
        <v>74454</v>
      </c>
      <c r="AC828" s="2">
        <v>1350</v>
      </c>
      <c r="AD828" s="2">
        <v>32.14</v>
      </c>
      <c r="AE828" s="2">
        <v>0.09</v>
      </c>
      <c r="AF828" s="2" t="str" cm="1">
        <f t="array" ref="AF828">_xlfn.IFS(AE828=0, "No Discount ", AE828&lt;=0.08,"Low Discount", AE828&lt;=0.16,"Medium Discount", AE828&gt;0.16, "High Discount")</f>
        <v>Medium Discount</v>
      </c>
      <c r="AG828" s="2">
        <v>177769</v>
      </c>
      <c r="AH828" s="2">
        <v>357.1</v>
      </c>
      <c r="AI828" s="2">
        <v>0.13</v>
      </c>
      <c r="AJ828" s="2" t="str" cm="1">
        <f t="array" ref="AJ828">_xlfn.IFS(AI828&lt;=0, "No Profit", AI828&lt;=0.16,"Low Profit",AI828&lt;=0.32,"Medium Profit",AI828&gt;0.32,"High Profit")</f>
        <v>Low Profit</v>
      </c>
      <c r="AK828" s="2">
        <v>1</v>
      </c>
      <c r="AL828" s="2">
        <v>357.1</v>
      </c>
      <c r="AM828" s="2">
        <v>324.95999999999998</v>
      </c>
      <c r="AN828" s="2">
        <v>40.619999999999997</v>
      </c>
      <c r="AO828" s="2" t="s">
        <v>95</v>
      </c>
      <c r="AP828" s="2" t="s">
        <v>3442</v>
      </c>
      <c r="AQ828" s="2" t="s">
        <v>80</v>
      </c>
      <c r="AR828" s="2" t="s">
        <v>81</v>
      </c>
      <c r="AS828" s="2">
        <v>1350</v>
      </c>
      <c r="AT828" s="2">
        <v>63</v>
      </c>
      <c r="AU828" s="2" t="s">
        <v>2806</v>
      </c>
      <c r="AV828" s="2">
        <v>357.1</v>
      </c>
      <c r="AW828" s="2">
        <v>0</v>
      </c>
      <c r="AX828" s="2" t="s">
        <v>3443</v>
      </c>
      <c r="AY828" s="2" t="s">
        <v>83</v>
      </c>
      <c r="AZ828" s="4">
        <v>43091</v>
      </c>
      <c r="BA828" s="5">
        <v>0.84166666666666667</v>
      </c>
      <c r="BB828" s="2">
        <v>2017</v>
      </c>
      <c r="BC828" s="2" t="s">
        <v>357</v>
      </c>
      <c r="BD828" s="2">
        <v>22</v>
      </c>
      <c r="BE828" s="4">
        <v>43096</v>
      </c>
      <c r="BF828" s="5">
        <v>0.84166666666666667</v>
      </c>
      <c r="BG828" s="2" t="str" cm="1">
        <f t="array" ref="BG828">_xlfn.IFS(BF828&lt;TIMEVALUE("06:00"),"Night", BF828&gt;=TIMEVALUE("21:00"),"Night",BF828&gt;=TIMEVALUE("17:00"),"Evening",BF828&gt;=TIMEVALUE("12:00"),"Afternoon", BF828&gt;=TIMEVALUE("06:00"),"Morning")</f>
        <v>Evening</v>
      </c>
      <c r="BH828" s="2">
        <v>2017</v>
      </c>
      <c r="BI828" s="2" t="s">
        <v>357</v>
      </c>
      <c r="BJ828" s="2">
        <v>27</v>
      </c>
    </row>
    <row r="829" spans="1:62" x14ac:dyDescent="0.3">
      <c r="A829" s="2" t="s">
        <v>62</v>
      </c>
      <c r="B829" s="2">
        <v>4</v>
      </c>
      <c r="C829" s="2">
        <v>4</v>
      </c>
      <c r="D829" s="2">
        <v>7.45</v>
      </c>
      <c r="E829" s="2">
        <v>118.29</v>
      </c>
      <c r="F829" s="2" t="s">
        <v>100</v>
      </c>
      <c r="G829" s="2" t="s">
        <v>64</v>
      </c>
      <c r="H829" s="2">
        <v>18</v>
      </c>
      <c r="I829" s="2" t="s">
        <v>863</v>
      </c>
      <c r="J829" s="2" t="s">
        <v>1419</v>
      </c>
      <c r="K829" s="2" t="s">
        <v>102</v>
      </c>
      <c r="L829" s="2" t="s">
        <v>414</v>
      </c>
      <c r="M829" s="2">
        <v>8720</v>
      </c>
      <c r="N829" s="2" t="s">
        <v>3444</v>
      </c>
      <c r="O829" s="2" t="s">
        <v>124</v>
      </c>
      <c r="P829" s="2" t="s">
        <v>1117</v>
      </c>
      <c r="Q829" s="2" t="s">
        <v>3445</v>
      </c>
      <c r="R829" s="2">
        <v>44136</v>
      </c>
      <c r="S829" s="2">
        <v>4</v>
      </c>
      <c r="T829" s="2" t="s">
        <v>417</v>
      </c>
      <c r="U829" s="2">
        <v>41.346969600000001</v>
      </c>
      <c r="V829" s="2">
        <v>-81.826316800000001</v>
      </c>
      <c r="W829" s="2" t="s">
        <v>74</v>
      </c>
      <c r="X829" s="2" t="s">
        <v>399</v>
      </c>
      <c r="Y829" s="2" t="s">
        <v>93</v>
      </c>
      <c r="Z829" s="2">
        <v>8720</v>
      </c>
      <c r="AA829" s="2" t="s">
        <v>3446</v>
      </c>
      <c r="AB829" s="2">
        <v>24558</v>
      </c>
      <c r="AC829" s="2">
        <v>403</v>
      </c>
      <c r="AD829" s="2">
        <v>11.7</v>
      </c>
      <c r="AE829" s="2">
        <v>0.09</v>
      </c>
      <c r="AF829" s="2" t="str" cm="1">
        <f t="array" ref="AF829">_xlfn.IFS(AE829=0, "No Discount ", AE829&lt;=0.08,"Low Discount", AE829&lt;=0.16,"Medium Discount", AE829&gt;0.16, "High Discount")</f>
        <v>Medium Discount</v>
      </c>
      <c r="AG829" s="2">
        <v>61483</v>
      </c>
      <c r="AH829" s="2">
        <v>129.99</v>
      </c>
      <c r="AI829" s="2">
        <v>0.06</v>
      </c>
      <c r="AJ829" s="2" t="str" cm="1">
        <f t="array" ref="AJ829">_xlfn.IFS(AI829&lt;=0, "No Profit", AI829&lt;=0.16,"Low Profit",AI829&lt;=0.32,"Medium Profit",AI829&gt;0.32,"High Profit")</f>
        <v>Low Profit</v>
      </c>
      <c r="AK829" s="2">
        <v>1</v>
      </c>
      <c r="AL829" s="2">
        <v>129.99</v>
      </c>
      <c r="AM829" s="2">
        <v>118.29</v>
      </c>
      <c r="AN829" s="2">
        <v>7.45</v>
      </c>
      <c r="AO829" s="2" t="s">
        <v>95</v>
      </c>
      <c r="AP829" s="2" t="s">
        <v>349</v>
      </c>
      <c r="AQ829" s="2" t="s">
        <v>80</v>
      </c>
      <c r="AR829" s="2" t="s">
        <v>81</v>
      </c>
      <c r="AS829" s="2">
        <v>403</v>
      </c>
      <c r="AT829" s="2">
        <v>18</v>
      </c>
      <c r="AU829" s="2" t="s">
        <v>869</v>
      </c>
      <c r="AV829" s="2">
        <v>129.99</v>
      </c>
      <c r="AW829" s="2">
        <v>0</v>
      </c>
      <c r="AX829" s="2" t="s">
        <v>3447</v>
      </c>
      <c r="AY829" s="2" t="s">
        <v>83</v>
      </c>
      <c r="AZ829" s="4">
        <v>42363</v>
      </c>
      <c r="BA829" s="5">
        <v>0.47499999999999998</v>
      </c>
      <c r="BB829" s="2">
        <v>2015</v>
      </c>
      <c r="BC829" s="2" t="s">
        <v>357</v>
      </c>
      <c r="BD829" s="2">
        <v>25</v>
      </c>
      <c r="BE829" s="4">
        <v>42367</v>
      </c>
      <c r="BF829" s="5">
        <v>0.47499999999999998</v>
      </c>
      <c r="BG829" s="2" t="str" cm="1">
        <f t="array" ref="BG829">_xlfn.IFS(BF829&lt;TIMEVALUE("06:00"),"Night", BF829&gt;=TIMEVALUE("21:00"),"Night",BF829&gt;=TIMEVALUE("17:00"),"Evening",BF829&gt;=TIMEVALUE("12:00"),"Afternoon", BF829&gt;=TIMEVALUE("06:00"),"Morning")</f>
        <v>Morning</v>
      </c>
      <c r="BH829" s="2">
        <v>2015</v>
      </c>
      <c r="BI829" s="2" t="s">
        <v>357</v>
      </c>
      <c r="BJ829" s="2">
        <v>29</v>
      </c>
    </row>
    <row r="830" spans="1:62" x14ac:dyDescent="0.3">
      <c r="A830" s="2" t="s">
        <v>62</v>
      </c>
      <c r="B830" s="2">
        <v>6</v>
      </c>
      <c r="C830" s="2">
        <v>4</v>
      </c>
      <c r="D830" s="2">
        <v>-45.47</v>
      </c>
      <c r="E830" s="2">
        <v>54.59</v>
      </c>
      <c r="F830" s="2" t="s">
        <v>87</v>
      </c>
      <c r="G830" s="2" t="s">
        <v>88</v>
      </c>
      <c r="H830" s="2">
        <v>17</v>
      </c>
      <c r="I830" s="2" t="s">
        <v>412</v>
      </c>
      <c r="J830" s="2" t="s">
        <v>1208</v>
      </c>
      <c r="K830" s="2" t="s">
        <v>102</v>
      </c>
      <c r="L830" s="2" t="s">
        <v>414</v>
      </c>
      <c r="M830" s="2">
        <v>1718</v>
      </c>
      <c r="N830" s="2" t="s">
        <v>425</v>
      </c>
      <c r="O830" s="2" t="s">
        <v>124</v>
      </c>
      <c r="P830" s="2" t="s">
        <v>133</v>
      </c>
      <c r="Q830" s="2" t="s">
        <v>1441</v>
      </c>
      <c r="R830" s="2">
        <v>14221</v>
      </c>
      <c r="S830" s="2">
        <v>4</v>
      </c>
      <c r="T830" s="2" t="s">
        <v>417</v>
      </c>
      <c r="U830" s="2">
        <v>42.966621400000001</v>
      </c>
      <c r="V830" s="2">
        <v>-78.741943399999997</v>
      </c>
      <c r="W830" s="2" t="s">
        <v>74</v>
      </c>
      <c r="X830" s="2" t="s">
        <v>1442</v>
      </c>
      <c r="Y830" s="2" t="s">
        <v>1443</v>
      </c>
      <c r="Z830" s="2">
        <v>1718</v>
      </c>
      <c r="AA830" s="2" t="s">
        <v>1444</v>
      </c>
      <c r="AB830" s="2">
        <v>24230</v>
      </c>
      <c r="AC830" s="2">
        <v>365</v>
      </c>
      <c r="AD830" s="2">
        <v>5.4</v>
      </c>
      <c r="AE830" s="2">
        <v>0.09</v>
      </c>
      <c r="AF830" s="2" t="str" cm="1">
        <f t="array" ref="AF830">_xlfn.IFS(AE830=0, "No Discount ", AE830&lt;=0.08,"Low Discount", AE830&lt;=0.16,"Medium Discount", AE830&gt;0.16, "High Discount")</f>
        <v>Medium Discount</v>
      </c>
      <c r="AG830" s="2">
        <v>60622</v>
      </c>
      <c r="AH830" s="2">
        <v>59.99</v>
      </c>
      <c r="AI830" s="2">
        <v>-0.83</v>
      </c>
      <c r="AJ830" s="2" t="str" cm="1">
        <f t="array" ref="AJ830">_xlfn.IFS(AI830&lt;=0, "No Profit", AI830&lt;=0.16,"Low Profit",AI830&lt;=0.32,"Medium Profit",AI830&gt;0.32,"High Profit")</f>
        <v>No Profit</v>
      </c>
      <c r="AK830" s="2">
        <v>1</v>
      </c>
      <c r="AL830" s="2">
        <v>59.99</v>
      </c>
      <c r="AM830" s="2">
        <v>54.59</v>
      </c>
      <c r="AN830" s="2">
        <v>-45.47</v>
      </c>
      <c r="AO830" s="2" t="s">
        <v>78</v>
      </c>
      <c r="AP830" s="2" t="s">
        <v>1445</v>
      </c>
      <c r="AQ830" s="2" t="s">
        <v>80</v>
      </c>
      <c r="AR830" s="2" t="s">
        <v>81</v>
      </c>
      <c r="AS830" s="2">
        <v>365</v>
      </c>
      <c r="AT830" s="2">
        <v>17</v>
      </c>
      <c r="AU830" s="2" t="s">
        <v>421</v>
      </c>
      <c r="AV830" s="2">
        <v>59.99</v>
      </c>
      <c r="AW830" s="2">
        <v>0</v>
      </c>
      <c r="AX830" s="2" t="s">
        <v>1446</v>
      </c>
      <c r="AY830" s="2" t="s">
        <v>83</v>
      </c>
      <c r="AZ830" s="4">
        <v>42358</v>
      </c>
      <c r="BA830" s="5">
        <v>0.68680555555555556</v>
      </c>
      <c r="BB830" s="2">
        <v>2015</v>
      </c>
      <c r="BC830" s="2" t="s">
        <v>357</v>
      </c>
      <c r="BD830" s="2">
        <v>20</v>
      </c>
      <c r="BE830" s="4">
        <v>42364</v>
      </c>
      <c r="BF830" s="5">
        <v>0.68680555555555556</v>
      </c>
      <c r="BG830" s="2" t="str" cm="1">
        <f t="array" ref="BG830">_xlfn.IFS(BF830&lt;TIMEVALUE("06:00"),"Night", BF830&gt;=TIMEVALUE("21:00"),"Night",BF830&gt;=TIMEVALUE("17:00"),"Evening",BF830&gt;=TIMEVALUE("12:00"),"Afternoon", BF830&gt;=TIMEVALUE("06:00"),"Morning")</f>
        <v>Afternoon</v>
      </c>
      <c r="BH830" s="2">
        <v>2015</v>
      </c>
      <c r="BI830" s="2" t="s">
        <v>357</v>
      </c>
      <c r="BJ830" s="2">
        <v>26</v>
      </c>
    </row>
    <row r="831" spans="1:62" x14ac:dyDescent="0.3">
      <c r="A831" s="2" t="s">
        <v>62</v>
      </c>
      <c r="B831" s="2">
        <v>2</v>
      </c>
      <c r="C831" s="2">
        <v>4</v>
      </c>
      <c r="D831" s="2">
        <v>53.23</v>
      </c>
      <c r="E831" s="2">
        <v>118.29</v>
      </c>
      <c r="F831" s="2" t="s">
        <v>63</v>
      </c>
      <c r="G831" s="2" t="s">
        <v>64</v>
      </c>
      <c r="H831" s="2">
        <v>18</v>
      </c>
      <c r="I831" s="2" t="s">
        <v>863</v>
      </c>
      <c r="J831" s="2" t="s">
        <v>1212</v>
      </c>
      <c r="K831" s="2" t="s">
        <v>102</v>
      </c>
      <c r="L831" s="2" t="s">
        <v>698</v>
      </c>
      <c r="M831" s="2">
        <v>7795</v>
      </c>
      <c r="N831" s="2" t="s">
        <v>425</v>
      </c>
      <c r="O831" s="2" t="s">
        <v>124</v>
      </c>
      <c r="P831" s="2" t="s">
        <v>1154</v>
      </c>
      <c r="Q831" s="2" t="s">
        <v>1529</v>
      </c>
      <c r="R831" s="2">
        <v>96822</v>
      </c>
      <c r="S831" s="2">
        <v>4</v>
      </c>
      <c r="T831" s="2" t="s">
        <v>417</v>
      </c>
      <c r="U831" s="2">
        <v>21.3056202</v>
      </c>
      <c r="V831" s="2">
        <v>-157.8386993</v>
      </c>
      <c r="W831" s="2" t="s">
        <v>74</v>
      </c>
      <c r="X831" s="2" t="s">
        <v>1530</v>
      </c>
      <c r="Y831" s="2" t="s">
        <v>76</v>
      </c>
      <c r="Z831" s="2">
        <v>7795</v>
      </c>
      <c r="AA831" s="2" t="s">
        <v>1531</v>
      </c>
      <c r="AB831" s="2">
        <v>26821</v>
      </c>
      <c r="AC831" s="2">
        <v>403</v>
      </c>
      <c r="AD831" s="2">
        <v>11.7</v>
      </c>
      <c r="AE831" s="2">
        <v>0.09</v>
      </c>
      <c r="AF831" s="2" t="str" cm="1">
        <f t="array" ref="AF831">_xlfn.IFS(AE831=0, "No Discount ", AE831&lt;=0.08,"Low Discount", AE831&lt;=0.16,"Medium Discount", AE831&gt;0.16, "High Discount")</f>
        <v>Medium Discount</v>
      </c>
      <c r="AG831" s="2">
        <v>67195</v>
      </c>
      <c r="AH831" s="2">
        <v>129.99</v>
      </c>
      <c r="AI831" s="2">
        <v>0.45</v>
      </c>
      <c r="AJ831" s="2" t="str" cm="1">
        <f t="array" ref="AJ831">_xlfn.IFS(AI831&lt;=0, "No Profit", AI831&lt;=0.16,"Low Profit",AI831&lt;=0.32,"Medium Profit",AI831&gt;0.32,"High Profit")</f>
        <v>High Profit</v>
      </c>
      <c r="AK831" s="2">
        <v>1</v>
      </c>
      <c r="AL831" s="2">
        <v>129.99</v>
      </c>
      <c r="AM831" s="2">
        <v>118.29</v>
      </c>
      <c r="AN831" s="2">
        <v>53.23</v>
      </c>
      <c r="AO831" s="2" t="s">
        <v>78</v>
      </c>
      <c r="AP831" s="2" t="s">
        <v>79</v>
      </c>
      <c r="AQ831" s="2" t="s">
        <v>80</v>
      </c>
      <c r="AR831" s="2" t="s">
        <v>81</v>
      </c>
      <c r="AS831" s="2">
        <v>403</v>
      </c>
      <c r="AT831" s="2">
        <v>18</v>
      </c>
      <c r="AU831" s="2" t="s">
        <v>869</v>
      </c>
      <c r="AV831" s="2">
        <v>129.99</v>
      </c>
      <c r="AW831" s="2">
        <v>0</v>
      </c>
      <c r="AX831" s="2" t="s">
        <v>1532</v>
      </c>
      <c r="AY831" s="2" t="s">
        <v>83</v>
      </c>
      <c r="AZ831" s="4">
        <v>42396</v>
      </c>
      <c r="BA831" s="5">
        <v>0.50972222222222219</v>
      </c>
      <c r="BB831" s="2">
        <v>2016</v>
      </c>
      <c r="BC831" s="2" t="s">
        <v>84</v>
      </c>
      <c r="BD831" s="2">
        <v>27</v>
      </c>
      <c r="BE831" s="4">
        <v>42398</v>
      </c>
      <c r="BF831" s="5">
        <v>0.50972222222222219</v>
      </c>
      <c r="BG831" s="2" t="str" cm="1">
        <f t="array" ref="BG831">_xlfn.IFS(BF831&lt;TIMEVALUE("06:00"),"Night", BF831&gt;=TIMEVALUE("21:00"),"Night",BF831&gt;=TIMEVALUE("17:00"),"Evening",BF831&gt;=TIMEVALUE("12:00"),"Afternoon", BF831&gt;=TIMEVALUE("06:00"),"Morning")</f>
        <v>Afternoon</v>
      </c>
      <c r="BH831" s="2">
        <v>2016</v>
      </c>
      <c r="BI831" s="2" t="s">
        <v>84</v>
      </c>
      <c r="BJ831" s="2">
        <v>29</v>
      </c>
    </row>
    <row r="832" spans="1:62" x14ac:dyDescent="0.3">
      <c r="A832" s="2" t="s">
        <v>62</v>
      </c>
      <c r="B832" s="2">
        <v>2</v>
      </c>
      <c r="C832" s="2">
        <v>4</v>
      </c>
      <c r="D832" s="2">
        <v>35.49</v>
      </c>
      <c r="E832" s="2">
        <v>118.29</v>
      </c>
      <c r="F832" s="2" t="s">
        <v>63</v>
      </c>
      <c r="G832" s="2" t="s">
        <v>64</v>
      </c>
      <c r="H832" s="2">
        <v>18</v>
      </c>
      <c r="I832" s="2" t="s">
        <v>863</v>
      </c>
      <c r="J832" s="2" t="s">
        <v>1460</v>
      </c>
      <c r="K832" s="2" t="s">
        <v>102</v>
      </c>
      <c r="L832" s="2" t="s">
        <v>1607</v>
      </c>
      <c r="M832" s="2">
        <v>12100</v>
      </c>
      <c r="N832" s="2" t="s">
        <v>3448</v>
      </c>
      <c r="O832" s="2" t="s">
        <v>124</v>
      </c>
      <c r="P832" s="2" t="s">
        <v>234</v>
      </c>
      <c r="Q832" s="2" t="s">
        <v>3449</v>
      </c>
      <c r="R832" s="2">
        <v>60609</v>
      </c>
      <c r="S832" s="2">
        <v>4</v>
      </c>
      <c r="T832" s="2" t="s">
        <v>417</v>
      </c>
      <c r="U832" s="2">
        <v>41.894752500000003</v>
      </c>
      <c r="V832" s="2">
        <v>-87.743377699999996</v>
      </c>
      <c r="W832" s="2" t="s">
        <v>74</v>
      </c>
      <c r="X832" s="2" t="s">
        <v>2179</v>
      </c>
      <c r="Y832" s="2" t="s">
        <v>2180</v>
      </c>
      <c r="Z832" s="2">
        <v>12100</v>
      </c>
      <c r="AA832" s="3">
        <v>42136.811805555553</v>
      </c>
      <c r="AB832" s="2">
        <v>23211</v>
      </c>
      <c r="AC832" s="2">
        <v>403</v>
      </c>
      <c r="AD832" s="2">
        <v>11.7</v>
      </c>
      <c r="AE832" s="2">
        <v>0.09</v>
      </c>
      <c r="AF832" s="2" t="str" cm="1">
        <f t="array" ref="AF832">_xlfn.IFS(AE832=0, "No Discount ", AE832&lt;=0.08,"Low Discount", AE832&lt;=0.16,"Medium Discount", AE832&gt;0.16, "High Discount")</f>
        <v>Medium Discount</v>
      </c>
      <c r="AG832" s="2">
        <v>58110</v>
      </c>
      <c r="AH832" s="2">
        <v>129.99</v>
      </c>
      <c r="AI832" s="2">
        <v>0.3</v>
      </c>
      <c r="AJ832" s="2" t="str" cm="1">
        <f t="array" ref="AJ832">_xlfn.IFS(AI832&lt;=0, "No Profit", AI832&lt;=0.16,"Low Profit",AI832&lt;=0.32,"Medium Profit",AI832&gt;0.32,"High Profit")</f>
        <v>Medium Profit</v>
      </c>
      <c r="AK832" s="2">
        <v>1</v>
      </c>
      <c r="AL832" s="2">
        <v>129.99</v>
      </c>
      <c r="AM832" s="2">
        <v>118.29</v>
      </c>
      <c r="AN832" s="2">
        <v>35.49</v>
      </c>
      <c r="AO832" s="2" t="s">
        <v>78</v>
      </c>
      <c r="AP832" s="2" t="s">
        <v>2181</v>
      </c>
      <c r="AQ832" s="2" t="s">
        <v>80</v>
      </c>
      <c r="AR832" s="2" t="s">
        <v>81</v>
      </c>
      <c r="AS832" s="2">
        <v>403</v>
      </c>
      <c r="AT832" s="2">
        <v>18</v>
      </c>
      <c r="AU832" s="2" t="s">
        <v>869</v>
      </c>
      <c r="AV832" s="2">
        <v>129.99</v>
      </c>
      <c r="AW832" s="2">
        <v>0</v>
      </c>
      <c r="AX832" s="3">
        <v>42197.811805555553</v>
      </c>
      <c r="AY832" s="2" t="s">
        <v>83</v>
      </c>
      <c r="AZ832" s="4">
        <v>42136</v>
      </c>
      <c r="BA832" s="5">
        <v>0.81180555555555556</v>
      </c>
      <c r="BB832" s="2">
        <v>2015</v>
      </c>
      <c r="BC832" s="2" t="s">
        <v>443</v>
      </c>
      <c r="BD832" s="2">
        <v>12</v>
      </c>
      <c r="BE832" s="4">
        <v>42197</v>
      </c>
      <c r="BF832" s="5">
        <v>0.81180555555555556</v>
      </c>
      <c r="BG832" s="2" t="str" cm="1">
        <f t="array" ref="BG832">_xlfn.IFS(BF832&lt;TIMEVALUE("06:00"),"Night", BF832&gt;=TIMEVALUE("21:00"),"Night",BF832&gt;=TIMEVALUE("17:00"),"Evening",BF832&gt;=TIMEVALUE("12:00"),"Afternoon", BF832&gt;=TIMEVALUE("06:00"),"Morning")</f>
        <v>Evening</v>
      </c>
      <c r="BH832" s="2">
        <v>2015</v>
      </c>
      <c r="BI832" s="2" t="s">
        <v>533</v>
      </c>
      <c r="BJ832" s="2">
        <v>12</v>
      </c>
    </row>
    <row r="833" spans="1:62" x14ac:dyDescent="0.3">
      <c r="A833" s="2" t="s">
        <v>62</v>
      </c>
      <c r="B833" s="2">
        <v>4</v>
      </c>
      <c r="C833" s="2">
        <v>4</v>
      </c>
      <c r="D833" s="2">
        <v>14.79</v>
      </c>
      <c r="E833" s="2">
        <v>118.29</v>
      </c>
      <c r="F833" s="2" t="s">
        <v>100</v>
      </c>
      <c r="G833" s="2" t="s">
        <v>64</v>
      </c>
      <c r="H833" s="2">
        <v>18</v>
      </c>
      <c r="I833" s="2" t="s">
        <v>863</v>
      </c>
      <c r="J833" s="2" t="s">
        <v>2519</v>
      </c>
      <c r="K833" s="2" t="s">
        <v>102</v>
      </c>
      <c r="L833" s="2" t="s">
        <v>1890</v>
      </c>
      <c r="M833" s="2">
        <v>11979</v>
      </c>
      <c r="N833" s="2" t="s">
        <v>425</v>
      </c>
      <c r="O833" s="2" t="s">
        <v>124</v>
      </c>
      <c r="P833" s="2" t="s">
        <v>1187</v>
      </c>
      <c r="Q833" s="2" t="s">
        <v>3450</v>
      </c>
      <c r="R833" s="2">
        <v>53704</v>
      </c>
      <c r="S833" s="2">
        <v>4</v>
      </c>
      <c r="T833" s="2" t="s">
        <v>417</v>
      </c>
      <c r="U833" s="2">
        <v>43.095596299999997</v>
      </c>
      <c r="V833" s="2">
        <v>-89.351188699999994</v>
      </c>
      <c r="W833" s="2" t="s">
        <v>74</v>
      </c>
      <c r="X833" s="2" t="s">
        <v>2389</v>
      </c>
      <c r="Y833" s="2" t="s">
        <v>76</v>
      </c>
      <c r="Z833" s="2">
        <v>11979</v>
      </c>
      <c r="AA833" s="2" t="s">
        <v>3451</v>
      </c>
      <c r="AB833" s="2">
        <v>21868</v>
      </c>
      <c r="AC833" s="2">
        <v>403</v>
      </c>
      <c r="AD833" s="2">
        <v>11.7</v>
      </c>
      <c r="AE833" s="2">
        <v>0.09</v>
      </c>
      <c r="AF833" s="2" t="str" cm="1">
        <f t="array" ref="AF833">_xlfn.IFS(AE833=0, "No Discount ", AE833&lt;=0.08,"Low Discount", AE833&lt;=0.16,"Medium Discount", AE833&gt;0.16, "High Discount")</f>
        <v>Medium Discount</v>
      </c>
      <c r="AG833" s="2">
        <v>54683</v>
      </c>
      <c r="AH833" s="2">
        <v>129.99</v>
      </c>
      <c r="AI833" s="2">
        <v>0.13</v>
      </c>
      <c r="AJ833" s="2" t="str" cm="1">
        <f t="array" ref="AJ833">_xlfn.IFS(AI833&lt;=0, "No Profit", AI833&lt;=0.16,"Low Profit",AI833&lt;=0.32,"Medium Profit",AI833&gt;0.32,"High Profit")</f>
        <v>Low Profit</v>
      </c>
      <c r="AK833" s="2">
        <v>1</v>
      </c>
      <c r="AL833" s="2">
        <v>129.99</v>
      </c>
      <c r="AM833" s="2">
        <v>118.29</v>
      </c>
      <c r="AN833" s="2">
        <v>14.79</v>
      </c>
      <c r="AO833" s="2" t="s">
        <v>78</v>
      </c>
      <c r="AP833" s="2" t="s">
        <v>2389</v>
      </c>
      <c r="AQ833" s="2" t="s">
        <v>80</v>
      </c>
      <c r="AR833" s="2" t="s">
        <v>81</v>
      </c>
      <c r="AS833" s="2">
        <v>403</v>
      </c>
      <c r="AT833" s="2">
        <v>18</v>
      </c>
      <c r="AU833" s="2" t="s">
        <v>869</v>
      </c>
      <c r="AV833" s="2">
        <v>129.99</v>
      </c>
      <c r="AW833" s="2">
        <v>0</v>
      </c>
      <c r="AX833" s="2" t="s">
        <v>3452</v>
      </c>
      <c r="AY833" s="2" t="s">
        <v>83</v>
      </c>
      <c r="AZ833" s="4">
        <v>42324</v>
      </c>
      <c r="BA833" s="5">
        <v>0.2076388888888889</v>
      </c>
      <c r="BB833" s="2">
        <v>2015</v>
      </c>
      <c r="BC833" s="2" t="s">
        <v>455</v>
      </c>
      <c r="BD833" s="2">
        <v>16</v>
      </c>
      <c r="BE833" s="4">
        <v>42328</v>
      </c>
      <c r="BF833" s="5">
        <v>0.2076388888888889</v>
      </c>
      <c r="BG833" s="2" t="str" cm="1">
        <f t="array" ref="BG833">_xlfn.IFS(BF833&lt;TIMEVALUE("06:00"),"Night", BF833&gt;=TIMEVALUE("21:00"),"Night",BF833&gt;=TIMEVALUE("17:00"),"Evening",BF833&gt;=TIMEVALUE("12:00"),"Afternoon", BF833&gt;=TIMEVALUE("06:00"),"Morning")</f>
        <v>Night</v>
      </c>
      <c r="BH833" s="2">
        <v>2015</v>
      </c>
      <c r="BI833" s="2" t="s">
        <v>455</v>
      </c>
      <c r="BJ833" s="2">
        <v>20</v>
      </c>
    </row>
    <row r="834" spans="1:62" x14ac:dyDescent="0.3">
      <c r="A834" s="2" t="s">
        <v>62</v>
      </c>
      <c r="B834" s="2">
        <v>5</v>
      </c>
      <c r="C834" s="2">
        <v>4</v>
      </c>
      <c r="D834" s="2">
        <v>35.49</v>
      </c>
      <c r="E834" s="2">
        <v>118.29</v>
      </c>
      <c r="F834" s="2" t="s">
        <v>87</v>
      </c>
      <c r="G834" s="2" t="s">
        <v>88</v>
      </c>
      <c r="H834" s="2">
        <v>18</v>
      </c>
      <c r="I834" s="2" t="s">
        <v>863</v>
      </c>
      <c r="J834" s="2" t="s">
        <v>1544</v>
      </c>
      <c r="K834" s="2" t="s">
        <v>102</v>
      </c>
      <c r="L834" s="2" t="s">
        <v>414</v>
      </c>
      <c r="M834" s="2">
        <v>150</v>
      </c>
      <c r="N834" s="2" t="s">
        <v>425</v>
      </c>
      <c r="O834" s="2" t="s">
        <v>124</v>
      </c>
      <c r="P834" s="2" t="s">
        <v>1163</v>
      </c>
      <c r="Q834" s="2" t="s">
        <v>1545</v>
      </c>
      <c r="R834" s="2">
        <v>7083</v>
      </c>
      <c r="S834" s="2">
        <v>4</v>
      </c>
      <c r="T834" s="2" t="s">
        <v>417</v>
      </c>
      <c r="U834" s="2">
        <v>33.688960999999999</v>
      </c>
      <c r="V834" s="2">
        <v>-117.9957428</v>
      </c>
      <c r="W834" s="2" t="s">
        <v>74</v>
      </c>
      <c r="X834" s="2" t="s">
        <v>1383</v>
      </c>
      <c r="Y834" s="2" t="s">
        <v>1384</v>
      </c>
      <c r="Z834" s="2">
        <v>150</v>
      </c>
      <c r="AA834" s="2" t="s">
        <v>1546</v>
      </c>
      <c r="AB834" s="2">
        <v>47009</v>
      </c>
      <c r="AC834" s="2">
        <v>403</v>
      </c>
      <c r="AD834" s="2">
        <v>11.7</v>
      </c>
      <c r="AE834" s="2">
        <v>0.09</v>
      </c>
      <c r="AF834" s="2" t="str" cm="1">
        <f t="array" ref="AF834">_xlfn.IFS(AE834=0, "No Discount ", AE834&lt;=0.08,"Low Discount", AE834&lt;=0.16,"Medium Discount", AE834&gt;0.16, "High Discount")</f>
        <v>Medium Discount</v>
      </c>
      <c r="AG834" s="2">
        <v>117477</v>
      </c>
      <c r="AH834" s="2">
        <v>129.99</v>
      </c>
      <c r="AI834" s="2">
        <v>0.3</v>
      </c>
      <c r="AJ834" s="2" t="str" cm="1">
        <f t="array" ref="AJ834">_xlfn.IFS(AI834&lt;=0, "No Profit", AI834&lt;=0.16,"Low Profit",AI834&lt;=0.32,"Medium Profit",AI834&gt;0.32,"High Profit")</f>
        <v>Medium Profit</v>
      </c>
      <c r="AK834" s="2">
        <v>1</v>
      </c>
      <c r="AL834" s="2">
        <v>129.99</v>
      </c>
      <c r="AM834" s="2">
        <v>118.29</v>
      </c>
      <c r="AN834" s="2">
        <v>35.49</v>
      </c>
      <c r="AO834" s="2" t="s">
        <v>431</v>
      </c>
      <c r="AP834" s="2" t="s">
        <v>1383</v>
      </c>
      <c r="AQ834" s="2" t="s">
        <v>80</v>
      </c>
      <c r="AR834" s="2" t="s">
        <v>81</v>
      </c>
      <c r="AS834" s="2">
        <v>403</v>
      </c>
      <c r="AT834" s="2">
        <v>18</v>
      </c>
      <c r="AU834" s="2" t="s">
        <v>869</v>
      </c>
      <c r="AV834" s="2">
        <v>129.99</v>
      </c>
      <c r="AW834" s="2">
        <v>0</v>
      </c>
      <c r="AX834" s="2" t="s">
        <v>1547</v>
      </c>
      <c r="AY834" s="2" t="s">
        <v>83</v>
      </c>
      <c r="AZ834" s="4">
        <v>42691</v>
      </c>
      <c r="BA834" s="5">
        <v>0.2076388888888889</v>
      </c>
      <c r="BB834" s="2">
        <v>2016</v>
      </c>
      <c r="BC834" s="2" t="s">
        <v>455</v>
      </c>
      <c r="BD834" s="2">
        <v>17</v>
      </c>
      <c r="BE834" s="4">
        <v>42696</v>
      </c>
      <c r="BF834" s="5">
        <v>0.2076388888888889</v>
      </c>
      <c r="BG834" s="2" t="str" cm="1">
        <f t="array" ref="BG834">_xlfn.IFS(BF834&lt;TIMEVALUE("06:00"),"Night", BF834&gt;=TIMEVALUE("21:00"),"Night",BF834&gt;=TIMEVALUE("17:00"),"Evening",BF834&gt;=TIMEVALUE("12:00"),"Afternoon", BF834&gt;=TIMEVALUE("06:00"),"Morning")</f>
        <v>Night</v>
      </c>
      <c r="BH834" s="2">
        <v>2016</v>
      </c>
      <c r="BI834" s="2" t="s">
        <v>455</v>
      </c>
      <c r="BJ834" s="2">
        <v>22</v>
      </c>
    </row>
    <row r="835" spans="1:62" x14ac:dyDescent="0.3">
      <c r="A835" s="2" t="s">
        <v>62</v>
      </c>
      <c r="B835" s="2">
        <v>2</v>
      </c>
      <c r="C835" s="2">
        <v>4</v>
      </c>
      <c r="D835" s="2">
        <v>-19.07</v>
      </c>
      <c r="E835" s="2">
        <v>116.99</v>
      </c>
      <c r="F835" s="2" t="s">
        <v>63</v>
      </c>
      <c r="G835" s="2" t="s">
        <v>64</v>
      </c>
      <c r="H835" s="2">
        <v>18</v>
      </c>
      <c r="I835" s="2" t="s">
        <v>863</v>
      </c>
      <c r="J835" s="2" t="s">
        <v>3453</v>
      </c>
      <c r="K835" s="2" t="s">
        <v>102</v>
      </c>
      <c r="L835" s="2" t="s">
        <v>2266</v>
      </c>
      <c r="M835" s="2">
        <v>3905</v>
      </c>
      <c r="N835" s="2" t="s">
        <v>425</v>
      </c>
      <c r="O835" s="2" t="s">
        <v>124</v>
      </c>
      <c r="P835" s="2" t="s">
        <v>105</v>
      </c>
      <c r="Q835" s="2" t="s">
        <v>3454</v>
      </c>
      <c r="R835" s="2">
        <v>94080</v>
      </c>
      <c r="S835" s="2">
        <v>4</v>
      </c>
      <c r="T835" s="2" t="s">
        <v>417</v>
      </c>
      <c r="U835" s="2">
        <v>37.67062</v>
      </c>
      <c r="V835" s="2">
        <v>-122.4532928</v>
      </c>
      <c r="W835" s="2" t="s">
        <v>74</v>
      </c>
      <c r="X835" s="2" t="s">
        <v>3455</v>
      </c>
      <c r="Y835" s="2" t="s">
        <v>1552</v>
      </c>
      <c r="Z835" s="2">
        <v>3905</v>
      </c>
      <c r="AA835" s="3">
        <v>42622.043749999997</v>
      </c>
      <c r="AB835" s="2">
        <v>42271</v>
      </c>
      <c r="AC835" s="2">
        <v>403</v>
      </c>
      <c r="AD835" s="2">
        <v>13</v>
      </c>
      <c r="AE835" s="2">
        <v>0.1</v>
      </c>
      <c r="AF835" s="2" t="str" cm="1">
        <f t="array" ref="AF835">_xlfn.IFS(AE835=0, "No Discount ", AE835&lt;=0.08,"Low Discount", AE835&lt;=0.16,"Medium Discount", AE835&gt;0.16, "High Discount")</f>
        <v>Medium Discount</v>
      </c>
      <c r="AG835" s="2">
        <v>105539</v>
      </c>
      <c r="AH835" s="2">
        <v>129.99</v>
      </c>
      <c r="AI835" s="2">
        <v>-0.16</v>
      </c>
      <c r="AJ835" s="2" t="str" cm="1">
        <f t="array" ref="AJ835">_xlfn.IFS(AI835&lt;=0, "No Profit", AI835&lt;=0.16,"Low Profit",AI835&lt;=0.32,"Medium Profit",AI835&gt;0.32,"High Profit")</f>
        <v>No Profit</v>
      </c>
      <c r="AK835" s="2">
        <v>1</v>
      </c>
      <c r="AL835" s="2">
        <v>129.99</v>
      </c>
      <c r="AM835" s="2">
        <v>116.99</v>
      </c>
      <c r="AN835" s="2">
        <v>-19.07</v>
      </c>
      <c r="AO835" s="2" t="s">
        <v>1458</v>
      </c>
      <c r="AP835" s="2" t="s">
        <v>3456</v>
      </c>
      <c r="AQ835" s="2" t="s">
        <v>80</v>
      </c>
      <c r="AR835" s="2" t="s">
        <v>81</v>
      </c>
      <c r="AS835" s="2">
        <v>403</v>
      </c>
      <c r="AT835" s="2">
        <v>18</v>
      </c>
      <c r="AU835" s="2" t="s">
        <v>869</v>
      </c>
      <c r="AV835" s="2">
        <v>129.99</v>
      </c>
      <c r="AW835" s="2">
        <v>0</v>
      </c>
      <c r="AX835" s="3">
        <v>42683.043749999997</v>
      </c>
      <c r="AY835" s="2" t="s">
        <v>83</v>
      </c>
      <c r="AZ835" s="4">
        <v>42622</v>
      </c>
      <c r="BA835" s="5">
        <v>4.3749999999999997E-2</v>
      </c>
      <c r="BB835" s="2">
        <v>2016</v>
      </c>
      <c r="BC835" s="2" t="s">
        <v>552</v>
      </c>
      <c r="BD835" s="2">
        <v>9</v>
      </c>
      <c r="BE835" s="4">
        <v>42683</v>
      </c>
      <c r="BF835" s="5">
        <v>4.3749999999999997E-2</v>
      </c>
      <c r="BG835" s="2" t="str" cm="1">
        <f t="array" ref="BG835">_xlfn.IFS(BF835&lt;TIMEVALUE("06:00"),"Night", BF835&gt;=TIMEVALUE("21:00"),"Night",BF835&gt;=TIMEVALUE("17:00"),"Evening",BF835&gt;=TIMEVALUE("12:00"),"Afternoon", BF835&gt;=TIMEVALUE("06:00"),"Morning")</f>
        <v>Night</v>
      </c>
      <c r="BH835" s="2">
        <v>2016</v>
      </c>
      <c r="BI835" s="2" t="s">
        <v>455</v>
      </c>
      <c r="BJ835" s="2">
        <v>9</v>
      </c>
    </row>
    <row r="836" spans="1:62" x14ac:dyDescent="0.3">
      <c r="A836" s="2" t="s">
        <v>62</v>
      </c>
      <c r="B836" s="2">
        <v>4</v>
      </c>
      <c r="C836" s="2">
        <v>4</v>
      </c>
      <c r="D836" s="2">
        <v>38.020000000000003</v>
      </c>
      <c r="E836" s="2">
        <v>116.99</v>
      </c>
      <c r="F836" s="2" t="s">
        <v>100</v>
      </c>
      <c r="G836" s="2" t="s">
        <v>64</v>
      </c>
      <c r="H836" s="2">
        <v>18</v>
      </c>
      <c r="I836" s="2" t="s">
        <v>863</v>
      </c>
      <c r="J836" s="2" t="s">
        <v>1147</v>
      </c>
      <c r="K836" s="2" t="s">
        <v>102</v>
      </c>
      <c r="L836" s="2" t="s">
        <v>414</v>
      </c>
      <c r="M836" s="2">
        <v>8552</v>
      </c>
      <c r="N836" s="2" t="s">
        <v>425</v>
      </c>
      <c r="O836" s="2" t="s">
        <v>124</v>
      </c>
      <c r="P836" s="2" t="s">
        <v>280</v>
      </c>
      <c r="Q836" s="2" t="s">
        <v>3457</v>
      </c>
      <c r="R836" s="2">
        <v>19144</v>
      </c>
      <c r="S836" s="2">
        <v>4</v>
      </c>
      <c r="T836" s="2" t="s">
        <v>417</v>
      </c>
      <c r="U836" s="2">
        <v>40.031246199999998</v>
      </c>
      <c r="V836" s="2">
        <v>-75.1819153</v>
      </c>
      <c r="W836" s="2" t="s">
        <v>74</v>
      </c>
      <c r="X836" s="2" t="s">
        <v>3458</v>
      </c>
      <c r="Y836" s="2" t="s">
        <v>3459</v>
      </c>
      <c r="Z836" s="2">
        <v>8552</v>
      </c>
      <c r="AA836" s="3">
        <v>42979.036805555559</v>
      </c>
      <c r="AB836" s="2">
        <v>50628</v>
      </c>
      <c r="AC836" s="2">
        <v>403</v>
      </c>
      <c r="AD836" s="2">
        <v>13</v>
      </c>
      <c r="AE836" s="2">
        <v>0.1</v>
      </c>
      <c r="AF836" s="2" t="str" cm="1">
        <f t="array" ref="AF836">_xlfn.IFS(AE836=0, "No Discount ", AE836&lt;=0.08,"Low Discount", AE836&lt;=0.16,"Medium Discount", AE836&gt;0.16, "High Discount")</f>
        <v>Medium Discount</v>
      </c>
      <c r="AG836" s="2">
        <v>126524</v>
      </c>
      <c r="AH836" s="2">
        <v>129.99</v>
      </c>
      <c r="AI836" s="2">
        <v>0.33</v>
      </c>
      <c r="AJ836" s="2" t="str" cm="1">
        <f t="array" ref="AJ836">_xlfn.IFS(AI836&lt;=0, "No Profit", AI836&lt;=0.16,"Low Profit",AI836&lt;=0.32,"Medium Profit",AI836&gt;0.32,"High Profit")</f>
        <v>High Profit</v>
      </c>
      <c r="AK836" s="2">
        <v>1</v>
      </c>
      <c r="AL836" s="2">
        <v>129.99</v>
      </c>
      <c r="AM836" s="2">
        <v>116.99</v>
      </c>
      <c r="AN836" s="2">
        <v>38.020000000000003</v>
      </c>
      <c r="AO836" s="2" t="s">
        <v>1458</v>
      </c>
      <c r="AP836" s="2" t="s">
        <v>3458</v>
      </c>
      <c r="AQ836" s="2" t="s">
        <v>80</v>
      </c>
      <c r="AR836" s="2" t="s">
        <v>81</v>
      </c>
      <c r="AS836" s="2">
        <v>403</v>
      </c>
      <c r="AT836" s="2">
        <v>18</v>
      </c>
      <c r="AU836" s="2" t="s">
        <v>869</v>
      </c>
      <c r="AV836" s="2">
        <v>129.99</v>
      </c>
      <c r="AW836" s="2">
        <v>0</v>
      </c>
      <c r="AX836" s="2" t="s">
        <v>3460</v>
      </c>
      <c r="AY836" s="2" t="s">
        <v>83</v>
      </c>
      <c r="AZ836" s="4">
        <v>42979</v>
      </c>
      <c r="BA836" s="5">
        <v>3.6805555555555557E-2</v>
      </c>
      <c r="BB836" s="2">
        <v>2017</v>
      </c>
      <c r="BC836" s="2" t="s">
        <v>552</v>
      </c>
      <c r="BD836" s="2">
        <v>1</v>
      </c>
      <c r="BE836" s="4">
        <v>42748</v>
      </c>
      <c r="BF836" s="5">
        <v>3.6805555555555557E-2</v>
      </c>
      <c r="BG836" s="2" t="str" cm="1">
        <f t="array" ref="BG836">_xlfn.IFS(BF836&lt;TIMEVALUE("06:00"),"Night", BF836&gt;=TIMEVALUE("21:00"),"Night",BF836&gt;=TIMEVALUE("17:00"),"Evening",BF836&gt;=TIMEVALUE("12:00"),"Afternoon", BF836&gt;=TIMEVALUE("06:00"),"Morning")</f>
        <v>Night</v>
      </c>
      <c r="BH836" s="2">
        <v>2017</v>
      </c>
      <c r="BI836" s="2" t="s">
        <v>84</v>
      </c>
      <c r="BJ836" s="2">
        <v>13</v>
      </c>
    </row>
    <row r="837" spans="1:62" x14ac:dyDescent="0.3">
      <c r="A837" s="2" t="s">
        <v>62</v>
      </c>
      <c r="B837" s="2">
        <v>5</v>
      </c>
      <c r="C837" s="2">
        <v>4</v>
      </c>
      <c r="D837" s="2">
        <v>11.7</v>
      </c>
      <c r="E837" s="2">
        <v>116.99</v>
      </c>
      <c r="F837" s="2" t="s">
        <v>87</v>
      </c>
      <c r="G837" s="2" t="s">
        <v>88</v>
      </c>
      <c r="H837" s="2">
        <v>18</v>
      </c>
      <c r="I837" s="2" t="s">
        <v>863</v>
      </c>
      <c r="J837" s="2" t="s">
        <v>110</v>
      </c>
      <c r="K837" s="2" t="s">
        <v>102</v>
      </c>
      <c r="L837" s="2" t="s">
        <v>2664</v>
      </c>
      <c r="M837" s="2">
        <v>8551</v>
      </c>
      <c r="N837" s="2" t="s">
        <v>3409</v>
      </c>
      <c r="O837" s="2" t="s">
        <v>124</v>
      </c>
      <c r="P837" s="2" t="s">
        <v>105</v>
      </c>
      <c r="Q837" s="2" t="s">
        <v>3410</v>
      </c>
      <c r="R837" s="2">
        <v>90065</v>
      </c>
      <c r="S837" s="2">
        <v>4</v>
      </c>
      <c r="T837" s="2" t="s">
        <v>417</v>
      </c>
      <c r="U837" s="2">
        <v>34.114910100000003</v>
      </c>
      <c r="V837" s="2">
        <v>-118.2400131</v>
      </c>
      <c r="W837" s="2" t="s">
        <v>74</v>
      </c>
      <c r="X837" s="2" t="s">
        <v>3411</v>
      </c>
      <c r="Y837" s="2" t="s">
        <v>173</v>
      </c>
      <c r="Z837" s="2">
        <v>8551</v>
      </c>
      <c r="AA837" s="2" t="s">
        <v>3412</v>
      </c>
      <c r="AB837" s="2">
        <v>24764</v>
      </c>
      <c r="AC837" s="2">
        <v>403</v>
      </c>
      <c r="AD837" s="2">
        <v>13</v>
      </c>
      <c r="AE837" s="2">
        <v>0.1</v>
      </c>
      <c r="AF837" s="2" t="str" cm="1">
        <f t="array" ref="AF837">_xlfn.IFS(AE837=0, "No Discount ", AE837&lt;=0.08,"Low Discount", AE837&lt;=0.16,"Medium Discount", AE837&gt;0.16, "High Discount")</f>
        <v>Medium Discount</v>
      </c>
      <c r="AG837" s="2">
        <v>62035</v>
      </c>
      <c r="AH837" s="2">
        <v>129.99</v>
      </c>
      <c r="AI837" s="2">
        <v>0.1</v>
      </c>
      <c r="AJ837" s="2" t="str" cm="1">
        <f t="array" ref="AJ837">_xlfn.IFS(AI837&lt;=0, "No Profit", AI837&lt;=0.16,"Low Profit",AI837&lt;=0.32,"Medium Profit",AI837&gt;0.32,"High Profit")</f>
        <v>Low Profit</v>
      </c>
      <c r="AK837" s="2">
        <v>1</v>
      </c>
      <c r="AL837" s="2">
        <v>129.99</v>
      </c>
      <c r="AM837" s="2">
        <v>116.99</v>
      </c>
      <c r="AN837" s="2">
        <v>11.7</v>
      </c>
      <c r="AO837" s="2" t="s">
        <v>145</v>
      </c>
      <c r="AP837" s="2" t="s">
        <v>3413</v>
      </c>
      <c r="AQ837" s="2" t="s">
        <v>80</v>
      </c>
      <c r="AR837" s="2" t="s">
        <v>81</v>
      </c>
      <c r="AS837" s="2">
        <v>403</v>
      </c>
      <c r="AT837" s="2">
        <v>18</v>
      </c>
      <c r="AU837" s="2" t="s">
        <v>869</v>
      </c>
      <c r="AV837" s="2">
        <v>129.99</v>
      </c>
      <c r="AW837" s="2">
        <v>0</v>
      </c>
      <c r="AX837" s="3">
        <v>42401.481944444444</v>
      </c>
      <c r="AY837" s="2" t="s">
        <v>83</v>
      </c>
      <c r="AZ837" s="4">
        <v>42366</v>
      </c>
      <c r="BA837" s="5">
        <v>0.48194444444444445</v>
      </c>
      <c r="BB837" s="2">
        <v>2015</v>
      </c>
      <c r="BC837" s="2" t="s">
        <v>357</v>
      </c>
      <c r="BD837" s="2">
        <v>28</v>
      </c>
      <c r="BE837" s="4">
        <v>42401</v>
      </c>
      <c r="BF837" s="5">
        <v>0.48194444444444445</v>
      </c>
      <c r="BG837" s="2" t="str" cm="1">
        <f t="array" ref="BG837">_xlfn.IFS(BF837&lt;TIMEVALUE("06:00"),"Night", BF837&gt;=TIMEVALUE("21:00"),"Night",BF837&gt;=TIMEVALUE("17:00"),"Evening",BF837&gt;=TIMEVALUE("12:00"),"Afternoon", BF837&gt;=TIMEVALUE("06:00"),"Morning")</f>
        <v>Morning</v>
      </c>
      <c r="BH837" s="2">
        <v>2016</v>
      </c>
      <c r="BI837" s="2" t="s">
        <v>423</v>
      </c>
      <c r="BJ837" s="2">
        <v>1</v>
      </c>
    </row>
    <row r="838" spans="1:62" x14ac:dyDescent="0.3">
      <c r="A838" s="2" t="s">
        <v>62</v>
      </c>
      <c r="B838" s="2">
        <v>3</v>
      </c>
      <c r="C838" s="2">
        <v>4</v>
      </c>
      <c r="D838" s="2">
        <v>40.950000000000003</v>
      </c>
      <c r="E838" s="2">
        <v>116.99</v>
      </c>
      <c r="F838" s="2" t="s">
        <v>63</v>
      </c>
      <c r="G838" s="2" t="s">
        <v>64</v>
      </c>
      <c r="H838" s="2">
        <v>18</v>
      </c>
      <c r="I838" s="2" t="s">
        <v>863</v>
      </c>
      <c r="J838" s="2" t="s">
        <v>1576</v>
      </c>
      <c r="K838" s="2" t="s">
        <v>102</v>
      </c>
      <c r="L838" s="2" t="s">
        <v>1094</v>
      </c>
      <c r="M838" s="2">
        <v>12038</v>
      </c>
      <c r="N838" s="2" t="s">
        <v>425</v>
      </c>
      <c r="O838" s="2" t="s">
        <v>124</v>
      </c>
      <c r="P838" s="2" t="s">
        <v>152</v>
      </c>
      <c r="Q838" s="2" t="s">
        <v>3461</v>
      </c>
      <c r="R838" s="2">
        <v>33312</v>
      </c>
      <c r="S838" s="2">
        <v>4</v>
      </c>
      <c r="T838" s="2" t="s">
        <v>417</v>
      </c>
      <c r="U838" s="2">
        <v>26.118034399999999</v>
      </c>
      <c r="V838" s="2">
        <v>-80.1894913</v>
      </c>
      <c r="W838" s="2" t="s">
        <v>74</v>
      </c>
      <c r="X838" s="2" t="s">
        <v>3462</v>
      </c>
      <c r="Y838" s="2" t="s">
        <v>143</v>
      </c>
      <c r="Z838" s="2">
        <v>12038</v>
      </c>
      <c r="AA838" s="2" t="s">
        <v>3463</v>
      </c>
      <c r="AB838" s="2">
        <v>21907</v>
      </c>
      <c r="AC838" s="2">
        <v>403</v>
      </c>
      <c r="AD838" s="2">
        <v>13</v>
      </c>
      <c r="AE838" s="2">
        <v>0.1</v>
      </c>
      <c r="AF838" s="2" t="str" cm="1">
        <f t="array" ref="AF838">_xlfn.IFS(AE838=0, "No Discount ", AE838&lt;=0.08,"Low Discount", AE838&lt;=0.16,"Medium Discount", AE838&gt;0.16, "High Discount")</f>
        <v>Medium Discount</v>
      </c>
      <c r="AG838" s="2">
        <v>54795</v>
      </c>
      <c r="AH838" s="2">
        <v>129.99</v>
      </c>
      <c r="AI838" s="2">
        <v>0.35</v>
      </c>
      <c r="AJ838" s="2" t="str" cm="1">
        <f t="array" ref="AJ838">_xlfn.IFS(AI838&lt;=0, "No Profit", AI838&lt;=0.16,"Low Profit",AI838&lt;=0.32,"Medium Profit",AI838&gt;0.32,"High Profit")</f>
        <v>High Profit</v>
      </c>
      <c r="AK838" s="2">
        <v>1</v>
      </c>
      <c r="AL838" s="2">
        <v>129.99</v>
      </c>
      <c r="AM838" s="2">
        <v>116.99</v>
      </c>
      <c r="AN838" s="2">
        <v>40.950000000000003</v>
      </c>
      <c r="AO838" s="2" t="s">
        <v>145</v>
      </c>
      <c r="AP838" s="2" t="s">
        <v>3462</v>
      </c>
      <c r="AQ838" s="2" t="s">
        <v>80</v>
      </c>
      <c r="AR838" s="2" t="s">
        <v>81</v>
      </c>
      <c r="AS838" s="2">
        <v>403</v>
      </c>
      <c r="AT838" s="2">
        <v>18</v>
      </c>
      <c r="AU838" s="2" t="s">
        <v>869</v>
      </c>
      <c r="AV838" s="2">
        <v>129.99</v>
      </c>
      <c r="AW838" s="2">
        <v>0</v>
      </c>
      <c r="AX838" s="2" t="s">
        <v>3464</v>
      </c>
      <c r="AY838" s="2" t="s">
        <v>83</v>
      </c>
      <c r="AZ838" s="4">
        <v>42324</v>
      </c>
      <c r="BA838" s="5">
        <v>0.77638888888888891</v>
      </c>
      <c r="BB838" s="2">
        <v>2015</v>
      </c>
      <c r="BC838" s="2" t="s">
        <v>455</v>
      </c>
      <c r="BD838" s="2">
        <v>16</v>
      </c>
      <c r="BE838" s="4">
        <v>42327</v>
      </c>
      <c r="BF838" s="5">
        <v>0.77638888888888891</v>
      </c>
      <c r="BG838" s="2" t="str" cm="1">
        <f t="array" ref="BG838">_xlfn.IFS(BF838&lt;TIMEVALUE("06:00"),"Night", BF838&gt;=TIMEVALUE("21:00"),"Night",BF838&gt;=TIMEVALUE("17:00"),"Evening",BF838&gt;=TIMEVALUE("12:00"),"Afternoon", BF838&gt;=TIMEVALUE("06:00"),"Morning")</f>
        <v>Evening</v>
      </c>
      <c r="BH838" s="2">
        <v>2015</v>
      </c>
      <c r="BI838" s="2" t="s">
        <v>455</v>
      </c>
      <c r="BJ838" s="2">
        <v>19</v>
      </c>
    </row>
    <row r="839" spans="1:62" x14ac:dyDescent="0.3">
      <c r="A839" s="2" t="s">
        <v>62</v>
      </c>
      <c r="B839" s="2">
        <v>3</v>
      </c>
      <c r="C839" s="2">
        <v>4</v>
      </c>
      <c r="D839" s="2">
        <v>85.39</v>
      </c>
      <c r="E839" s="2">
        <v>189.77</v>
      </c>
      <c r="F839" s="2" t="s">
        <v>63</v>
      </c>
      <c r="G839" s="2" t="s">
        <v>64</v>
      </c>
      <c r="H839" s="2">
        <v>70</v>
      </c>
      <c r="I839" s="2" t="s">
        <v>1560</v>
      </c>
      <c r="J839" s="2" t="s">
        <v>3465</v>
      </c>
      <c r="K839" s="2" t="s">
        <v>102</v>
      </c>
      <c r="L839" s="2" t="s">
        <v>3466</v>
      </c>
      <c r="M839" s="2">
        <v>15995</v>
      </c>
      <c r="N839" s="2" t="s">
        <v>3467</v>
      </c>
      <c r="O839" s="2" t="s">
        <v>124</v>
      </c>
      <c r="P839" s="2" t="s">
        <v>3468</v>
      </c>
      <c r="Q839" s="2" t="s">
        <v>3469</v>
      </c>
      <c r="R839" s="2">
        <v>89030</v>
      </c>
      <c r="S839" s="2">
        <v>4</v>
      </c>
      <c r="T839" s="2" t="s">
        <v>417</v>
      </c>
      <c r="U839" s="2">
        <v>36.247997300000002</v>
      </c>
      <c r="V839" s="2">
        <v>-115.0415192</v>
      </c>
      <c r="W839" s="2" t="s">
        <v>74</v>
      </c>
      <c r="X839" s="2" t="s">
        <v>1416</v>
      </c>
      <c r="Y839" s="2" t="s">
        <v>116</v>
      </c>
      <c r="Z839" s="2">
        <v>15995</v>
      </c>
      <c r="AA839" s="2" t="s">
        <v>3470</v>
      </c>
      <c r="AB839" s="2">
        <v>72442</v>
      </c>
      <c r="AC839" s="2">
        <v>1357</v>
      </c>
      <c r="AD839" s="2">
        <v>21.09</v>
      </c>
      <c r="AE839" s="2">
        <v>0.1</v>
      </c>
      <c r="AF839" s="2" t="str" cm="1">
        <f t="array" ref="AF839">_xlfn.IFS(AE839=0, "No Discount ", AE839&lt;=0.08,"Low Discount", AE839&lt;=0.16,"Medium Discount", AE839&gt;0.16, "High Discount")</f>
        <v>Medium Discount</v>
      </c>
      <c r="AG839" s="2">
        <v>175757</v>
      </c>
      <c r="AH839" s="2">
        <v>210.85</v>
      </c>
      <c r="AI839" s="2">
        <v>0.45</v>
      </c>
      <c r="AJ839" s="2" t="str" cm="1">
        <f t="array" ref="AJ839">_xlfn.IFS(AI839&lt;=0, "No Profit", AI839&lt;=0.16,"Low Profit",AI839&lt;=0.32,"Medium Profit",AI839&gt;0.32,"High Profit")</f>
        <v>High Profit</v>
      </c>
      <c r="AK839" s="2">
        <v>1</v>
      </c>
      <c r="AL839" s="2">
        <v>210.85</v>
      </c>
      <c r="AM839" s="2">
        <v>189.77</v>
      </c>
      <c r="AN839" s="2">
        <v>85.39</v>
      </c>
      <c r="AO839" s="2" t="s">
        <v>118</v>
      </c>
      <c r="AP839" s="2" t="s">
        <v>275</v>
      </c>
      <c r="AQ839" s="2" t="s">
        <v>80</v>
      </c>
      <c r="AR839" s="2" t="s">
        <v>81</v>
      </c>
      <c r="AS839" s="2">
        <v>1357</v>
      </c>
      <c r="AT839" s="2">
        <v>70</v>
      </c>
      <c r="AU839" s="2" t="s">
        <v>1567</v>
      </c>
      <c r="AV839" s="2">
        <v>210.85</v>
      </c>
      <c r="AW839" s="2">
        <v>0</v>
      </c>
      <c r="AX839" s="2" t="s">
        <v>3471</v>
      </c>
      <c r="AY839" s="2" t="s">
        <v>83</v>
      </c>
      <c r="AZ839" s="4">
        <v>43062</v>
      </c>
      <c r="BA839" s="5">
        <v>0.47083333333333333</v>
      </c>
      <c r="BB839" s="2">
        <v>2017</v>
      </c>
      <c r="BC839" s="2" t="s">
        <v>455</v>
      </c>
      <c r="BD839" s="2">
        <v>23</v>
      </c>
      <c r="BE839" s="4">
        <v>43065</v>
      </c>
      <c r="BF839" s="5">
        <v>0.47083333333333333</v>
      </c>
      <c r="BG839" s="2" t="str" cm="1">
        <f t="array" ref="BG839">_xlfn.IFS(BF839&lt;TIMEVALUE("06:00"),"Night", BF839&gt;=TIMEVALUE("21:00"),"Night",BF839&gt;=TIMEVALUE("17:00"),"Evening",BF839&gt;=TIMEVALUE("12:00"),"Afternoon", BF839&gt;=TIMEVALUE("06:00"),"Morning")</f>
        <v>Morning</v>
      </c>
      <c r="BH839" s="2">
        <v>2017</v>
      </c>
      <c r="BI839" s="2" t="s">
        <v>455</v>
      </c>
      <c r="BJ839" s="2">
        <v>26</v>
      </c>
    </row>
    <row r="840" spans="1:62" x14ac:dyDescent="0.3">
      <c r="A840" s="2" t="s">
        <v>62</v>
      </c>
      <c r="B840" s="2">
        <v>3</v>
      </c>
      <c r="C840" s="2">
        <v>4</v>
      </c>
      <c r="D840" s="2">
        <v>54.99</v>
      </c>
      <c r="E840" s="2">
        <v>116.99</v>
      </c>
      <c r="F840" s="2" t="s">
        <v>63</v>
      </c>
      <c r="G840" s="2" t="s">
        <v>64</v>
      </c>
      <c r="H840" s="2">
        <v>18</v>
      </c>
      <c r="I840" s="2" t="s">
        <v>863</v>
      </c>
      <c r="J840" s="2" t="s">
        <v>2186</v>
      </c>
      <c r="K840" s="2" t="s">
        <v>102</v>
      </c>
      <c r="L840" s="2" t="s">
        <v>3430</v>
      </c>
      <c r="M840" s="2">
        <v>4807</v>
      </c>
      <c r="N840" s="2" t="s">
        <v>1868</v>
      </c>
      <c r="O840" s="2" t="s">
        <v>124</v>
      </c>
      <c r="P840" s="2" t="s">
        <v>105</v>
      </c>
      <c r="Q840" s="2" t="s">
        <v>3431</v>
      </c>
      <c r="R840" s="2">
        <v>92691</v>
      </c>
      <c r="S840" s="2">
        <v>4</v>
      </c>
      <c r="T840" s="2" t="s">
        <v>417</v>
      </c>
      <c r="U840" s="2">
        <v>33.621048000000002</v>
      </c>
      <c r="V840" s="2">
        <v>-117.6759186</v>
      </c>
      <c r="W840" s="2" t="s">
        <v>74</v>
      </c>
      <c r="X840" s="2" t="s">
        <v>1316</v>
      </c>
      <c r="Y840" s="2" t="s">
        <v>116</v>
      </c>
      <c r="Z840" s="2">
        <v>4807</v>
      </c>
      <c r="AA840" s="3">
        <v>42462.334027777775</v>
      </c>
      <c r="AB840" s="2">
        <v>27357</v>
      </c>
      <c r="AC840" s="2">
        <v>403</v>
      </c>
      <c r="AD840" s="2">
        <v>13</v>
      </c>
      <c r="AE840" s="2">
        <v>0.1</v>
      </c>
      <c r="AF840" s="2" t="str" cm="1">
        <f t="array" ref="AF840">_xlfn.IFS(AE840=0, "No Discount ", AE840&lt;=0.08,"Low Discount", AE840&lt;=0.16,"Medium Discount", AE840&gt;0.16, "High Discount")</f>
        <v>Medium Discount</v>
      </c>
      <c r="AG840" s="2">
        <v>68506</v>
      </c>
      <c r="AH840" s="2">
        <v>129.99</v>
      </c>
      <c r="AI840" s="2">
        <v>0.47</v>
      </c>
      <c r="AJ840" s="2" t="str" cm="1">
        <f t="array" ref="AJ840">_xlfn.IFS(AI840&lt;=0, "No Profit", AI840&lt;=0.16,"Low Profit",AI840&lt;=0.32,"Medium Profit",AI840&gt;0.32,"High Profit")</f>
        <v>High Profit</v>
      </c>
      <c r="AK840" s="2">
        <v>1</v>
      </c>
      <c r="AL840" s="2">
        <v>129.99</v>
      </c>
      <c r="AM840" s="2">
        <v>116.99</v>
      </c>
      <c r="AN840" s="2">
        <v>54.99</v>
      </c>
      <c r="AO840" s="2" t="s">
        <v>118</v>
      </c>
      <c r="AP840" s="2" t="s">
        <v>355</v>
      </c>
      <c r="AQ840" s="2" t="s">
        <v>80</v>
      </c>
      <c r="AR840" s="2" t="s">
        <v>81</v>
      </c>
      <c r="AS840" s="2">
        <v>403</v>
      </c>
      <c r="AT840" s="2">
        <v>18</v>
      </c>
      <c r="AU840" s="2" t="s">
        <v>869</v>
      </c>
      <c r="AV840" s="2">
        <v>129.99</v>
      </c>
      <c r="AW840" s="2">
        <v>0</v>
      </c>
      <c r="AX840" s="3">
        <v>42553.334027777775</v>
      </c>
      <c r="AY840" s="2" t="s">
        <v>83</v>
      </c>
      <c r="AZ840" s="4">
        <v>42462</v>
      </c>
      <c r="BA840" s="5">
        <v>0.33402777777777776</v>
      </c>
      <c r="BB840" s="2">
        <v>2016</v>
      </c>
      <c r="BC840" s="2" t="s">
        <v>487</v>
      </c>
      <c r="BD840" s="2">
        <v>2</v>
      </c>
      <c r="BE840" s="4">
        <v>42553</v>
      </c>
      <c r="BF840" s="5">
        <v>0.33402777777777776</v>
      </c>
      <c r="BG840" s="2" t="str" cm="1">
        <f t="array" ref="BG840">_xlfn.IFS(BF840&lt;TIMEVALUE("06:00"),"Night", BF840&gt;=TIMEVALUE("21:00"),"Night",BF840&gt;=TIMEVALUE("17:00"),"Evening",BF840&gt;=TIMEVALUE("12:00"),"Afternoon", BF840&gt;=TIMEVALUE("06:00"),"Morning")</f>
        <v>Morning</v>
      </c>
      <c r="BH840" s="2">
        <v>2016</v>
      </c>
      <c r="BI840" s="2" t="s">
        <v>533</v>
      </c>
      <c r="BJ840" s="2">
        <v>2</v>
      </c>
    </row>
    <row r="841" spans="1:62" x14ac:dyDescent="0.3">
      <c r="A841" s="2" t="s">
        <v>62</v>
      </c>
      <c r="B841" s="2">
        <v>2</v>
      </c>
      <c r="C841" s="2">
        <v>4</v>
      </c>
      <c r="D841" s="2">
        <v>38.61</v>
      </c>
      <c r="E841" s="2">
        <v>116.99</v>
      </c>
      <c r="F841" s="2" t="s">
        <v>63</v>
      </c>
      <c r="G841" s="2" t="s">
        <v>64</v>
      </c>
      <c r="H841" s="2">
        <v>18</v>
      </c>
      <c r="I841" s="2" t="s">
        <v>863</v>
      </c>
      <c r="J841" s="2" t="s">
        <v>337</v>
      </c>
      <c r="K841" s="2" t="s">
        <v>102</v>
      </c>
      <c r="L841" s="2" t="s">
        <v>3304</v>
      </c>
      <c r="M841" s="2">
        <v>10291</v>
      </c>
      <c r="N841" s="2" t="s">
        <v>425</v>
      </c>
      <c r="O841" s="2" t="s">
        <v>124</v>
      </c>
      <c r="P841" s="2" t="s">
        <v>1271</v>
      </c>
      <c r="Q841" s="2" t="s">
        <v>3472</v>
      </c>
      <c r="R841" s="2">
        <v>80013</v>
      </c>
      <c r="S841" s="2">
        <v>4</v>
      </c>
      <c r="T841" s="2" t="s">
        <v>417</v>
      </c>
      <c r="U841" s="2">
        <v>39.495914499999998</v>
      </c>
      <c r="V841" s="2">
        <v>-98.989982600000005</v>
      </c>
      <c r="W841" s="2" t="s">
        <v>74</v>
      </c>
      <c r="X841" s="2" t="s">
        <v>439</v>
      </c>
      <c r="Y841" s="2" t="s">
        <v>116</v>
      </c>
      <c r="Z841" s="2">
        <v>10291</v>
      </c>
      <c r="AA841" s="2" t="s">
        <v>3473</v>
      </c>
      <c r="AB841" s="2">
        <v>21966</v>
      </c>
      <c r="AC841" s="2">
        <v>403</v>
      </c>
      <c r="AD841" s="2">
        <v>13</v>
      </c>
      <c r="AE841" s="2">
        <v>0.1</v>
      </c>
      <c r="AF841" s="2" t="str" cm="1">
        <f t="array" ref="AF841">_xlfn.IFS(AE841=0, "No Discount ", AE841&lt;=0.08,"Low Discount", AE841&lt;=0.16,"Medium Discount", AE841&gt;0.16, "High Discount")</f>
        <v>Medium Discount</v>
      </c>
      <c r="AG841" s="2">
        <v>54942</v>
      </c>
      <c r="AH841" s="2">
        <v>129.99</v>
      </c>
      <c r="AI841" s="2">
        <v>0.33</v>
      </c>
      <c r="AJ841" s="2" t="str" cm="1">
        <f t="array" ref="AJ841">_xlfn.IFS(AI841&lt;=0, "No Profit", AI841&lt;=0.16,"Low Profit",AI841&lt;=0.32,"Medium Profit",AI841&gt;0.32,"High Profit")</f>
        <v>High Profit</v>
      </c>
      <c r="AK841" s="2">
        <v>1</v>
      </c>
      <c r="AL841" s="2">
        <v>129.99</v>
      </c>
      <c r="AM841" s="2">
        <v>116.99</v>
      </c>
      <c r="AN841" s="2">
        <v>38.61</v>
      </c>
      <c r="AO841" s="2" t="s">
        <v>118</v>
      </c>
      <c r="AP841" s="2" t="s">
        <v>441</v>
      </c>
      <c r="AQ841" s="2" t="s">
        <v>80</v>
      </c>
      <c r="AR841" s="2" t="s">
        <v>81</v>
      </c>
      <c r="AS841" s="2">
        <v>403</v>
      </c>
      <c r="AT841" s="2">
        <v>18</v>
      </c>
      <c r="AU841" s="2" t="s">
        <v>869</v>
      </c>
      <c r="AV841" s="2">
        <v>129.99</v>
      </c>
      <c r="AW841" s="2">
        <v>0</v>
      </c>
      <c r="AX841" s="2" t="s">
        <v>3474</v>
      </c>
      <c r="AY841" s="2" t="s">
        <v>83</v>
      </c>
      <c r="AZ841" s="4">
        <v>42325</v>
      </c>
      <c r="BA841" s="5">
        <v>0.6381944444444444</v>
      </c>
      <c r="BB841" s="2">
        <v>2015</v>
      </c>
      <c r="BC841" s="2" t="s">
        <v>455</v>
      </c>
      <c r="BD841" s="2">
        <v>17</v>
      </c>
      <c r="BE841" s="4">
        <v>42327</v>
      </c>
      <c r="BF841" s="5">
        <v>0.6381944444444444</v>
      </c>
      <c r="BG841" s="2" t="str" cm="1">
        <f t="array" ref="BG841">_xlfn.IFS(BF841&lt;TIMEVALUE("06:00"),"Night", BF841&gt;=TIMEVALUE("21:00"),"Night",BF841&gt;=TIMEVALUE("17:00"),"Evening",BF841&gt;=TIMEVALUE("12:00"),"Afternoon", BF841&gt;=TIMEVALUE("06:00"),"Morning")</f>
        <v>Afternoon</v>
      </c>
      <c r="BH841" s="2">
        <v>2015</v>
      </c>
      <c r="BI841" s="2" t="s">
        <v>455</v>
      </c>
      <c r="BJ841" s="2">
        <v>19</v>
      </c>
    </row>
    <row r="842" spans="1:62" x14ac:dyDescent="0.3">
      <c r="A842" s="2" t="s">
        <v>62</v>
      </c>
      <c r="B842" s="2">
        <v>5</v>
      </c>
      <c r="C842" s="2">
        <v>4</v>
      </c>
      <c r="D842" s="2">
        <v>33.93</v>
      </c>
      <c r="E842" s="2">
        <v>116.99</v>
      </c>
      <c r="F842" s="2" t="s">
        <v>87</v>
      </c>
      <c r="G842" s="2" t="s">
        <v>88</v>
      </c>
      <c r="H842" s="2">
        <v>18</v>
      </c>
      <c r="I842" s="2" t="s">
        <v>863</v>
      </c>
      <c r="J842" s="2" t="s">
        <v>3475</v>
      </c>
      <c r="K842" s="2" t="s">
        <v>102</v>
      </c>
      <c r="L842" s="2" t="s">
        <v>414</v>
      </c>
      <c r="M842" s="2">
        <v>1293</v>
      </c>
      <c r="N842" s="2" t="s">
        <v>1639</v>
      </c>
      <c r="O842" s="2" t="s">
        <v>124</v>
      </c>
      <c r="P842" s="2" t="s">
        <v>201</v>
      </c>
      <c r="Q842" s="2" t="s">
        <v>3476</v>
      </c>
      <c r="R842" s="2">
        <v>1844</v>
      </c>
      <c r="S842" s="2">
        <v>4</v>
      </c>
      <c r="T842" s="2" t="s">
        <v>417</v>
      </c>
      <c r="U842" s="2">
        <v>42.723968499999998</v>
      </c>
      <c r="V842" s="2">
        <v>-71.184768700000006</v>
      </c>
      <c r="W842" s="2" t="s">
        <v>74</v>
      </c>
      <c r="X842" s="2" t="s">
        <v>1334</v>
      </c>
      <c r="Y842" s="2" t="s">
        <v>116</v>
      </c>
      <c r="Z842" s="2">
        <v>1293</v>
      </c>
      <c r="AA842" s="2" t="s">
        <v>3477</v>
      </c>
      <c r="AB842" s="2">
        <v>31169</v>
      </c>
      <c r="AC842" s="2">
        <v>403</v>
      </c>
      <c r="AD842" s="2">
        <v>13</v>
      </c>
      <c r="AE842" s="2">
        <v>0.1</v>
      </c>
      <c r="AF842" s="2" t="str" cm="1">
        <f t="array" ref="AF842">_xlfn.IFS(AE842=0, "No Discount ", AE842&lt;=0.08,"Low Discount", AE842&lt;=0.16,"Medium Discount", AE842&gt;0.16, "High Discount")</f>
        <v>Medium Discount</v>
      </c>
      <c r="AG842" s="2">
        <v>77900</v>
      </c>
      <c r="AH842" s="2">
        <v>129.99</v>
      </c>
      <c r="AI842" s="2">
        <v>0.28999999999999998</v>
      </c>
      <c r="AJ842" s="2" t="str" cm="1">
        <f t="array" ref="AJ842">_xlfn.IFS(AI842&lt;=0, "No Profit", AI842&lt;=0.16,"Low Profit",AI842&lt;=0.32,"Medium Profit",AI842&gt;0.32,"High Profit")</f>
        <v>Medium Profit</v>
      </c>
      <c r="AK842" s="2">
        <v>1</v>
      </c>
      <c r="AL842" s="2">
        <v>129.99</v>
      </c>
      <c r="AM842" s="2">
        <v>116.99</v>
      </c>
      <c r="AN842" s="2">
        <v>33.93</v>
      </c>
      <c r="AO842" s="2" t="s">
        <v>118</v>
      </c>
      <c r="AP842" s="2" t="s">
        <v>119</v>
      </c>
      <c r="AQ842" s="2" t="s">
        <v>80</v>
      </c>
      <c r="AR842" s="2" t="s">
        <v>81</v>
      </c>
      <c r="AS842" s="2">
        <v>403</v>
      </c>
      <c r="AT842" s="2">
        <v>18</v>
      </c>
      <c r="AU842" s="2" t="s">
        <v>869</v>
      </c>
      <c r="AV842" s="2">
        <v>129.99</v>
      </c>
      <c r="AW842" s="2">
        <v>0</v>
      </c>
      <c r="AX842" s="3">
        <v>42464.980555555558</v>
      </c>
      <c r="AY842" s="2" t="s">
        <v>83</v>
      </c>
      <c r="AZ842" s="4">
        <v>42459</v>
      </c>
      <c r="BA842" s="5">
        <v>0.98055555555555551</v>
      </c>
      <c r="BB842" s="2">
        <v>2016</v>
      </c>
      <c r="BC842" s="2" t="s">
        <v>85</v>
      </c>
      <c r="BD842" s="2">
        <v>30</v>
      </c>
      <c r="BE842" s="4">
        <v>42464</v>
      </c>
      <c r="BF842" s="5">
        <v>0.98055555555555551</v>
      </c>
      <c r="BG842" s="2" t="str" cm="1">
        <f t="array" ref="BG842">_xlfn.IFS(BF842&lt;TIMEVALUE("06:00"),"Night", BF842&gt;=TIMEVALUE("21:00"),"Night",BF842&gt;=TIMEVALUE("17:00"),"Evening",BF842&gt;=TIMEVALUE("12:00"),"Afternoon", BF842&gt;=TIMEVALUE("06:00"),"Morning")</f>
        <v>Night</v>
      </c>
      <c r="BH842" s="2">
        <v>2016</v>
      </c>
      <c r="BI842" s="2" t="s">
        <v>487</v>
      </c>
      <c r="BJ842" s="2">
        <v>4</v>
      </c>
    </row>
    <row r="843" spans="1:62" x14ac:dyDescent="0.3">
      <c r="A843" s="2" t="s">
        <v>62</v>
      </c>
      <c r="B843" s="2">
        <v>2</v>
      </c>
      <c r="C843" s="2">
        <v>4</v>
      </c>
      <c r="D843" s="2">
        <v>15.66</v>
      </c>
      <c r="E843" s="2">
        <v>53.99</v>
      </c>
      <c r="F843" s="2" t="s">
        <v>63</v>
      </c>
      <c r="G843" s="2" t="s">
        <v>64</v>
      </c>
      <c r="H843" s="2">
        <v>17</v>
      </c>
      <c r="I843" s="2" t="s">
        <v>412</v>
      </c>
      <c r="J843" s="2" t="s">
        <v>3478</v>
      </c>
      <c r="K843" s="2" t="s">
        <v>102</v>
      </c>
      <c r="L843" s="2" t="s">
        <v>786</v>
      </c>
      <c r="M843" s="2">
        <v>6961</v>
      </c>
      <c r="N843" s="2" t="s">
        <v>2151</v>
      </c>
      <c r="O843" s="2" t="s">
        <v>124</v>
      </c>
      <c r="P843" s="2" t="s">
        <v>105</v>
      </c>
      <c r="Q843" s="2" t="s">
        <v>3479</v>
      </c>
      <c r="R843" s="2">
        <v>92627</v>
      </c>
      <c r="S843" s="2">
        <v>4</v>
      </c>
      <c r="T843" s="2" t="s">
        <v>417</v>
      </c>
      <c r="U843" s="2">
        <v>33.642261499999996</v>
      </c>
      <c r="V843" s="2">
        <v>-117.9133224</v>
      </c>
      <c r="W843" s="2" t="s">
        <v>74</v>
      </c>
      <c r="X843" s="2" t="s">
        <v>3480</v>
      </c>
      <c r="Y843" s="2" t="s">
        <v>93</v>
      </c>
      <c r="Z843" s="2">
        <v>6961</v>
      </c>
      <c r="AA843" s="2" t="s">
        <v>3481</v>
      </c>
      <c r="AB843" s="2">
        <v>21906</v>
      </c>
      <c r="AC843" s="2">
        <v>365</v>
      </c>
      <c r="AD843" s="2">
        <v>6</v>
      </c>
      <c r="AE843" s="2">
        <v>0.1</v>
      </c>
      <c r="AF843" s="2" t="str" cm="1">
        <f t="array" ref="AF843">_xlfn.IFS(AE843=0, "No Discount ", AE843&lt;=0.08,"Low Discount", AE843&lt;=0.16,"Medium Discount", AE843&gt;0.16, "High Discount")</f>
        <v>Medium Discount</v>
      </c>
      <c r="AG843" s="2">
        <v>54790</v>
      </c>
      <c r="AH843" s="2">
        <v>59.99</v>
      </c>
      <c r="AI843" s="2">
        <v>0.28999999999999998</v>
      </c>
      <c r="AJ843" s="2" t="str" cm="1">
        <f t="array" ref="AJ843">_xlfn.IFS(AI843&lt;=0, "No Profit", AI843&lt;=0.16,"Low Profit",AI843&lt;=0.32,"Medium Profit",AI843&gt;0.32,"High Profit")</f>
        <v>Medium Profit</v>
      </c>
      <c r="AK843" s="2">
        <v>1</v>
      </c>
      <c r="AL843" s="2">
        <v>59.99</v>
      </c>
      <c r="AM843" s="2">
        <v>53.99</v>
      </c>
      <c r="AN843" s="2">
        <v>15.66</v>
      </c>
      <c r="AO843" s="2" t="s">
        <v>95</v>
      </c>
      <c r="AP843" s="2" t="s">
        <v>196</v>
      </c>
      <c r="AQ843" s="2" t="s">
        <v>80</v>
      </c>
      <c r="AR843" s="2" t="s">
        <v>81</v>
      </c>
      <c r="AS843" s="2">
        <v>365</v>
      </c>
      <c r="AT843" s="2">
        <v>17</v>
      </c>
      <c r="AU843" s="2" t="s">
        <v>421</v>
      </c>
      <c r="AV843" s="2">
        <v>59.99</v>
      </c>
      <c r="AW843" s="2">
        <v>0</v>
      </c>
      <c r="AX843" s="2" t="s">
        <v>3482</v>
      </c>
      <c r="AY843" s="2" t="s">
        <v>83</v>
      </c>
      <c r="AZ843" s="4">
        <v>42324</v>
      </c>
      <c r="BA843" s="5">
        <v>0.76180555555555551</v>
      </c>
      <c r="BB843" s="2">
        <v>2015</v>
      </c>
      <c r="BC843" s="2" t="s">
        <v>455</v>
      </c>
      <c r="BD843" s="2">
        <v>16</v>
      </c>
      <c r="BE843" s="4">
        <v>42326</v>
      </c>
      <c r="BF843" s="5">
        <v>0.76180555555555551</v>
      </c>
      <c r="BG843" s="2" t="str" cm="1">
        <f t="array" ref="BG843">_xlfn.IFS(BF843&lt;TIMEVALUE("06:00"),"Night", BF843&gt;=TIMEVALUE("21:00"),"Night",BF843&gt;=TIMEVALUE("17:00"),"Evening",BF843&gt;=TIMEVALUE("12:00"),"Afternoon", BF843&gt;=TIMEVALUE("06:00"),"Morning")</f>
        <v>Evening</v>
      </c>
      <c r="BH843" s="2">
        <v>2015</v>
      </c>
      <c r="BI843" s="2" t="s">
        <v>455</v>
      </c>
      <c r="BJ843" s="2">
        <v>18</v>
      </c>
    </row>
    <row r="844" spans="1:62" x14ac:dyDescent="0.3">
      <c r="A844" s="2" t="s">
        <v>62</v>
      </c>
      <c r="B844" s="2">
        <v>6</v>
      </c>
      <c r="C844" s="2">
        <v>4</v>
      </c>
      <c r="D844" s="2">
        <v>71.16</v>
      </c>
      <c r="E844" s="2">
        <v>189.77</v>
      </c>
      <c r="F844" s="2" t="s">
        <v>87</v>
      </c>
      <c r="G844" s="2" t="s">
        <v>88</v>
      </c>
      <c r="H844" s="2">
        <v>70</v>
      </c>
      <c r="I844" s="2" t="s">
        <v>1560</v>
      </c>
      <c r="J844" s="2" t="s">
        <v>1460</v>
      </c>
      <c r="K844" s="2" t="s">
        <v>102</v>
      </c>
      <c r="L844" s="2" t="s">
        <v>3483</v>
      </c>
      <c r="M844" s="2">
        <v>16013</v>
      </c>
      <c r="N844" s="2" t="s">
        <v>3484</v>
      </c>
      <c r="O844" s="2" t="s">
        <v>124</v>
      </c>
      <c r="P844" s="2" t="s">
        <v>234</v>
      </c>
      <c r="Q844" s="2" t="s">
        <v>3485</v>
      </c>
      <c r="R844" s="2">
        <v>60649</v>
      </c>
      <c r="S844" s="2">
        <v>4</v>
      </c>
      <c r="T844" s="2" t="s">
        <v>417</v>
      </c>
      <c r="U844" s="2">
        <v>41.7590942</v>
      </c>
      <c r="V844" s="2">
        <v>-87.561767599999996</v>
      </c>
      <c r="W844" s="2" t="s">
        <v>74</v>
      </c>
      <c r="X844" s="2" t="s">
        <v>3486</v>
      </c>
      <c r="Y844" s="2" t="s">
        <v>93</v>
      </c>
      <c r="Z844" s="2">
        <v>16013</v>
      </c>
      <c r="AA844" s="2" t="s">
        <v>3487</v>
      </c>
      <c r="AB844" s="2">
        <v>72460</v>
      </c>
      <c r="AC844" s="2">
        <v>1357</v>
      </c>
      <c r="AD844" s="2">
        <v>21.09</v>
      </c>
      <c r="AE844" s="2">
        <v>0.1</v>
      </c>
      <c r="AF844" s="2" t="str" cm="1">
        <f t="array" ref="AF844">_xlfn.IFS(AE844=0, "No Discount ", AE844&lt;=0.08,"Low Discount", AE844&lt;=0.16,"Medium Discount", AE844&gt;0.16, "High Discount")</f>
        <v>Medium Discount</v>
      </c>
      <c r="AG844" s="2">
        <v>175775</v>
      </c>
      <c r="AH844" s="2">
        <v>210.85</v>
      </c>
      <c r="AI844" s="2">
        <v>0.38</v>
      </c>
      <c r="AJ844" s="2" t="str" cm="1">
        <f t="array" ref="AJ844">_xlfn.IFS(AI844&lt;=0, "No Profit", AI844&lt;=0.16,"Low Profit",AI844&lt;=0.32,"Medium Profit",AI844&gt;0.32,"High Profit")</f>
        <v>High Profit</v>
      </c>
      <c r="AK844" s="2">
        <v>1</v>
      </c>
      <c r="AL844" s="2">
        <v>210.85</v>
      </c>
      <c r="AM844" s="2">
        <v>189.77</v>
      </c>
      <c r="AN844" s="2">
        <v>71.16</v>
      </c>
      <c r="AO844" s="2" t="s">
        <v>95</v>
      </c>
      <c r="AP844" s="2" t="s">
        <v>196</v>
      </c>
      <c r="AQ844" s="2" t="s">
        <v>80</v>
      </c>
      <c r="AR844" s="2" t="s">
        <v>81</v>
      </c>
      <c r="AS844" s="2">
        <v>1357</v>
      </c>
      <c r="AT844" s="2">
        <v>70</v>
      </c>
      <c r="AU844" s="2" t="s">
        <v>1567</v>
      </c>
      <c r="AV844" s="2">
        <v>210.85</v>
      </c>
      <c r="AW844" s="2">
        <v>0</v>
      </c>
      <c r="AX844" s="2" t="s">
        <v>3488</v>
      </c>
      <c r="AY844" s="2" t="s">
        <v>83</v>
      </c>
      <c r="AZ844" s="4">
        <v>43062</v>
      </c>
      <c r="BA844" s="5">
        <v>0.73333333333333328</v>
      </c>
      <c r="BB844" s="2">
        <v>2017</v>
      </c>
      <c r="BC844" s="2" t="s">
        <v>455</v>
      </c>
      <c r="BD844" s="2">
        <v>23</v>
      </c>
      <c r="BE844" s="4">
        <v>43068</v>
      </c>
      <c r="BF844" s="5">
        <v>0.73333333333333328</v>
      </c>
      <c r="BG844" s="2" t="str" cm="1">
        <f t="array" ref="BG844">_xlfn.IFS(BF844&lt;TIMEVALUE("06:00"),"Night", BF844&gt;=TIMEVALUE("21:00"),"Night",BF844&gt;=TIMEVALUE("17:00"),"Evening",BF844&gt;=TIMEVALUE("12:00"),"Afternoon", BF844&gt;=TIMEVALUE("06:00"),"Morning")</f>
        <v>Evening</v>
      </c>
      <c r="BH844" s="2">
        <v>2017</v>
      </c>
      <c r="BI844" s="2" t="s">
        <v>455</v>
      </c>
      <c r="BJ844" s="2">
        <v>29</v>
      </c>
    </row>
    <row r="845" spans="1:62" x14ac:dyDescent="0.3">
      <c r="A845" s="2" t="s">
        <v>62</v>
      </c>
      <c r="B845" s="2">
        <v>2</v>
      </c>
      <c r="C845" s="2">
        <v>4</v>
      </c>
      <c r="D845" s="2">
        <v>14.62</v>
      </c>
      <c r="E845" s="2">
        <v>116.99</v>
      </c>
      <c r="F845" s="2" t="s">
        <v>63</v>
      </c>
      <c r="G845" s="2" t="s">
        <v>64</v>
      </c>
      <c r="H845" s="2">
        <v>18</v>
      </c>
      <c r="I845" s="2" t="s">
        <v>863</v>
      </c>
      <c r="J845" s="2" t="s">
        <v>3489</v>
      </c>
      <c r="K845" s="2" t="s">
        <v>102</v>
      </c>
      <c r="L845" s="2" t="s">
        <v>414</v>
      </c>
      <c r="M845" s="2">
        <v>7931</v>
      </c>
      <c r="N845" s="2" t="s">
        <v>3490</v>
      </c>
      <c r="O845" s="2" t="s">
        <v>124</v>
      </c>
      <c r="P845" s="2" t="s">
        <v>1102</v>
      </c>
      <c r="Q845" s="2" t="s">
        <v>3491</v>
      </c>
      <c r="R845" s="2">
        <v>21061</v>
      </c>
      <c r="S845" s="2">
        <v>4</v>
      </c>
      <c r="T845" s="2" t="s">
        <v>417</v>
      </c>
      <c r="U845" s="2">
        <v>39.136890399999999</v>
      </c>
      <c r="V845" s="2">
        <v>-76.627197300000006</v>
      </c>
      <c r="W845" s="2" t="s">
        <v>74</v>
      </c>
      <c r="X845" s="2" t="s">
        <v>3492</v>
      </c>
      <c r="Y845" s="2" t="s">
        <v>93</v>
      </c>
      <c r="Z845" s="2">
        <v>7931</v>
      </c>
      <c r="AA845" s="2" t="s">
        <v>3493</v>
      </c>
      <c r="AB845" s="2">
        <v>26861</v>
      </c>
      <c r="AC845" s="2">
        <v>403</v>
      </c>
      <c r="AD845" s="2">
        <v>13</v>
      </c>
      <c r="AE845" s="2">
        <v>0.1</v>
      </c>
      <c r="AF845" s="2" t="str" cm="1">
        <f t="array" ref="AF845">_xlfn.IFS(AE845=0, "No Discount ", AE845&lt;=0.08,"Low Discount", AE845&lt;=0.16,"Medium Discount", AE845&gt;0.16, "High Discount")</f>
        <v>Medium Discount</v>
      </c>
      <c r="AG845" s="2">
        <v>67304</v>
      </c>
      <c r="AH845" s="2">
        <v>129.99</v>
      </c>
      <c r="AI845" s="2">
        <v>0.13</v>
      </c>
      <c r="AJ845" s="2" t="str" cm="1">
        <f t="array" ref="AJ845">_xlfn.IFS(AI845&lt;=0, "No Profit", AI845&lt;=0.16,"Low Profit",AI845&lt;=0.32,"Medium Profit",AI845&gt;0.32,"High Profit")</f>
        <v>Low Profit</v>
      </c>
      <c r="AK845" s="2">
        <v>1</v>
      </c>
      <c r="AL845" s="2">
        <v>129.99</v>
      </c>
      <c r="AM845" s="2">
        <v>116.99</v>
      </c>
      <c r="AN845" s="2">
        <v>14.62</v>
      </c>
      <c r="AO845" s="2" t="s">
        <v>95</v>
      </c>
      <c r="AP845" s="2" t="s">
        <v>3494</v>
      </c>
      <c r="AQ845" s="2" t="s">
        <v>80</v>
      </c>
      <c r="AR845" s="2" t="s">
        <v>81</v>
      </c>
      <c r="AS845" s="2">
        <v>403</v>
      </c>
      <c r="AT845" s="2">
        <v>18</v>
      </c>
      <c r="AU845" s="2" t="s">
        <v>869</v>
      </c>
      <c r="AV845" s="2">
        <v>129.99</v>
      </c>
      <c r="AW845" s="2">
        <v>0</v>
      </c>
      <c r="AX845" s="2" t="s">
        <v>3495</v>
      </c>
      <c r="AY845" s="2" t="s">
        <v>83</v>
      </c>
      <c r="AZ845" s="4">
        <v>42397</v>
      </c>
      <c r="BA845" s="5">
        <v>9.375E-2</v>
      </c>
      <c r="BB845" s="2">
        <v>2016</v>
      </c>
      <c r="BC845" s="2" t="s">
        <v>84</v>
      </c>
      <c r="BD845" s="2">
        <v>28</v>
      </c>
      <c r="BE845" s="4">
        <v>42399</v>
      </c>
      <c r="BF845" s="5">
        <v>9.375E-2</v>
      </c>
      <c r="BG845" s="2" t="str" cm="1">
        <f t="array" ref="BG845">_xlfn.IFS(BF845&lt;TIMEVALUE("06:00"),"Night", BF845&gt;=TIMEVALUE("21:00"),"Night",BF845&gt;=TIMEVALUE("17:00"),"Evening",BF845&gt;=TIMEVALUE("12:00"),"Afternoon", BF845&gt;=TIMEVALUE("06:00"),"Morning")</f>
        <v>Night</v>
      </c>
      <c r="BH845" s="2">
        <v>2016</v>
      </c>
      <c r="BI845" s="2" t="s">
        <v>84</v>
      </c>
      <c r="BJ845" s="2">
        <v>30</v>
      </c>
    </row>
    <row r="846" spans="1:62" x14ac:dyDescent="0.3">
      <c r="A846" s="2" t="s">
        <v>62</v>
      </c>
      <c r="B846" s="2">
        <v>3</v>
      </c>
      <c r="C846" s="2">
        <v>4</v>
      </c>
      <c r="D846" s="2">
        <v>50.5</v>
      </c>
      <c r="E846" s="2">
        <v>194.24</v>
      </c>
      <c r="F846" s="2" t="s">
        <v>63</v>
      </c>
      <c r="G846" s="2" t="s">
        <v>64</v>
      </c>
      <c r="H846" s="2">
        <v>76</v>
      </c>
      <c r="I846" s="2" t="s">
        <v>1351</v>
      </c>
      <c r="J846" s="2" t="s">
        <v>3496</v>
      </c>
      <c r="K846" s="2" t="s">
        <v>102</v>
      </c>
      <c r="L846" s="2" t="s">
        <v>1036</v>
      </c>
      <c r="M846" s="2">
        <v>20545</v>
      </c>
      <c r="N846" s="2" t="s">
        <v>3497</v>
      </c>
      <c r="O846" s="2" t="s">
        <v>124</v>
      </c>
      <c r="P846" s="2" t="s">
        <v>1117</v>
      </c>
      <c r="Q846" s="2" t="s">
        <v>3498</v>
      </c>
      <c r="R846" s="2">
        <v>45014</v>
      </c>
      <c r="S846" s="2">
        <v>4</v>
      </c>
      <c r="T846" s="2" t="s">
        <v>417</v>
      </c>
      <c r="U846" s="2">
        <v>39.311988800000002</v>
      </c>
      <c r="V846" s="2">
        <v>-84.496589700000001</v>
      </c>
      <c r="W846" s="2" t="s">
        <v>74</v>
      </c>
      <c r="X846" s="2" t="s">
        <v>2143</v>
      </c>
      <c r="Y846" s="2" t="s">
        <v>2144</v>
      </c>
      <c r="Z846" s="2">
        <v>20545</v>
      </c>
      <c r="AA846" s="2" t="s">
        <v>3499</v>
      </c>
      <c r="AB846" s="2">
        <v>76992</v>
      </c>
      <c r="AC846" s="2">
        <v>1363</v>
      </c>
      <c r="AD846" s="2">
        <v>21.58</v>
      </c>
      <c r="AE846" s="2">
        <v>0.1</v>
      </c>
      <c r="AF846" s="2" t="str" cm="1">
        <f t="array" ref="AF846">_xlfn.IFS(AE846=0, "No Discount ", AE846&lt;=0.08,"Low Discount", AE846&lt;=0.16,"Medium Discount", AE846&gt;0.16, "High Discount")</f>
        <v>Medium Discount</v>
      </c>
      <c r="AG846" s="2">
        <v>180307</v>
      </c>
      <c r="AH846" s="2">
        <v>215.82</v>
      </c>
      <c r="AI846" s="2">
        <v>0.26</v>
      </c>
      <c r="AJ846" s="2" t="str" cm="1">
        <f t="array" ref="AJ846">_xlfn.IFS(AI846&lt;=0, "No Profit", AI846&lt;=0.16,"Low Profit",AI846&lt;=0.32,"Medium Profit",AI846&gt;0.32,"High Profit")</f>
        <v>Medium Profit</v>
      </c>
      <c r="AK846" s="2">
        <v>1</v>
      </c>
      <c r="AL846" s="2">
        <v>215.82</v>
      </c>
      <c r="AM846" s="2">
        <v>194.24</v>
      </c>
      <c r="AN846" s="2">
        <v>50.5</v>
      </c>
      <c r="AO846" s="2" t="s">
        <v>95</v>
      </c>
      <c r="AP846" s="2" t="s">
        <v>2145</v>
      </c>
      <c r="AQ846" s="2" t="s">
        <v>80</v>
      </c>
      <c r="AR846" s="2" t="s">
        <v>81</v>
      </c>
      <c r="AS846" s="2">
        <v>1363</v>
      </c>
      <c r="AT846" s="2">
        <v>76</v>
      </c>
      <c r="AU846" s="2" t="s">
        <v>1356</v>
      </c>
      <c r="AV846" s="2">
        <v>215.82</v>
      </c>
      <c r="AW846" s="2">
        <v>0</v>
      </c>
      <c r="AX846" s="2" t="s">
        <v>3500</v>
      </c>
      <c r="AY846" s="2" t="s">
        <v>83</v>
      </c>
      <c r="AZ846" s="4">
        <v>43128</v>
      </c>
      <c r="BA846" s="5">
        <v>0.89027777777777772</v>
      </c>
      <c r="BB846" s="2">
        <v>2018</v>
      </c>
      <c r="BC846" s="2" t="s">
        <v>84</v>
      </c>
      <c r="BD846" s="2">
        <v>28</v>
      </c>
      <c r="BE846" s="4">
        <v>43131</v>
      </c>
      <c r="BF846" s="5">
        <v>0.89027777777777772</v>
      </c>
      <c r="BG846" s="2" t="str" cm="1">
        <f t="array" ref="BG846">_xlfn.IFS(BF846&lt;TIMEVALUE("06:00"),"Night", BF846&gt;=TIMEVALUE("21:00"),"Night",BF846&gt;=TIMEVALUE("17:00"),"Evening",BF846&gt;=TIMEVALUE("12:00"),"Afternoon", BF846&gt;=TIMEVALUE("06:00"),"Morning")</f>
        <v>Night</v>
      </c>
      <c r="BH846" s="2">
        <v>2018</v>
      </c>
      <c r="BI846" s="2" t="s">
        <v>84</v>
      </c>
      <c r="BJ846" s="2">
        <v>31</v>
      </c>
    </row>
    <row r="847" spans="1:62" x14ac:dyDescent="0.3">
      <c r="A847" s="2" t="s">
        <v>62</v>
      </c>
      <c r="B847" s="2">
        <v>3</v>
      </c>
      <c r="C847" s="2">
        <v>4</v>
      </c>
      <c r="D847" s="2">
        <v>39.78</v>
      </c>
      <c r="E847" s="2">
        <v>116.99</v>
      </c>
      <c r="F847" s="2" t="s">
        <v>63</v>
      </c>
      <c r="G847" s="2" t="s">
        <v>64</v>
      </c>
      <c r="H847" s="2">
        <v>18</v>
      </c>
      <c r="I847" s="2" t="s">
        <v>863</v>
      </c>
      <c r="J847" s="2" t="s">
        <v>1805</v>
      </c>
      <c r="K847" s="2" t="s">
        <v>102</v>
      </c>
      <c r="L847" s="2" t="s">
        <v>1747</v>
      </c>
      <c r="M847" s="2">
        <v>7454</v>
      </c>
      <c r="N847" s="2" t="s">
        <v>232</v>
      </c>
      <c r="O847" s="2" t="s">
        <v>124</v>
      </c>
      <c r="P847" s="2" t="s">
        <v>105</v>
      </c>
      <c r="Q847" s="2" t="s">
        <v>1806</v>
      </c>
      <c r="R847" s="2">
        <v>91790</v>
      </c>
      <c r="S847" s="2">
        <v>4</v>
      </c>
      <c r="T847" s="2" t="s">
        <v>417</v>
      </c>
      <c r="U847" s="2">
        <v>34.0678749</v>
      </c>
      <c r="V847" s="2">
        <v>-117.92737579999999</v>
      </c>
      <c r="W847" s="2" t="s">
        <v>74</v>
      </c>
      <c r="X847" s="2" t="s">
        <v>3501</v>
      </c>
      <c r="Y847" s="2" t="s">
        <v>76</v>
      </c>
      <c r="Z847" s="2">
        <v>7454</v>
      </c>
      <c r="AA847" s="2" t="s">
        <v>3502</v>
      </c>
      <c r="AB847" s="2">
        <v>22792</v>
      </c>
      <c r="AC847" s="2">
        <v>403</v>
      </c>
      <c r="AD847" s="2">
        <v>13</v>
      </c>
      <c r="AE847" s="2">
        <v>0.1</v>
      </c>
      <c r="AF847" s="2" t="str" cm="1">
        <f t="array" ref="AF847">_xlfn.IFS(AE847=0, "No Discount ", AE847&lt;=0.08,"Low Discount", AE847&lt;=0.16,"Medium Discount", AE847&gt;0.16, "High Discount")</f>
        <v>Medium Discount</v>
      </c>
      <c r="AG847" s="2">
        <v>57050</v>
      </c>
      <c r="AH847" s="2">
        <v>129.99</v>
      </c>
      <c r="AI847" s="2">
        <v>0.34</v>
      </c>
      <c r="AJ847" s="2" t="str" cm="1">
        <f t="array" ref="AJ847">_xlfn.IFS(AI847&lt;=0, "No Profit", AI847&lt;=0.16,"Low Profit",AI847&lt;=0.32,"Medium Profit",AI847&gt;0.32,"High Profit")</f>
        <v>High Profit</v>
      </c>
      <c r="AK847" s="2">
        <v>1</v>
      </c>
      <c r="AL847" s="2">
        <v>129.99</v>
      </c>
      <c r="AM847" s="2">
        <v>116.99</v>
      </c>
      <c r="AN847" s="2">
        <v>39.78</v>
      </c>
      <c r="AO847" s="2" t="s">
        <v>78</v>
      </c>
      <c r="AP847" s="2" t="s">
        <v>2049</v>
      </c>
      <c r="AQ847" s="2" t="s">
        <v>80</v>
      </c>
      <c r="AR847" s="2" t="s">
        <v>81</v>
      </c>
      <c r="AS847" s="2">
        <v>403</v>
      </c>
      <c r="AT847" s="2">
        <v>18</v>
      </c>
      <c r="AU847" s="2" t="s">
        <v>869</v>
      </c>
      <c r="AV847" s="2">
        <v>129.99</v>
      </c>
      <c r="AW847" s="2">
        <v>0</v>
      </c>
      <c r="AX847" s="3">
        <v>42047.695833333331</v>
      </c>
      <c r="AY847" s="2" t="s">
        <v>83</v>
      </c>
      <c r="AZ847" s="4">
        <v>42337</v>
      </c>
      <c r="BA847" s="5">
        <v>0.6958333333333333</v>
      </c>
      <c r="BB847" s="2">
        <v>2015</v>
      </c>
      <c r="BC847" s="2" t="s">
        <v>455</v>
      </c>
      <c r="BD847" s="2">
        <v>29</v>
      </c>
      <c r="BE847" s="4">
        <v>42047</v>
      </c>
      <c r="BF847" s="5">
        <v>0.6958333333333333</v>
      </c>
      <c r="BG847" s="2" t="str" cm="1">
        <f t="array" ref="BG847">_xlfn.IFS(BF847&lt;TIMEVALUE("06:00"),"Night", BF847&gt;=TIMEVALUE("21:00"),"Night",BF847&gt;=TIMEVALUE("17:00"),"Evening",BF847&gt;=TIMEVALUE("12:00"),"Afternoon", BF847&gt;=TIMEVALUE("06:00"),"Morning")</f>
        <v>Afternoon</v>
      </c>
      <c r="BH847" s="2">
        <v>2015</v>
      </c>
      <c r="BI847" s="2" t="s">
        <v>423</v>
      </c>
      <c r="BJ847" s="2">
        <v>12</v>
      </c>
    </row>
    <row r="848" spans="1:62" x14ac:dyDescent="0.3">
      <c r="A848" s="2" t="s">
        <v>62</v>
      </c>
      <c r="B848" s="2">
        <v>4</v>
      </c>
      <c r="C848" s="2">
        <v>4</v>
      </c>
      <c r="D848" s="2">
        <v>14.62</v>
      </c>
      <c r="E848" s="2">
        <v>116.99</v>
      </c>
      <c r="F848" s="2" t="s">
        <v>100</v>
      </c>
      <c r="G848" s="2" t="s">
        <v>64</v>
      </c>
      <c r="H848" s="2">
        <v>18</v>
      </c>
      <c r="I848" s="2" t="s">
        <v>863</v>
      </c>
      <c r="J848" s="2" t="s">
        <v>1576</v>
      </c>
      <c r="K848" s="2" t="s">
        <v>102</v>
      </c>
      <c r="L848" s="2" t="s">
        <v>1094</v>
      </c>
      <c r="M848" s="2">
        <v>12038</v>
      </c>
      <c r="N848" s="2" t="s">
        <v>425</v>
      </c>
      <c r="O848" s="2" t="s">
        <v>124</v>
      </c>
      <c r="P848" s="2" t="s">
        <v>152</v>
      </c>
      <c r="Q848" s="2" t="s">
        <v>3461</v>
      </c>
      <c r="R848" s="2">
        <v>33312</v>
      </c>
      <c r="S848" s="2">
        <v>4</v>
      </c>
      <c r="T848" s="2" t="s">
        <v>417</v>
      </c>
      <c r="U848" s="2">
        <v>26.118034399999999</v>
      </c>
      <c r="V848" s="2">
        <v>-80.1894913</v>
      </c>
      <c r="W848" s="2" t="s">
        <v>74</v>
      </c>
      <c r="X848" s="2" t="s">
        <v>3503</v>
      </c>
      <c r="Y848" s="2" t="s">
        <v>1443</v>
      </c>
      <c r="Z848" s="2">
        <v>12038</v>
      </c>
      <c r="AA848" s="2" t="s">
        <v>3504</v>
      </c>
      <c r="AB848" s="2">
        <v>24438</v>
      </c>
      <c r="AC848" s="2">
        <v>403</v>
      </c>
      <c r="AD848" s="2">
        <v>13</v>
      </c>
      <c r="AE848" s="2">
        <v>0.1</v>
      </c>
      <c r="AF848" s="2" t="str" cm="1">
        <f t="array" ref="AF848">_xlfn.IFS(AE848=0, "No Discount ", AE848&lt;=0.08,"Low Discount", AE848&lt;=0.16,"Medium Discount", AE848&gt;0.16, "High Discount")</f>
        <v>Medium Discount</v>
      </c>
      <c r="AG848" s="2">
        <v>61146</v>
      </c>
      <c r="AH848" s="2">
        <v>129.99</v>
      </c>
      <c r="AI848" s="2">
        <v>0.13</v>
      </c>
      <c r="AJ848" s="2" t="str" cm="1">
        <f t="array" ref="AJ848">_xlfn.IFS(AI848&lt;=0, "No Profit", AI848&lt;=0.16,"Low Profit",AI848&lt;=0.32,"Medium Profit",AI848&gt;0.32,"High Profit")</f>
        <v>Low Profit</v>
      </c>
      <c r="AK848" s="2">
        <v>1</v>
      </c>
      <c r="AL848" s="2">
        <v>129.99</v>
      </c>
      <c r="AM848" s="2">
        <v>116.99</v>
      </c>
      <c r="AN848" s="2">
        <v>14.62</v>
      </c>
      <c r="AO848" s="2" t="s">
        <v>78</v>
      </c>
      <c r="AP848" s="2" t="s">
        <v>3505</v>
      </c>
      <c r="AQ848" s="2" t="s">
        <v>80</v>
      </c>
      <c r="AR848" s="2" t="s">
        <v>81</v>
      </c>
      <c r="AS848" s="2">
        <v>403</v>
      </c>
      <c r="AT848" s="2">
        <v>18</v>
      </c>
      <c r="AU848" s="2" t="s">
        <v>869</v>
      </c>
      <c r="AV848" s="2">
        <v>129.99</v>
      </c>
      <c r="AW848" s="2">
        <v>0</v>
      </c>
      <c r="AX848" s="2" t="s">
        <v>3506</v>
      </c>
      <c r="AY848" s="2" t="s">
        <v>83</v>
      </c>
      <c r="AZ848" s="4">
        <v>42361</v>
      </c>
      <c r="BA848" s="5">
        <v>0.72361111111111109</v>
      </c>
      <c r="BB848" s="2">
        <v>2015</v>
      </c>
      <c r="BC848" s="2" t="s">
        <v>357</v>
      </c>
      <c r="BD848" s="2">
        <v>23</v>
      </c>
      <c r="BE848" s="4">
        <v>42365</v>
      </c>
      <c r="BF848" s="5">
        <v>0.72361111111111109</v>
      </c>
      <c r="BG848" s="2" t="str" cm="1">
        <f t="array" ref="BG848">_xlfn.IFS(BF848&lt;TIMEVALUE("06:00"),"Night", BF848&gt;=TIMEVALUE("21:00"),"Night",BF848&gt;=TIMEVALUE("17:00"),"Evening",BF848&gt;=TIMEVALUE("12:00"),"Afternoon", BF848&gt;=TIMEVALUE("06:00"),"Morning")</f>
        <v>Evening</v>
      </c>
      <c r="BH848" s="2">
        <v>2015</v>
      </c>
      <c r="BI848" s="2" t="s">
        <v>357</v>
      </c>
      <c r="BJ848" s="2">
        <v>27</v>
      </c>
    </row>
    <row r="849" spans="1:62" x14ac:dyDescent="0.3">
      <c r="A849" s="2" t="s">
        <v>62</v>
      </c>
      <c r="B849" s="2">
        <v>3</v>
      </c>
      <c r="C849" s="2">
        <v>4</v>
      </c>
      <c r="D849" s="2">
        <v>58.5</v>
      </c>
      <c r="E849" s="2">
        <v>116.99</v>
      </c>
      <c r="F849" s="2" t="s">
        <v>63</v>
      </c>
      <c r="G849" s="2" t="s">
        <v>64</v>
      </c>
      <c r="H849" s="2">
        <v>18</v>
      </c>
      <c r="I849" s="2" t="s">
        <v>863</v>
      </c>
      <c r="J849" s="2" t="s">
        <v>1700</v>
      </c>
      <c r="K849" s="2" t="s">
        <v>102</v>
      </c>
      <c r="L849" s="2" t="s">
        <v>1461</v>
      </c>
      <c r="M849" s="2">
        <v>4618</v>
      </c>
      <c r="N849" s="2" t="s">
        <v>425</v>
      </c>
      <c r="O849" s="2" t="s">
        <v>124</v>
      </c>
      <c r="P849" s="2" t="s">
        <v>380</v>
      </c>
      <c r="Q849" s="2" t="s">
        <v>1371</v>
      </c>
      <c r="R849" s="2">
        <v>30058</v>
      </c>
      <c r="S849" s="2">
        <v>4</v>
      </c>
      <c r="T849" s="2" t="s">
        <v>417</v>
      </c>
      <c r="U849" s="2">
        <v>33.710079200000003</v>
      </c>
      <c r="V849" s="2">
        <v>-84.112472499999996</v>
      </c>
      <c r="W849" s="2" t="s">
        <v>74</v>
      </c>
      <c r="X849" s="2" t="s">
        <v>1525</v>
      </c>
      <c r="Y849" s="2" t="s">
        <v>76</v>
      </c>
      <c r="Z849" s="2">
        <v>4618</v>
      </c>
      <c r="AA849" s="2" t="s">
        <v>3507</v>
      </c>
      <c r="AB849" s="2">
        <v>27957</v>
      </c>
      <c r="AC849" s="2">
        <v>403</v>
      </c>
      <c r="AD849" s="2">
        <v>13</v>
      </c>
      <c r="AE849" s="2">
        <v>0.1</v>
      </c>
      <c r="AF849" s="2" t="str" cm="1">
        <f t="array" ref="AF849">_xlfn.IFS(AE849=0, "No Discount ", AE849&lt;=0.08,"Low Discount", AE849&lt;=0.16,"Medium Discount", AE849&gt;0.16, "High Discount")</f>
        <v>Medium Discount</v>
      </c>
      <c r="AG849" s="2">
        <v>69967</v>
      </c>
      <c r="AH849" s="2">
        <v>129.99</v>
      </c>
      <c r="AI849" s="2">
        <v>0.5</v>
      </c>
      <c r="AJ849" s="2" t="str" cm="1">
        <f t="array" ref="AJ849">_xlfn.IFS(AI849&lt;=0, "No Profit", AI849&lt;=0.16,"Low Profit",AI849&lt;=0.32,"Medium Profit",AI849&gt;0.32,"High Profit")</f>
        <v>High Profit</v>
      </c>
      <c r="AK849" s="2">
        <v>1</v>
      </c>
      <c r="AL849" s="2">
        <v>129.99</v>
      </c>
      <c r="AM849" s="2">
        <v>116.99</v>
      </c>
      <c r="AN849" s="2">
        <v>58.5</v>
      </c>
      <c r="AO849" s="2" t="s">
        <v>78</v>
      </c>
      <c r="AP849" s="2" t="s">
        <v>1527</v>
      </c>
      <c r="AQ849" s="2" t="s">
        <v>80</v>
      </c>
      <c r="AR849" s="2" t="s">
        <v>81</v>
      </c>
      <c r="AS849" s="2">
        <v>403</v>
      </c>
      <c r="AT849" s="2">
        <v>18</v>
      </c>
      <c r="AU849" s="2" t="s">
        <v>869</v>
      </c>
      <c r="AV849" s="2">
        <v>129.99</v>
      </c>
      <c r="AW849" s="2">
        <v>0</v>
      </c>
      <c r="AX849" s="2" t="s">
        <v>3508</v>
      </c>
      <c r="AY849" s="2" t="s">
        <v>83</v>
      </c>
      <c r="AZ849" s="4">
        <v>42413</v>
      </c>
      <c r="BA849" s="5">
        <v>9.2361111111111116E-2</v>
      </c>
      <c r="BB849" s="2">
        <v>2016</v>
      </c>
      <c r="BC849" s="2" t="s">
        <v>423</v>
      </c>
      <c r="BD849" s="2">
        <v>13</v>
      </c>
      <c r="BE849" s="4">
        <v>42416</v>
      </c>
      <c r="BF849" s="5">
        <v>9.2361111111111116E-2</v>
      </c>
      <c r="BG849" s="2" t="str" cm="1">
        <f t="array" ref="BG849">_xlfn.IFS(BF849&lt;TIMEVALUE("06:00"),"Night", BF849&gt;=TIMEVALUE("21:00"),"Night",BF849&gt;=TIMEVALUE("17:00"),"Evening",BF849&gt;=TIMEVALUE("12:00"),"Afternoon", BF849&gt;=TIMEVALUE("06:00"),"Morning")</f>
        <v>Night</v>
      </c>
      <c r="BH849" s="2">
        <v>2016</v>
      </c>
      <c r="BI849" s="2" t="s">
        <v>423</v>
      </c>
      <c r="BJ849" s="2">
        <v>16</v>
      </c>
    </row>
    <row r="850" spans="1:62" x14ac:dyDescent="0.3">
      <c r="A850" s="2" t="s">
        <v>62</v>
      </c>
      <c r="B850" s="2">
        <v>2</v>
      </c>
      <c r="C850" s="2">
        <v>4</v>
      </c>
      <c r="D850" s="2">
        <v>11.7</v>
      </c>
      <c r="E850" s="2">
        <v>116.99</v>
      </c>
      <c r="F850" s="2" t="s">
        <v>63</v>
      </c>
      <c r="G850" s="2" t="s">
        <v>64</v>
      </c>
      <c r="H850" s="2">
        <v>18</v>
      </c>
      <c r="I850" s="2" t="s">
        <v>863</v>
      </c>
      <c r="J850" s="2" t="s">
        <v>1212</v>
      </c>
      <c r="K850" s="2" t="s">
        <v>102</v>
      </c>
      <c r="L850" s="2" t="s">
        <v>698</v>
      </c>
      <c r="M850" s="2">
        <v>7795</v>
      </c>
      <c r="N850" s="2" t="s">
        <v>425</v>
      </c>
      <c r="O850" s="2" t="s">
        <v>124</v>
      </c>
      <c r="P850" s="2" t="s">
        <v>1154</v>
      </c>
      <c r="Q850" s="2" t="s">
        <v>1529</v>
      </c>
      <c r="R850" s="2">
        <v>96822</v>
      </c>
      <c r="S850" s="2">
        <v>4</v>
      </c>
      <c r="T850" s="2" t="s">
        <v>417</v>
      </c>
      <c r="U850" s="2">
        <v>21.3056202</v>
      </c>
      <c r="V850" s="2">
        <v>-157.8386993</v>
      </c>
      <c r="W850" s="2" t="s">
        <v>74</v>
      </c>
      <c r="X850" s="2" t="s">
        <v>1530</v>
      </c>
      <c r="Y850" s="2" t="s">
        <v>76</v>
      </c>
      <c r="Z850" s="2">
        <v>7795</v>
      </c>
      <c r="AA850" s="2" t="s">
        <v>1531</v>
      </c>
      <c r="AB850" s="2">
        <v>26821</v>
      </c>
      <c r="AC850" s="2">
        <v>403</v>
      </c>
      <c r="AD850" s="2">
        <v>13</v>
      </c>
      <c r="AE850" s="2">
        <v>0.1</v>
      </c>
      <c r="AF850" s="2" t="str" cm="1">
        <f t="array" ref="AF850">_xlfn.IFS(AE850=0, "No Discount ", AE850&lt;=0.08,"Low Discount", AE850&lt;=0.16,"Medium Discount", AE850&gt;0.16, "High Discount")</f>
        <v>Medium Discount</v>
      </c>
      <c r="AG850" s="2">
        <v>67194</v>
      </c>
      <c r="AH850" s="2">
        <v>129.99</v>
      </c>
      <c r="AI850" s="2">
        <v>0.1</v>
      </c>
      <c r="AJ850" s="2" t="str" cm="1">
        <f t="array" ref="AJ850">_xlfn.IFS(AI850&lt;=0, "No Profit", AI850&lt;=0.16,"Low Profit",AI850&lt;=0.32,"Medium Profit",AI850&gt;0.32,"High Profit")</f>
        <v>Low Profit</v>
      </c>
      <c r="AK850" s="2">
        <v>1</v>
      </c>
      <c r="AL850" s="2">
        <v>129.99</v>
      </c>
      <c r="AM850" s="2">
        <v>116.99</v>
      </c>
      <c r="AN850" s="2">
        <v>11.7</v>
      </c>
      <c r="AO850" s="2" t="s">
        <v>78</v>
      </c>
      <c r="AP850" s="2" t="s">
        <v>79</v>
      </c>
      <c r="AQ850" s="2" t="s">
        <v>80</v>
      </c>
      <c r="AR850" s="2" t="s">
        <v>81</v>
      </c>
      <c r="AS850" s="2">
        <v>403</v>
      </c>
      <c r="AT850" s="2">
        <v>18</v>
      </c>
      <c r="AU850" s="2" t="s">
        <v>869</v>
      </c>
      <c r="AV850" s="2">
        <v>129.99</v>
      </c>
      <c r="AW850" s="2">
        <v>0</v>
      </c>
      <c r="AX850" s="2" t="s">
        <v>1532</v>
      </c>
      <c r="AY850" s="2" t="s">
        <v>83</v>
      </c>
      <c r="AZ850" s="4">
        <v>42396</v>
      </c>
      <c r="BA850" s="5">
        <v>0.50972222222222219</v>
      </c>
      <c r="BB850" s="2">
        <v>2016</v>
      </c>
      <c r="BC850" s="2" t="s">
        <v>84</v>
      </c>
      <c r="BD850" s="2">
        <v>27</v>
      </c>
      <c r="BE850" s="4">
        <v>42398</v>
      </c>
      <c r="BF850" s="5">
        <v>0.50972222222222219</v>
      </c>
      <c r="BG850" s="2" t="str" cm="1">
        <f t="array" ref="BG850">_xlfn.IFS(BF850&lt;TIMEVALUE("06:00"),"Night", BF850&gt;=TIMEVALUE("21:00"),"Night",BF850&gt;=TIMEVALUE("17:00"),"Evening",BF850&gt;=TIMEVALUE("12:00"),"Afternoon", BF850&gt;=TIMEVALUE("06:00"),"Morning")</f>
        <v>Afternoon</v>
      </c>
      <c r="BH850" s="2">
        <v>2016</v>
      </c>
      <c r="BI850" s="2" t="s">
        <v>84</v>
      </c>
      <c r="BJ850" s="2">
        <v>29</v>
      </c>
    </row>
    <row r="851" spans="1:62" x14ac:dyDescent="0.3">
      <c r="A851" s="2" t="s">
        <v>62</v>
      </c>
      <c r="B851" s="2">
        <v>4</v>
      </c>
      <c r="C851" s="2">
        <v>4</v>
      </c>
      <c r="D851" s="2">
        <v>-1.52</v>
      </c>
      <c r="E851" s="2">
        <v>116.99</v>
      </c>
      <c r="F851" s="2" t="s">
        <v>100</v>
      </c>
      <c r="G851" s="2" t="s">
        <v>64</v>
      </c>
      <c r="H851" s="2">
        <v>18</v>
      </c>
      <c r="I851" s="2" t="s">
        <v>863</v>
      </c>
      <c r="J851" s="2" t="s">
        <v>2519</v>
      </c>
      <c r="K851" s="2" t="s">
        <v>102</v>
      </c>
      <c r="L851" s="2" t="s">
        <v>1890</v>
      </c>
      <c r="M851" s="2">
        <v>11979</v>
      </c>
      <c r="N851" s="2" t="s">
        <v>425</v>
      </c>
      <c r="O851" s="2" t="s">
        <v>124</v>
      </c>
      <c r="P851" s="2" t="s">
        <v>1187</v>
      </c>
      <c r="Q851" s="2" t="s">
        <v>3450</v>
      </c>
      <c r="R851" s="2">
        <v>53704</v>
      </c>
      <c r="S851" s="2">
        <v>4</v>
      </c>
      <c r="T851" s="2" t="s">
        <v>417</v>
      </c>
      <c r="U851" s="2">
        <v>43.095596299999997</v>
      </c>
      <c r="V851" s="2">
        <v>-89.351188699999994</v>
      </c>
      <c r="W851" s="2" t="s">
        <v>74</v>
      </c>
      <c r="X851" s="2" t="s">
        <v>2389</v>
      </c>
      <c r="Y851" s="2" t="s">
        <v>76</v>
      </c>
      <c r="Z851" s="2">
        <v>11979</v>
      </c>
      <c r="AA851" s="2" t="s">
        <v>3451</v>
      </c>
      <c r="AB851" s="2">
        <v>21868</v>
      </c>
      <c r="AC851" s="2">
        <v>403</v>
      </c>
      <c r="AD851" s="2">
        <v>13</v>
      </c>
      <c r="AE851" s="2">
        <v>0.1</v>
      </c>
      <c r="AF851" s="2" t="str" cm="1">
        <f t="array" ref="AF851">_xlfn.IFS(AE851=0, "No Discount ", AE851&lt;=0.08,"Low Discount", AE851&lt;=0.16,"Medium Discount", AE851&gt;0.16, "High Discount")</f>
        <v>Medium Discount</v>
      </c>
      <c r="AG851" s="2">
        <v>54682</v>
      </c>
      <c r="AH851" s="2">
        <v>129.99</v>
      </c>
      <c r="AI851" s="2">
        <v>-0.01</v>
      </c>
      <c r="AJ851" s="2" t="str" cm="1">
        <f t="array" ref="AJ851">_xlfn.IFS(AI851&lt;=0, "No Profit", AI851&lt;=0.16,"Low Profit",AI851&lt;=0.32,"Medium Profit",AI851&gt;0.32,"High Profit")</f>
        <v>No Profit</v>
      </c>
      <c r="AK851" s="2">
        <v>1</v>
      </c>
      <c r="AL851" s="2">
        <v>129.99</v>
      </c>
      <c r="AM851" s="2">
        <v>116.99</v>
      </c>
      <c r="AN851" s="2">
        <v>-1.52</v>
      </c>
      <c r="AO851" s="2" t="s">
        <v>78</v>
      </c>
      <c r="AP851" s="2" t="s">
        <v>2389</v>
      </c>
      <c r="AQ851" s="2" t="s">
        <v>80</v>
      </c>
      <c r="AR851" s="2" t="s">
        <v>81</v>
      </c>
      <c r="AS851" s="2">
        <v>403</v>
      </c>
      <c r="AT851" s="2">
        <v>18</v>
      </c>
      <c r="AU851" s="2" t="s">
        <v>869</v>
      </c>
      <c r="AV851" s="2">
        <v>129.99</v>
      </c>
      <c r="AW851" s="2">
        <v>0</v>
      </c>
      <c r="AX851" s="2" t="s">
        <v>3452</v>
      </c>
      <c r="AY851" s="2" t="s">
        <v>83</v>
      </c>
      <c r="AZ851" s="4">
        <v>42324</v>
      </c>
      <c r="BA851" s="5">
        <v>0.2076388888888889</v>
      </c>
      <c r="BB851" s="2">
        <v>2015</v>
      </c>
      <c r="BC851" s="2" t="s">
        <v>455</v>
      </c>
      <c r="BD851" s="2">
        <v>16</v>
      </c>
      <c r="BE851" s="4">
        <v>42328</v>
      </c>
      <c r="BF851" s="5">
        <v>0.2076388888888889</v>
      </c>
      <c r="BG851" s="2" t="str" cm="1">
        <f t="array" ref="BG851">_xlfn.IFS(BF851&lt;TIMEVALUE("06:00"),"Night", BF851&gt;=TIMEVALUE("21:00"),"Night",BF851&gt;=TIMEVALUE("17:00"),"Evening",BF851&gt;=TIMEVALUE("12:00"),"Afternoon", BF851&gt;=TIMEVALUE("06:00"),"Morning")</f>
        <v>Night</v>
      </c>
      <c r="BH851" s="2">
        <v>2015</v>
      </c>
      <c r="BI851" s="2" t="s">
        <v>455</v>
      </c>
      <c r="BJ851" s="2">
        <v>20</v>
      </c>
    </row>
    <row r="852" spans="1:62" x14ac:dyDescent="0.3">
      <c r="A852" s="2" t="s">
        <v>62</v>
      </c>
      <c r="B852" s="2">
        <v>5</v>
      </c>
      <c r="C852" s="2">
        <v>4</v>
      </c>
      <c r="D852" s="2">
        <v>25.92</v>
      </c>
      <c r="E852" s="2">
        <v>53.99</v>
      </c>
      <c r="F852" s="2" t="s">
        <v>87</v>
      </c>
      <c r="G852" s="2" t="s">
        <v>88</v>
      </c>
      <c r="H852" s="2">
        <v>17</v>
      </c>
      <c r="I852" s="2" t="s">
        <v>412</v>
      </c>
      <c r="J852" s="2" t="s">
        <v>1288</v>
      </c>
      <c r="K852" s="2" t="s">
        <v>102</v>
      </c>
      <c r="L852" s="2" t="s">
        <v>1938</v>
      </c>
      <c r="M852" s="2">
        <v>1695</v>
      </c>
      <c r="N852" s="2" t="s">
        <v>1939</v>
      </c>
      <c r="O852" s="2" t="s">
        <v>124</v>
      </c>
      <c r="P852" s="2" t="s">
        <v>1290</v>
      </c>
      <c r="Q852" s="2" t="s">
        <v>1940</v>
      </c>
      <c r="R852" s="2">
        <v>55106</v>
      </c>
      <c r="S852" s="2">
        <v>4</v>
      </c>
      <c r="T852" s="2" t="s">
        <v>417</v>
      </c>
      <c r="U852" s="2">
        <v>44.9569817</v>
      </c>
      <c r="V852" s="2">
        <v>-93.065368699999993</v>
      </c>
      <c r="W852" s="2" t="s">
        <v>74</v>
      </c>
      <c r="X852" s="2" t="s">
        <v>1396</v>
      </c>
      <c r="Y852" s="2" t="s">
        <v>1397</v>
      </c>
      <c r="Z852" s="2">
        <v>1695</v>
      </c>
      <c r="AA852" s="2" t="s">
        <v>3509</v>
      </c>
      <c r="AB852" s="2">
        <v>47899</v>
      </c>
      <c r="AC852" s="2">
        <v>365</v>
      </c>
      <c r="AD852" s="2">
        <v>6</v>
      </c>
      <c r="AE852" s="2">
        <v>0.1</v>
      </c>
      <c r="AF852" s="2" t="str" cm="1">
        <f t="array" ref="AF852">_xlfn.IFS(AE852=0, "No Discount ", AE852&lt;=0.08,"Low Discount", AE852&lt;=0.16,"Medium Discount", AE852&gt;0.16, "High Discount")</f>
        <v>Medium Discount</v>
      </c>
      <c r="AG852" s="2">
        <v>119786</v>
      </c>
      <c r="AH852" s="2">
        <v>59.99</v>
      </c>
      <c r="AI852" s="2">
        <v>0.48</v>
      </c>
      <c r="AJ852" s="2" t="str" cm="1">
        <f t="array" ref="AJ852">_xlfn.IFS(AI852&lt;=0, "No Profit", AI852&lt;=0.16,"Low Profit",AI852&lt;=0.32,"Medium Profit",AI852&gt;0.32,"High Profit")</f>
        <v>High Profit</v>
      </c>
      <c r="AK852" s="2">
        <v>1</v>
      </c>
      <c r="AL852" s="2">
        <v>59.99</v>
      </c>
      <c r="AM852" s="2">
        <v>53.99</v>
      </c>
      <c r="AN852" s="2">
        <v>25.92</v>
      </c>
      <c r="AO852" s="2" t="s">
        <v>431</v>
      </c>
      <c r="AP852" s="2" t="s">
        <v>1399</v>
      </c>
      <c r="AQ852" s="2" t="s">
        <v>80</v>
      </c>
      <c r="AR852" s="2" t="s">
        <v>81</v>
      </c>
      <c r="AS852" s="2">
        <v>365</v>
      </c>
      <c r="AT852" s="2">
        <v>17</v>
      </c>
      <c r="AU852" s="2" t="s">
        <v>421</v>
      </c>
      <c r="AV852" s="2">
        <v>59.99</v>
      </c>
      <c r="AW852" s="2">
        <v>0</v>
      </c>
      <c r="AX852" s="3">
        <v>42502.2</v>
      </c>
      <c r="AY852" s="2" t="s">
        <v>83</v>
      </c>
      <c r="AZ852" s="4">
        <v>42704</v>
      </c>
      <c r="BA852" s="5">
        <v>0.2</v>
      </c>
      <c r="BB852" s="2">
        <v>2016</v>
      </c>
      <c r="BC852" s="2" t="s">
        <v>455</v>
      </c>
      <c r="BD852" s="2">
        <v>30</v>
      </c>
      <c r="BE852" s="4">
        <v>42502</v>
      </c>
      <c r="BF852" s="5">
        <v>0.2</v>
      </c>
      <c r="BG852" s="2" t="str" cm="1">
        <f t="array" ref="BG852">_xlfn.IFS(BF852&lt;TIMEVALUE("06:00"),"Night", BF852&gt;=TIMEVALUE("21:00"),"Night",BF852&gt;=TIMEVALUE("17:00"),"Evening",BF852&gt;=TIMEVALUE("12:00"),"Afternoon", BF852&gt;=TIMEVALUE("06:00"),"Morning")</f>
        <v>Night</v>
      </c>
      <c r="BH852" s="2">
        <v>2016</v>
      </c>
      <c r="BI852" s="2" t="s">
        <v>443</v>
      </c>
      <c r="BJ852" s="2">
        <v>12</v>
      </c>
    </row>
    <row r="853" spans="1:62" x14ac:dyDescent="0.3">
      <c r="A853" s="2" t="s">
        <v>62</v>
      </c>
      <c r="B853" s="2">
        <v>4</v>
      </c>
      <c r="C853" s="2">
        <v>4</v>
      </c>
      <c r="D853" s="2">
        <v>3.96</v>
      </c>
      <c r="E853" s="2">
        <v>52.79</v>
      </c>
      <c r="F853" s="2" t="s">
        <v>100</v>
      </c>
      <c r="G853" s="2" t="s">
        <v>64</v>
      </c>
      <c r="H853" s="2">
        <v>17</v>
      </c>
      <c r="I853" s="2" t="s">
        <v>412</v>
      </c>
      <c r="J853" s="2" t="s">
        <v>1409</v>
      </c>
      <c r="K853" s="2" t="s">
        <v>102</v>
      </c>
      <c r="L853" s="2" t="s">
        <v>414</v>
      </c>
      <c r="M853" s="2">
        <v>11286</v>
      </c>
      <c r="N853" s="2" t="s">
        <v>1289</v>
      </c>
      <c r="O853" s="2" t="s">
        <v>124</v>
      </c>
      <c r="P853" s="2" t="s">
        <v>105</v>
      </c>
      <c r="Q853" s="2" t="s">
        <v>1410</v>
      </c>
      <c r="R853" s="2">
        <v>93257</v>
      </c>
      <c r="S853" s="2">
        <v>4</v>
      </c>
      <c r="T853" s="2" t="s">
        <v>417</v>
      </c>
      <c r="U853" s="2">
        <v>35.938297300000002</v>
      </c>
      <c r="V853" s="2">
        <v>-118.94384770000001</v>
      </c>
      <c r="W853" s="2" t="s">
        <v>74</v>
      </c>
      <c r="X853" s="2" t="s">
        <v>1411</v>
      </c>
      <c r="Y853" s="2" t="s">
        <v>143</v>
      </c>
      <c r="Z853" s="2">
        <v>11286</v>
      </c>
      <c r="AA853" s="3">
        <v>42706.523611111108</v>
      </c>
      <c r="AB853" s="2">
        <v>27918</v>
      </c>
      <c r="AC853" s="2">
        <v>365</v>
      </c>
      <c r="AD853" s="2">
        <v>7.2</v>
      </c>
      <c r="AE853" s="2">
        <v>0.12</v>
      </c>
      <c r="AF853" s="2" t="str" cm="1">
        <f t="array" ref="AF853">_xlfn.IFS(AE853=0, "No Discount ", AE853&lt;=0.08,"Low Discount", AE853&lt;=0.16,"Medium Discount", AE853&gt;0.16, "High Discount")</f>
        <v>Medium Discount</v>
      </c>
      <c r="AG853" s="2">
        <v>69869</v>
      </c>
      <c r="AH853" s="2">
        <v>59.99</v>
      </c>
      <c r="AI853" s="2">
        <v>0.08</v>
      </c>
      <c r="AJ853" s="2" t="str" cm="1">
        <f t="array" ref="AJ853">_xlfn.IFS(AI853&lt;=0, "No Profit", AI853&lt;=0.16,"Low Profit",AI853&lt;=0.32,"Medium Profit",AI853&gt;0.32,"High Profit")</f>
        <v>Low Profit</v>
      </c>
      <c r="AK853" s="2">
        <v>1</v>
      </c>
      <c r="AL853" s="2">
        <v>59.99</v>
      </c>
      <c r="AM853" s="2">
        <v>52.79</v>
      </c>
      <c r="AN853" s="2">
        <v>3.96</v>
      </c>
      <c r="AO853" s="2" t="s">
        <v>145</v>
      </c>
      <c r="AP853" s="2" t="s">
        <v>1411</v>
      </c>
      <c r="AQ853" s="2" t="s">
        <v>80</v>
      </c>
      <c r="AR853" s="2" t="s">
        <v>81</v>
      </c>
      <c r="AS853" s="2">
        <v>365</v>
      </c>
      <c r="AT853" s="2">
        <v>17</v>
      </c>
      <c r="AU853" s="2" t="s">
        <v>421</v>
      </c>
      <c r="AV853" s="2">
        <v>59.99</v>
      </c>
      <c r="AW853" s="2">
        <v>0</v>
      </c>
      <c r="AX853" s="2" t="s">
        <v>1412</v>
      </c>
      <c r="AY853" s="2" t="s">
        <v>83</v>
      </c>
      <c r="AZ853" s="4">
        <v>42706</v>
      </c>
      <c r="BA853" s="5">
        <v>0.52361111111111114</v>
      </c>
      <c r="BB853" s="2">
        <v>2016</v>
      </c>
      <c r="BC853" s="2" t="s">
        <v>357</v>
      </c>
      <c r="BD853" s="2">
        <v>2</v>
      </c>
      <c r="BE853" s="4">
        <v>42416</v>
      </c>
      <c r="BF853" s="5">
        <v>0.52361111111111114</v>
      </c>
      <c r="BG853" s="2" t="str" cm="1">
        <f t="array" ref="BG853">_xlfn.IFS(BF853&lt;TIMEVALUE("06:00"),"Night", BF853&gt;=TIMEVALUE("21:00"),"Night",BF853&gt;=TIMEVALUE("17:00"),"Evening",BF853&gt;=TIMEVALUE("12:00"),"Afternoon", BF853&gt;=TIMEVALUE("06:00"),"Morning")</f>
        <v>Afternoon</v>
      </c>
      <c r="BH853" s="2">
        <v>2016</v>
      </c>
      <c r="BI853" s="2" t="s">
        <v>423</v>
      </c>
      <c r="BJ853" s="2">
        <v>16</v>
      </c>
    </row>
    <row r="854" spans="1:62" x14ac:dyDescent="0.3">
      <c r="A854" s="2" t="s">
        <v>62</v>
      </c>
      <c r="B854" s="2">
        <v>6</v>
      </c>
      <c r="C854" s="2">
        <v>4</v>
      </c>
      <c r="D854" s="2">
        <v>-22.88</v>
      </c>
      <c r="E854" s="2">
        <v>114.39</v>
      </c>
      <c r="F854" s="2" t="s">
        <v>87</v>
      </c>
      <c r="G854" s="2" t="s">
        <v>88</v>
      </c>
      <c r="H854" s="2">
        <v>18</v>
      </c>
      <c r="I854" s="2" t="s">
        <v>863</v>
      </c>
      <c r="J854" s="2" t="s">
        <v>1119</v>
      </c>
      <c r="K854" s="2" t="s">
        <v>102</v>
      </c>
      <c r="L854" s="2" t="s">
        <v>414</v>
      </c>
      <c r="M854" s="2">
        <v>4357</v>
      </c>
      <c r="N854" s="2" t="s">
        <v>425</v>
      </c>
      <c r="O854" s="2" t="s">
        <v>124</v>
      </c>
      <c r="P854" s="2" t="s">
        <v>1254</v>
      </c>
      <c r="Q854" s="2" t="s">
        <v>2224</v>
      </c>
      <c r="R854" s="2">
        <v>85345</v>
      </c>
      <c r="S854" s="2">
        <v>4</v>
      </c>
      <c r="T854" s="2" t="s">
        <v>417</v>
      </c>
      <c r="U854" s="2">
        <v>33.578731500000004</v>
      </c>
      <c r="V854" s="2">
        <v>-112.266098</v>
      </c>
      <c r="W854" s="2" t="s">
        <v>74</v>
      </c>
      <c r="X854" s="2" t="s">
        <v>1416</v>
      </c>
      <c r="Y854" s="2" t="s">
        <v>116</v>
      </c>
      <c r="Z854" s="2">
        <v>4357</v>
      </c>
      <c r="AA854" s="3">
        <v>42016.272222222222</v>
      </c>
      <c r="AB854" s="2">
        <v>22900</v>
      </c>
      <c r="AC854" s="2">
        <v>403</v>
      </c>
      <c r="AD854" s="2">
        <v>15.6</v>
      </c>
      <c r="AE854" s="2">
        <v>0.12</v>
      </c>
      <c r="AF854" s="2" t="str" cm="1">
        <f t="array" ref="AF854">_xlfn.IFS(AE854=0, "No Discount ", AE854&lt;=0.08,"Low Discount", AE854&lt;=0.16,"Medium Discount", AE854&gt;0.16, "High Discount")</f>
        <v>Medium Discount</v>
      </c>
      <c r="AG854" s="2">
        <v>57327</v>
      </c>
      <c r="AH854" s="2">
        <v>129.99</v>
      </c>
      <c r="AI854" s="2">
        <v>-0.2</v>
      </c>
      <c r="AJ854" s="2" t="str" cm="1">
        <f t="array" ref="AJ854">_xlfn.IFS(AI854&lt;=0, "No Profit", AI854&lt;=0.16,"Low Profit",AI854&lt;=0.32,"Medium Profit",AI854&gt;0.32,"High Profit")</f>
        <v>No Profit</v>
      </c>
      <c r="AK854" s="2">
        <v>1</v>
      </c>
      <c r="AL854" s="2">
        <v>129.99</v>
      </c>
      <c r="AM854" s="2">
        <v>114.39</v>
      </c>
      <c r="AN854" s="2">
        <v>-22.88</v>
      </c>
      <c r="AO854" s="2" t="s">
        <v>118</v>
      </c>
      <c r="AP854" s="2" t="s">
        <v>275</v>
      </c>
      <c r="AQ854" s="2" t="s">
        <v>80</v>
      </c>
      <c r="AR854" s="2" t="s">
        <v>81</v>
      </c>
      <c r="AS854" s="2">
        <v>403</v>
      </c>
      <c r="AT854" s="2">
        <v>18</v>
      </c>
      <c r="AU854" s="2" t="s">
        <v>869</v>
      </c>
      <c r="AV854" s="2">
        <v>129.99</v>
      </c>
      <c r="AW854" s="2">
        <v>0</v>
      </c>
      <c r="AX854" s="3">
        <v>42197.272222222222</v>
      </c>
      <c r="AY854" s="2" t="s">
        <v>83</v>
      </c>
      <c r="AZ854" s="4">
        <v>42016</v>
      </c>
      <c r="BA854" s="5">
        <v>0.2722222222222222</v>
      </c>
      <c r="BB854" s="2">
        <v>2015</v>
      </c>
      <c r="BC854" s="2" t="s">
        <v>84</v>
      </c>
      <c r="BD854" s="2">
        <v>12</v>
      </c>
      <c r="BE854" s="4">
        <v>42197</v>
      </c>
      <c r="BF854" s="5">
        <v>0.2722222222222222</v>
      </c>
      <c r="BG854" s="2" t="str" cm="1">
        <f t="array" ref="BG854">_xlfn.IFS(BF854&lt;TIMEVALUE("06:00"),"Night", BF854&gt;=TIMEVALUE("21:00"),"Night",BF854&gt;=TIMEVALUE("17:00"),"Evening",BF854&gt;=TIMEVALUE("12:00"),"Afternoon", BF854&gt;=TIMEVALUE("06:00"),"Morning")</f>
        <v>Morning</v>
      </c>
      <c r="BH854" s="2">
        <v>2015</v>
      </c>
      <c r="BI854" s="2" t="s">
        <v>533</v>
      </c>
      <c r="BJ854" s="2">
        <v>12</v>
      </c>
    </row>
    <row r="855" spans="1:62" x14ac:dyDescent="0.3">
      <c r="A855" s="2" t="s">
        <v>62</v>
      </c>
      <c r="B855" s="2">
        <v>3</v>
      </c>
      <c r="C855" s="2">
        <v>4</v>
      </c>
      <c r="D855" s="2">
        <v>-91.51</v>
      </c>
      <c r="E855" s="2">
        <v>114.39</v>
      </c>
      <c r="F855" s="2" t="s">
        <v>63</v>
      </c>
      <c r="G855" s="2" t="s">
        <v>64</v>
      </c>
      <c r="H855" s="2">
        <v>18</v>
      </c>
      <c r="I855" s="2" t="s">
        <v>863</v>
      </c>
      <c r="J855" s="2" t="s">
        <v>3510</v>
      </c>
      <c r="K855" s="2" t="s">
        <v>102</v>
      </c>
      <c r="L855" s="2" t="s">
        <v>2547</v>
      </c>
      <c r="M855" s="2">
        <v>3029</v>
      </c>
      <c r="N855" s="2" t="s">
        <v>425</v>
      </c>
      <c r="O855" s="2" t="s">
        <v>124</v>
      </c>
      <c r="P855" s="2" t="s">
        <v>105</v>
      </c>
      <c r="Q855" s="2" t="s">
        <v>3511</v>
      </c>
      <c r="R855" s="2">
        <v>91306</v>
      </c>
      <c r="S855" s="2">
        <v>4</v>
      </c>
      <c r="T855" s="2" t="s">
        <v>417</v>
      </c>
      <c r="U855" s="2">
        <v>32.667457599999999</v>
      </c>
      <c r="V855" s="2">
        <v>-117.0288773</v>
      </c>
      <c r="W855" s="2" t="s">
        <v>74</v>
      </c>
      <c r="X855" s="2" t="s">
        <v>2383</v>
      </c>
      <c r="Y855" s="2" t="s">
        <v>1342</v>
      </c>
      <c r="Z855" s="2">
        <v>3029</v>
      </c>
      <c r="AA855" s="2" t="s">
        <v>3512</v>
      </c>
      <c r="AB855" s="2">
        <v>30997</v>
      </c>
      <c r="AC855" s="2">
        <v>403</v>
      </c>
      <c r="AD855" s="2">
        <v>15.6</v>
      </c>
      <c r="AE855" s="2">
        <v>0.12</v>
      </c>
      <c r="AF855" s="2" t="str" cm="1">
        <f t="array" ref="AF855">_xlfn.IFS(AE855=0, "No Discount ", AE855&lt;=0.08,"Low Discount", AE855&lt;=0.16,"Medium Discount", AE855&gt;0.16, "High Discount")</f>
        <v>Medium Discount</v>
      </c>
      <c r="AG855" s="2">
        <v>77469</v>
      </c>
      <c r="AH855" s="2">
        <v>129.99</v>
      </c>
      <c r="AI855" s="2">
        <v>-0.8</v>
      </c>
      <c r="AJ855" s="2" t="str" cm="1">
        <f t="array" ref="AJ855">_xlfn.IFS(AI855&lt;=0, "No Profit", AI855&lt;=0.16,"Low Profit",AI855&lt;=0.32,"Medium Profit",AI855&gt;0.32,"High Profit")</f>
        <v>No Profit</v>
      </c>
      <c r="AK855" s="2">
        <v>1</v>
      </c>
      <c r="AL855" s="2">
        <v>129.99</v>
      </c>
      <c r="AM855" s="2">
        <v>114.39</v>
      </c>
      <c r="AN855" s="2">
        <v>-91.51</v>
      </c>
      <c r="AO855" s="2" t="s">
        <v>118</v>
      </c>
      <c r="AP855" s="2" t="s">
        <v>2385</v>
      </c>
      <c r="AQ855" s="2" t="s">
        <v>80</v>
      </c>
      <c r="AR855" s="2" t="s">
        <v>81</v>
      </c>
      <c r="AS855" s="2">
        <v>403</v>
      </c>
      <c r="AT855" s="2">
        <v>18</v>
      </c>
      <c r="AU855" s="2" t="s">
        <v>869</v>
      </c>
      <c r="AV855" s="2">
        <v>129.99</v>
      </c>
      <c r="AW855" s="2">
        <v>0</v>
      </c>
      <c r="AX855" s="2" t="s">
        <v>3513</v>
      </c>
      <c r="AY855" s="2" t="s">
        <v>83</v>
      </c>
      <c r="AZ855" s="4">
        <v>42457</v>
      </c>
      <c r="BA855" s="5">
        <v>0.46944444444444444</v>
      </c>
      <c r="BB855" s="2">
        <v>2016</v>
      </c>
      <c r="BC855" s="2" t="s">
        <v>85</v>
      </c>
      <c r="BD855" s="2">
        <v>28</v>
      </c>
      <c r="BE855" s="4">
        <v>42460</v>
      </c>
      <c r="BF855" s="5">
        <v>0.46944444444444444</v>
      </c>
      <c r="BG855" s="2" t="str" cm="1">
        <f t="array" ref="BG855">_xlfn.IFS(BF855&lt;TIMEVALUE("06:00"),"Night", BF855&gt;=TIMEVALUE("21:00"),"Night",BF855&gt;=TIMEVALUE("17:00"),"Evening",BF855&gt;=TIMEVALUE("12:00"),"Afternoon", BF855&gt;=TIMEVALUE("06:00"),"Morning")</f>
        <v>Morning</v>
      </c>
      <c r="BH855" s="2">
        <v>2016</v>
      </c>
      <c r="BI855" s="2" t="s">
        <v>85</v>
      </c>
      <c r="BJ855" s="2">
        <v>31</v>
      </c>
    </row>
    <row r="856" spans="1:62" x14ac:dyDescent="0.3">
      <c r="A856" s="2" t="s">
        <v>62</v>
      </c>
      <c r="B856" s="2">
        <v>4</v>
      </c>
      <c r="C856" s="2">
        <v>4</v>
      </c>
      <c r="D856" s="2">
        <v>-25.74</v>
      </c>
      <c r="E856" s="2">
        <v>114.39</v>
      </c>
      <c r="F856" s="2" t="s">
        <v>100</v>
      </c>
      <c r="G856" s="2" t="s">
        <v>64</v>
      </c>
      <c r="H856" s="2">
        <v>18</v>
      </c>
      <c r="I856" s="2" t="s">
        <v>863</v>
      </c>
      <c r="J856" s="2" t="s">
        <v>1274</v>
      </c>
      <c r="K856" s="2" t="s">
        <v>102</v>
      </c>
      <c r="L856" s="2" t="s">
        <v>414</v>
      </c>
      <c r="M856" s="2">
        <v>9769</v>
      </c>
      <c r="N856" s="2" t="s">
        <v>3514</v>
      </c>
      <c r="O856" s="2" t="s">
        <v>124</v>
      </c>
      <c r="P856" s="2" t="s">
        <v>105</v>
      </c>
      <c r="Q856" s="2" t="s">
        <v>2992</v>
      </c>
      <c r="R856" s="2">
        <v>93063</v>
      </c>
      <c r="S856" s="2">
        <v>4</v>
      </c>
      <c r="T856" s="2" t="s">
        <v>417</v>
      </c>
      <c r="U856" s="2">
        <v>34.267913800000002</v>
      </c>
      <c r="V856" s="2">
        <v>-118.6712112</v>
      </c>
      <c r="W856" s="2" t="s">
        <v>74</v>
      </c>
      <c r="X856" s="2" t="s">
        <v>1416</v>
      </c>
      <c r="Y856" s="2" t="s">
        <v>116</v>
      </c>
      <c r="Z856" s="2">
        <v>9769</v>
      </c>
      <c r="AA856" s="2" t="s">
        <v>3515</v>
      </c>
      <c r="AB856" s="2">
        <v>26183</v>
      </c>
      <c r="AC856" s="2">
        <v>403</v>
      </c>
      <c r="AD856" s="2">
        <v>15.6</v>
      </c>
      <c r="AE856" s="2">
        <v>0.12</v>
      </c>
      <c r="AF856" s="2" t="str" cm="1">
        <f t="array" ref="AF856">_xlfn.IFS(AE856=0, "No Discount ", AE856&lt;=0.08,"Low Discount", AE856&lt;=0.16,"Medium Discount", AE856&gt;0.16, "High Discount")</f>
        <v>Medium Discount</v>
      </c>
      <c r="AG856" s="2">
        <v>65542</v>
      </c>
      <c r="AH856" s="2">
        <v>129.99</v>
      </c>
      <c r="AI856" s="2">
        <v>-0.23</v>
      </c>
      <c r="AJ856" s="2" t="str" cm="1">
        <f t="array" ref="AJ856">_xlfn.IFS(AI856&lt;=0, "No Profit", AI856&lt;=0.16,"Low Profit",AI856&lt;=0.32,"Medium Profit",AI856&gt;0.32,"High Profit")</f>
        <v>No Profit</v>
      </c>
      <c r="AK856" s="2">
        <v>1</v>
      </c>
      <c r="AL856" s="2">
        <v>129.99</v>
      </c>
      <c r="AM856" s="2">
        <v>114.39</v>
      </c>
      <c r="AN856" s="2">
        <v>-25.74</v>
      </c>
      <c r="AO856" s="2" t="s">
        <v>118</v>
      </c>
      <c r="AP856" s="2" t="s">
        <v>275</v>
      </c>
      <c r="AQ856" s="2" t="s">
        <v>80</v>
      </c>
      <c r="AR856" s="2" t="s">
        <v>81</v>
      </c>
      <c r="AS856" s="2">
        <v>403</v>
      </c>
      <c r="AT856" s="2">
        <v>18</v>
      </c>
      <c r="AU856" s="2" t="s">
        <v>869</v>
      </c>
      <c r="AV856" s="2">
        <v>129.99</v>
      </c>
      <c r="AW856" s="2">
        <v>0</v>
      </c>
      <c r="AX856" s="2" t="s">
        <v>3516</v>
      </c>
      <c r="AY856" s="2" t="s">
        <v>83</v>
      </c>
      <c r="AZ856" s="4">
        <v>42387</v>
      </c>
      <c r="BA856" s="5">
        <v>0.19652777777777777</v>
      </c>
      <c r="BB856" s="2">
        <v>2016</v>
      </c>
      <c r="BC856" s="2" t="s">
        <v>84</v>
      </c>
      <c r="BD856" s="2">
        <v>18</v>
      </c>
      <c r="BE856" s="4">
        <v>42391</v>
      </c>
      <c r="BF856" s="5">
        <v>0.19652777777777777</v>
      </c>
      <c r="BG856" s="2" t="str" cm="1">
        <f t="array" ref="BG856">_xlfn.IFS(BF856&lt;TIMEVALUE("06:00"),"Night", BF856&gt;=TIMEVALUE("21:00"),"Night",BF856&gt;=TIMEVALUE("17:00"),"Evening",BF856&gt;=TIMEVALUE("12:00"),"Afternoon", BF856&gt;=TIMEVALUE("06:00"),"Morning")</f>
        <v>Night</v>
      </c>
      <c r="BH856" s="2">
        <v>2016</v>
      </c>
      <c r="BI856" s="2" t="s">
        <v>84</v>
      </c>
      <c r="BJ856" s="2">
        <v>22</v>
      </c>
    </row>
    <row r="857" spans="1:62" x14ac:dyDescent="0.3">
      <c r="A857" s="2" t="s">
        <v>62</v>
      </c>
      <c r="B857" s="2">
        <v>5</v>
      </c>
      <c r="C857" s="2">
        <v>4</v>
      </c>
      <c r="D857" s="2">
        <v>9.15</v>
      </c>
      <c r="E857" s="2">
        <v>114.39</v>
      </c>
      <c r="F857" s="2" t="s">
        <v>87</v>
      </c>
      <c r="G857" s="2" t="s">
        <v>88</v>
      </c>
      <c r="H857" s="2">
        <v>18</v>
      </c>
      <c r="I857" s="2" t="s">
        <v>863</v>
      </c>
      <c r="J857" s="2" t="s">
        <v>1212</v>
      </c>
      <c r="K857" s="2" t="s">
        <v>102</v>
      </c>
      <c r="L857" s="2" t="s">
        <v>489</v>
      </c>
      <c r="M857" s="2">
        <v>3567</v>
      </c>
      <c r="N857" s="2" t="s">
        <v>3517</v>
      </c>
      <c r="O857" s="2" t="s">
        <v>124</v>
      </c>
      <c r="P857" s="2" t="s">
        <v>1154</v>
      </c>
      <c r="Q857" s="2" t="s">
        <v>3518</v>
      </c>
      <c r="R857" s="2">
        <v>96822</v>
      </c>
      <c r="S857" s="2">
        <v>4</v>
      </c>
      <c r="T857" s="2" t="s">
        <v>417</v>
      </c>
      <c r="U857" s="2">
        <v>21.3056202</v>
      </c>
      <c r="V857" s="2">
        <v>-157.8386993</v>
      </c>
      <c r="W857" s="2" t="s">
        <v>74</v>
      </c>
      <c r="X857" s="2" t="s">
        <v>1334</v>
      </c>
      <c r="Y857" s="2" t="s">
        <v>116</v>
      </c>
      <c r="Z857" s="2">
        <v>3567</v>
      </c>
      <c r="AA857" s="2" t="s">
        <v>3519</v>
      </c>
      <c r="AB857" s="2">
        <v>24314</v>
      </c>
      <c r="AC857" s="2">
        <v>403</v>
      </c>
      <c r="AD857" s="2">
        <v>15.6</v>
      </c>
      <c r="AE857" s="2">
        <v>0.12</v>
      </c>
      <c r="AF857" s="2" t="str" cm="1">
        <f t="array" ref="AF857">_xlfn.IFS(AE857=0, "No Discount ", AE857&lt;=0.08,"Low Discount", AE857&lt;=0.16,"Medium Discount", AE857&gt;0.16, "High Discount")</f>
        <v>Medium Discount</v>
      </c>
      <c r="AG857" s="2">
        <v>60826</v>
      </c>
      <c r="AH857" s="2">
        <v>129.99</v>
      </c>
      <c r="AI857" s="2">
        <v>0.08</v>
      </c>
      <c r="AJ857" s="2" t="str" cm="1">
        <f t="array" ref="AJ857">_xlfn.IFS(AI857&lt;=0, "No Profit", AI857&lt;=0.16,"Low Profit",AI857&lt;=0.32,"Medium Profit",AI857&gt;0.32,"High Profit")</f>
        <v>Low Profit</v>
      </c>
      <c r="AK857" s="2">
        <v>1</v>
      </c>
      <c r="AL857" s="2">
        <v>129.99</v>
      </c>
      <c r="AM857" s="2">
        <v>114.39</v>
      </c>
      <c r="AN857" s="2">
        <v>9.15</v>
      </c>
      <c r="AO857" s="2" t="s">
        <v>118</v>
      </c>
      <c r="AP857" s="2" t="s">
        <v>119</v>
      </c>
      <c r="AQ857" s="2" t="s">
        <v>80</v>
      </c>
      <c r="AR857" s="2" t="s">
        <v>81</v>
      </c>
      <c r="AS857" s="2">
        <v>403</v>
      </c>
      <c r="AT857" s="2">
        <v>18</v>
      </c>
      <c r="AU857" s="2" t="s">
        <v>869</v>
      </c>
      <c r="AV857" s="2">
        <v>129.99</v>
      </c>
      <c r="AW857" s="2">
        <v>0</v>
      </c>
      <c r="AX857" s="2" t="s">
        <v>3520</v>
      </c>
      <c r="AY857" s="2" t="s">
        <v>83</v>
      </c>
      <c r="AZ857" s="4">
        <v>42359</v>
      </c>
      <c r="BA857" s="5">
        <v>0.91319444444444442</v>
      </c>
      <c r="BB857" s="2">
        <v>2015</v>
      </c>
      <c r="BC857" s="2" t="s">
        <v>357</v>
      </c>
      <c r="BD857" s="2">
        <v>21</v>
      </c>
      <c r="BE857" s="4">
        <v>42364</v>
      </c>
      <c r="BF857" s="5">
        <v>0.91319444444444442</v>
      </c>
      <c r="BG857" s="2" t="str" cm="1">
        <f t="array" ref="BG857">_xlfn.IFS(BF857&lt;TIMEVALUE("06:00"),"Night", BF857&gt;=TIMEVALUE("21:00"),"Night",BF857&gt;=TIMEVALUE("17:00"),"Evening",BF857&gt;=TIMEVALUE("12:00"),"Afternoon", BF857&gt;=TIMEVALUE("06:00"),"Morning")</f>
        <v>Night</v>
      </c>
      <c r="BH857" s="2">
        <v>2015</v>
      </c>
      <c r="BI857" s="2" t="s">
        <v>357</v>
      </c>
      <c r="BJ857" s="2">
        <v>26</v>
      </c>
    </row>
    <row r="858" spans="1:62" x14ac:dyDescent="0.3">
      <c r="A858" s="2" t="s">
        <v>62</v>
      </c>
      <c r="B858" s="2">
        <v>3</v>
      </c>
      <c r="C858" s="2">
        <v>4</v>
      </c>
      <c r="D858" s="2">
        <v>10.07</v>
      </c>
      <c r="E858" s="2">
        <v>114.39</v>
      </c>
      <c r="F858" s="2" t="s">
        <v>63</v>
      </c>
      <c r="G858" s="2" t="s">
        <v>64</v>
      </c>
      <c r="H858" s="2">
        <v>18</v>
      </c>
      <c r="I858" s="2" t="s">
        <v>863</v>
      </c>
      <c r="J858" s="2" t="s">
        <v>1460</v>
      </c>
      <c r="K858" s="2" t="s">
        <v>102</v>
      </c>
      <c r="L858" s="2" t="s">
        <v>3521</v>
      </c>
      <c r="M858" s="2">
        <v>5582</v>
      </c>
      <c r="N858" s="2" t="s">
        <v>2192</v>
      </c>
      <c r="O858" s="2" t="s">
        <v>124</v>
      </c>
      <c r="P858" s="2" t="s">
        <v>234</v>
      </c>
      <c r="Q858" s="2" t="s">
        <v>3522</v>
      </c>
      <c r="R858" s="2">
        <v>60616</v>
      </c>
      <c r="S858" s="2">
        <v>4</v>
      </c>
      <c r="T858" s="2" t="s">
        <v>417</v>
      </c>
      <c r="U858" s="2">
        <v>41.883415200000002</v>
      </c>
      <c r="V858" s="2">
        <v>-88.199737600000006</v>
      </c>
      <c r="W858" s="2" t="s">
        <v>74</v>
      </c>
      <c r="X858" s="2" t="s">
        <v>1334</v>
      </c>
      <c r="Y858" s="2" t="s">
        <v>116</v>
      </c>
      <c r="Z858" s="2">
        <v>5582</v>
      </c>
      <c r="AA858" s="3">
        <v>42196.434027777781</v>
      </c>
      <c r="AB858" s="2">
        <v>21267</v>
      </c>
      <c r="AC858" s="2">
        <v>403</v>
      </c>
      <c r="AD858" s="2">
        <v>15.6</v>
      </c>
      <c r="AE858" s="2">
        <v>0.12</v>
      </c>
      <c r="AF858" s="2" t="str" cm="1">
        <f t="array" ref="AF858">_xlfn.IFS(AE858=0, "No Discount ", AE858&lt;=0.08,"Low Discount", AE858&lt;=0.16,"Medium Discount", AE858&gt;0.16, "High Discount")</f>
        <v>Medium Discount</v>
      </c>
      <c r="AG858" s="2">
        <v>53192</v>
      </c>
      <c r="AH858" s="2">
        <v>129.99</v>
      </c>
      <c r="AI858" s="2">
        <v>0.09</v>
      </c>
      <c r="AJ858" s="2" t="str" cm="1">
        <f t="array" ref="AJ858">_xlfn.IFS(AI858&lt;=0, "No Profit", AI858&lt;=0.16,"Low Profit",AI858&lt;=0.32,"Medium Profit",AI858&gt;0.32,"High Profit")</f>
        <v>Low Profit</v>
      </c>
      <c r="AK858" s="2">
        <v>1</v>
      </c>
      <c r="AL858" s="2">
        <v>129.99</v>
      </c>
      <c r="AM858" s="2">
        <v>114.39</v>
      </c>
      <c r="AN858" s="2">
        <v>10.07</v>
      </c>
      <c r="AO858" s="2" t="s">
        <v>118</v>
      </c>
      <c r="AP858" s="2" t="s">
        <v>119</v>
      </c>
      <c r="AQ858" s="2" t="s">
        <v>80</v>
      </c>
      <c r="AR858" s="2" t="s">
        <v>81</v>
      </c>
      <c r="AS858" s="2">
        <v>403</v>
      </c>
      <c r="AT858" s="2">
        <v>18</v>
      </c>
      <c r="AU858" s="2" t="s">
        <v>869</v>
      </c>
      <c r="AV858" s="2">
        <v>129.99</v>
      </c>
      <c r="AW858" s="2">
        <v>0</v>
      </c>
      <c r="AX858" s="3">
        <v>42288.434027777781</v>
      </c>
      <c r="AY858" s="2" t="s">
        <v>83</v>
      </c>
      <c r="AZ858" s="4">
        <v>42196</v>
      </c>
      <c r="BA858" s="5">
        <v>0.43402777777777779</v>
      </c>
      <c r="BB858" s="2">
        <v>2015</v>
      </c>
      <c r="BC858" s="2" t="s">
        <v>533</v>
      </c>
      <c r="BD858" s="2">
        <v>11</v>
      </c>
      <c r="BE858" s="4">
        <v>42288</v>
      </c>
      <c r="BF858" s="5">
        <v>0.43402777777777779</v>
      </c>
      <c r="BG858" s="2" t="str" cm="1">
        <f t="array" ref="BG858">_xlfn.IFS(BF858&lt;TIMEVALUE("06:00"),"Night", BF858&gt;=TIMEVALUE("21:00"),"Night",BF858&gt;=TIMEVALUE("17:00"),"Evening",BF858&gt;=TIMEVALUE("12:00"),"Afternoon", BF858&gt;=TIMEVALUE("06:00"),"Morning")</f>
        <v>Morning</v>
      </c>
      <c r="BH858" s="2">
        <v>2015</v>
      </c>
      <c r="BI858" s="2" t="s">
        <v>434</v>
      </c>
      <c r="BJ858" s="2">
        <v>11</v>
      </c>
    </row>
    <row r="859" spans="1:62" x14ac:dyDescent="0.3">
      <c r="A859" s="2" t="s">
        <v>62</v>
      </c>
      <c r="B859" s="2">
        <v>5</v>
      </c>
      <c r="C859" s="2">
        <v>4</v>
      </c>
      <c r="D859" s="2">
        <v>45.76</v>
      </c>
      <c r="E859" s="2">
        <v>114.39</v>
      </c>
      <c r="F859" s="2" t="s">
        <v>87</v>
      </c>
      <c r="G859" s="2" t="s">
        <v>88</v>
      </c>
      <c r="H859" s="2">
        <v>18</v>
      </c>
      <c r="I859" s="2" t="s">
        <v>863</v>
      </c>
      <c r="J859" s="2" t="s">
        <v>3475</v>
      </c>
      <c r="K859" s="2" t="s">
        <v>102</v>
      </c>
      <c r="L859" s="2" t="s">
        <v>414</v>
      </c>
      <c r="M859" s="2">
        <v>1293</v>
      </c>
      <c r="N859" s="2" t="s">
        <v>1639</v>
      </c>
      <c r="O859" s="2" t="s">
        <v>124</v>
      </c>
      <c r="P859" s="2" t="s">
        <v>201</v>
      </c>
      <c r="Q859" s="2" t="s">
        <v>3476</v>
      </c>
      <c r="R859" s="2">
        <v>1844</v>
      </c>
      <c r="S859" s="2">
        <v>4</v>
      </c>
      <c r="T859" s="2" t="s">
        <v>417</v>
      </c>
      <c r="U859" s="2">
        <v>42.723968499999998</v>
      </c>
      <c r="V859" s="2">
        <v>-71.184768700000006</v>
      </c>
      <c r="W859" s="2" t="s">
        <v>74</v>
      </c>
      <c r="X859" s="2" t="s">
        <v>1334</v>
      </c>
      <c r="Y859" s="2" t="s">
        <v>116</v>
      </c>
      <c r="Z859" s="2">
        <v>1293</v>
      </c>
      <c r="AA859" s="2" t="s">
        <v>3477</v>
      </c>
      <c r="AB859" s="2">
        <v>31169</v>
      </c>
      <c r="AC859" s="2">
        <v>403</v>
      </c>
      <c r="AD859" s="2">
        <v>15.6</v>
      </c>
      <c r="AE859" s="2">
        <v>0.12</v>
      </c>
      <c r="AF859" s="2" t="str" cm="1">
        <f t="array" ref="AF859">_xlfn.IFS(AE859=0, "No Discount ", AE859&lt;=0.08,"Low Discount", AE859&lt;=0.16,"Medium Discount", AE859&gt;0.16, "High Discount")</f>
        <v>Medium Discount</v>
      </c>
      <c r="AG859" s="2">
        <v>77899</v>
      </c>
      <c r="AH859" s="2">
        <v>129.99</v>
      </c>
      <c r="AI859" s="2">
        <v>0.4</v>
      </c>
      <c r="AJ859" s="2" t="str" cm="1">
        <f t="array" ref="AJ859">_xlfn.IFS(AI859&lt;=0, "No Profit", AI859&lt;=0.16,"Low Profit",AI859&lt;=0.32,"Medium Profit",AI859&gt;0.32,"High Profit")</f>
        <v>High Profit</v>
      </c>
      <c r="AK859" s="2">
        <v>1</v>
      </c>
      <c r="AL859" s="2">
        <v>129.99</v>
      </c>
      <c r="AM859" s="2">
        <v>114.39</v>
      </c>
      <c r="AN859" s="2">
        <v>45.76</v>
      </c>
      <c r="AO859" s="2" t="s">
        <v>118</v>
      </c>
      <c r="AP859" s="2" t="s">
        <v>119</v>
      </c>
      <c r="AQ859" s="2" t="s">
        <v>80</v>
      </c>
      <c r="AR859" s="2" t="s">
        <v>81</v>
      </c>
      <c r="AS859" s="2">
        <v>403</v>
      </c>
      <c r="AT859" s="2">
        <v>18</v>
      </c>
      <c r="AU859" s="2" t="s">
        <v>869</v>
      </c>
      <c r="AV859" s="2">
        <v>129.99</v>
      </c>
      <c r="AW859" s="2">
        <v>0</v>
      </c>
      <c r="AX859" s="3">
        <v>42464.980555555558</v>
      </c>
      <c r="AY859" s="2" t="s">
        <v>83</v>
      </c>
      <c r="AZ859" s="4">
        <v>42459</v>
      </c>
      <c r="BA859" s="5">
        <v>0.98055555555555551</v>
      </c>
      <c r="BB859" s="2">
        <v>2016</v>
      </c>
      <c r="BC859" s="2" t="s">
        <v>85</v>
      </c>
      <c r="BD859" s="2">
        <v>30</v>
      </c>
      <c r="BE859" s="4">
        <v>42464</v>
      </c>
      <c r="BF859" s="5">
        <v>0.98055555555555551</v>
      </c>
      <c r="BG859" s="2" t="str" cm="1">
        <f t="array" ref="BG859">_xlfn.IFS(BF859&lt;TIMEVALUE("06:00"),"Night", BF859&gt;=TIMEVALUE("21:00"),"Night",BF859&gt;=TIMEVALUE("17:00"),"Evening",BF859&gt;=TIMEVALUE("12:00"),"Afternoon", BF859&gt;=TIMEVALUE("06:00"),"Morning")</f>
        <v>Night</v>
      </c>
      <c r="BH859" s="2">
        <v>2016</v>
      </c>
      <c r="BI859" s="2" t="s">
        <v>487</v>
      </c>
      <c r="BJ859" s="2">
        <v>4</v>
      </c>
    </row>
    <row r="860" spans="1:62" x14ac:dyDescent="0.3">
      <c r="A860" s="2" t="s">
        <v>62</v>
      </c>
      <c r="B860" s="2">
        <v>3</v>
      </c>
      <c r="C860" s="2">
        <v>4</v>
      </c>
      <c r="D860" s="2">
        <v>38.659999999999997</v>
      </c>
      <c r="E860" s="2">
        <v>114.39</v>
      </c>
      <c r="F860" s="2" t="s">
        <v>63</v>
      </c>
      <c r="G860" s="2" t="s">
        <v>64</v>
      </c>
      <c r="H860" s="2">
        <v>18</v>
      </c>
      <c r="I860" s="2" t="s">
        <v>863</v>
      </c>
      <c r="J860" s="2" t="s">
        <v>1147</v>
      </c>
      <c r="K860" s="2" t="s">
        <v>102</v>
      </c>
      <c r="L860" s="2" t="s">
        <v>3523</v>
      </c>
      <c r="M860" s="2">
        <v>6855</v>
      </c>
      <c r="N860" s="2" t="s">
        <v>3524</v>
      </c>
      <c r="O860" s="2" t="s">
        <v>124</v>
      </c>
      <c r="P860" s="2" t="s">
        <v>280</v>
      </c>
      <c r="Q860" s="2" t="s">
        <v>3525</v>
      </c>
      <c r="R860" s="2">
        <v>19143</v>
      </c>
      <c r="S860" s="2">
        <v>4</v>
      </c>
      <c r="T860" s="2" t="s">
        <v>417</v>
      </c>
      <c r="U860" s="2">
        <v>39.946628599999997</v>
      </c>
      <c r="V860" s="2">
        <v>-75.218223600000002</v>
      </c>
      <c r="W860" s="2" t="s">
        <v>74</v>
      </c>
      <c r="X860" s="2" t="s">
        <v>3526</v>
      </c>
      <c r="Y860" s="2" t="s">
        <v>116</v>
      </c>
      <c r="Z860" s="2">
        <v>6855</v>
      </c>
      <c r="AA860" s="2" t="s">
        <v>3527</v>
      </c>
      <c r="AB860" s="2">
        <v>30712</v>
      </c>
      <c r="AC860" s="2">
        <v>403</v>
      </c>
      <c r="AD860" s="2">
        <v>15.6</v>
      </c>
      <c r="AE860" s="2">
        <v>0.12</v>
      </c>
      <c r="AF860" s="2" t="str" cm="1">
        <f t="array" ref="AF860">_xlfn.IFS(AE860=0, "No Discount ", AE860&lt;=0.08,"Low Discount", AE860&lt;=0.16,"Medium Discount", AE860&gt;0.16, "High Discount")</f>
        <v>Medium Discount</v>
      </c>
      <c r="AG860" s="2">
        <v>76714</v>
      </c>
      <c r="AH860" s="2">
        <v>129.99</v>
      </c>
      <c r="AI860" s="2">
        <v>0.34</v>
      </c>
      <c r="AJ860" s="2" t="str" cm="1">
        <f t="array" ref="AJ860">_xlfn.IFS(AI860&lt;=0, "No Profit", AI860&lt;=0.16,"Low Profit",AI860&lt;=0.32,"Medium Profit",AI860&gt;0.32,"High Profit")</f>
        <v>High Profit</v>
      </c>
      <c r="AK860" s="2">
        <v>1</v>
      </c>
      <c r="AL860" s="2">
        <v>129.99</v>
      </c>
      <c r="AM860" s="2">
        <v>114.39</v>
      </c>
      <c r="AN860" s="2">
        <v>38.659999999999997</v>
      </c>
      <c r="AO860" s="2" t="s">
        <v>118</v>
      </c>
      <c r="AP860" s="2" t="s">
        <v>355</v>
      </c>
      <c r="AQ860" s="2" t="s">
        <v>80</v>
      </c>
      <c r="AR860" s="2" t="s">
        <v>81</v>
      </c>
      <c r="AS860" s="2">
        <v>403</v>
      </c>
      <c r="AT860" s="2">
        <v>18</v>
      </c>
      <c r="AU860" s="2" t="s">
        <v>869</v>
      </c>
      <c r="AV860" s="2">
        <v>129.99</v>
      </c>
      <c r="AW860" s="2">
        <v>0</v>
      </c>
      <c r="AX860" s="2" t="s">
        <v>3528</v>
      </c>
      <c r="AY860" s="2" t="s">
        <v>83</v>
      </c>
      <c r="AZ860" s="4">
        <v>42453</v>
      </c>
      <c r="BA860" s="5">
        <v>0.30902777777777779</v>
      </c>
      <c r="BB860" s="2">
        <v>2016</v>
      </c>
      <c r="BC860" s="2" t="s">
        <v>85</v>
      </c>
      <c r="BD860" s="2">
        <v>24</v>
      </c>
      <c r="BE860" s="4">
        <v>42456</v>
      </c>
      <c r="BF860" s="5">
        <v>0.30902777777777779</v>
      </c>
      <c r="BG860" s="2" t="str" cm="1">
        <f t="array" ref="BG860">_xlfn.IFS(BF860&lt;TIMEVALUE("06:00"),"Night", BF860&gt;=TIMEVALUE("21:00"),"Night",BF860&gt;=TIMEVALUE("17:00"),"Evening",BF860&gt;=TIMEVALUE("12:00"),"Afternoon", BF860&gt;=TIMEVALUE("06:00"),"Morning")</f>
        <v>Morning</v>
      </c>
      <c r="BH860" s="2">
        <v>2016</v>
      </c>
      <c r="BI860" s="2" t="s">
        <v>85</v>
      </c>
      <c r="BJ860" s="2">
        <v>27</v>
      </c>
    </row>
    <row r="861" spans="1:62" x14ac:dyDescent="0.3">
      <c r="A861" s="2" t="s">
        <v>62</v>
      </c>
      <c r="B861" s="2">
        <v>3</v>
      </c>
      <c r="C861" s="2">
        <v>4</v>
      </c>
      <c r="D861" s="2">
        <v>54.91</v>
      </c>
      <c r="E861" s="2">
        <v>114.39</v>
      </c>
      <c r="F861" s="2" t="s">
        <v>63</v>
      </c>
      <c r="G861" s="2" t="s">
        <v>64</v>
      </c>
      <c r="H861" s="2">
        <v>18</v>
      </c>
      <c r="I861" s="2" t="s">
        <v>863</v>
      </c>
      <c r="J861" s="2" t="s">
        <v>3529</v>
      </c>
      <c r="K861" s="2" t="s">
        <v>102</v>
      </c>
      <c r="L861" s="2" t="s">
        <v>414</v>
      </c>
      <c r="M861" s="2">
        <v>10026</v>
      </c>
      <c r="N861" s="2" t="s">
        <v>1839</v>
      </c>
      <c r="O861" s="2" t="s">
        <v>124</v>
      </c>
      <c r="P861" s="2" t="s">
        <v>333</v>
      </c>
      <c r="Q861" s="2" t="s">
        <v>1169</v>
      </c>
      <c r="R861" s="2">
        <v>78501</v>
      </c>
      <c r="S861" s="2">
        <v>4</v>
      </c>
      <c r="T861" s="2" t="s">
        <v>417</v>
      </c>
      <c r="U861" s="2">
        <v>26.205587399999999</v>
      </c>
      <c r="V861" s="2">
        <v>-98.235488900000007</v>
      </c>
      <c r="W861" s="2" t="s">
        <v>74</v>
      </c>
      <c r="X861" s="2" t="s">
        <v>1316</v>
      </c>
      <c r="Y861" s="2" t="s">
        <v>116</v>
      </c>
      <c r="Z861" s="2">
        <v>10026</v>
      </c>
      <c r="AA861" s="3">
        <v>42402.144444444442</v>
      </c>
      <c r="AB861" s="2">
        <v>27207</v>
      </c>
      <c r="AC861" s="2">
        <v>403</v>
      </c>
      <c r="AD861" s="2">
        <v>15.6</v>
      </c>
      <c r="AE861" s="2">
        <v>0.12</v>
      </c>
      <c r="AF861" s="2" t="str" cm="1">
        <f t="array" ref="AF861">_xlfn.IFS(AE861=0, "No Discount ", AE861&lt;=0.08,"Low Discount", AE861&lt;=0.16,"Medium Discount", AE861&gt;0.16, "High Discount")</f>
        <v>Medium Discount</v>
      </c>
      <c r="AG861" s="2">
        <v>68159</v>
      </c>
      <c r="AH861" s="2">
        <v>129.99</v>
      </c>
      <c r="AI861" s="2">
        <v>0.48</v>
      </c>
      <c r="AJ861" s="2" t="str" cm="1">
        <f t="array" ref="AJ861">_xlfn.IFS(AI861&lt;=0, "No Profit", AI861&lt;=0.16,"Low Profit",AI861&lt;=0.32,"Medium Profit",AI861&gt;0.32,"High Profit")</f>
        <v>High Profit</v>
      </c>
      <c r="AK861" s="2">
        <v>1</v>
      </c>
      <c r="AL861" s="2">
        <v>129.99</v>
      </c>
      <c r="AM861" s="2">
        <v>114.39</v>
      </c>
      <c r="AN861" s="2">
        <v>54.91</v>
      </c>
      <c r="AO861" s="2" t="s">
        <v>118</v>
      </c>
      <c r="AP861" s="2" t="s">
        <v>355</v>
      </c>
      <c r="AQ861" s="2" t="s">
        <v>80</v>
      </c>
      <c r="AR861" s="2" t="s">
        <v>81</v>
      </c>
      <c r="AS861" s="2">
        <v>403</v>
      </c>
      <c r="AT861" s="2">
        <v>18</v>
      </c>
      <c r="AU861" s="2" t="s">
        <v>869</v>
      </c>
      <c r="AV861" s="2">
        <v>129.99</v>
      </c>
      <c r="AW861" s="2">
        <v>0</v>
      </c>
      <c r="AX861" s="3">
        <v>42492.144444444442</v>
      </c>
      <c r="AY861" s="2" t="s">
        <v>83</v>
      </c>
      <c r="AZ861" s="4">
        <v>42402</v>
      </c>
      <c r="BA861" s="5">
        <v>0.14444444444444443</v>
      </c>
      <c r="BB861" s="2">
        <v>2016</v>
      </c>
      <c r="BC861" s="2" t="s">
        <v>423</v>
      </c>
      <c r="BD861" s="2">
        <v>2</v>
      </c>
      <c r="BE861" s="4">
        <v>42492</v>
      </c>
      <c r="BF861" s="5">
        <v>0.14444444444444443</v>
      </c>
      <c r="BG861" s="2" t="str" cm="1">
        <f t="array" ref="BG861">_xlfn.IFS(BF861&lt;TIMEVALUE("06:00"),"Night", BF861&gt;=TIMEVALUE("21:00"),"Night",BF861&gt;=TIMEVALUE("17:00"),"Evening",BF861&gt;=TIMEVALUE("12:00"),"Afternoon", BF861&gt;=TIMEVALUE("06:00"),"Morning")</f>
        <v>Night</v>
      </c>
      <c r="BH861" s="2">
        <v>2016</v>
      </c>
      <c r="BI861" s="2" t="s">
        <v>443</v>
      </c>
      <c r="BJ861" s="2">
        <v>2</v>
      </c>
    </row>
    <row r="862" spans="1:62" x14ac:dyDescent="0.3">
      <c r="A862" s="2" t="s">
        <v>62</v>
      </c>
      <c r="B862" s="2">
        <v>3</v>
      </c>
      <c r="C862" s="2">
        <v>4</v>
      </c>
      <c r="D862" s="2">
        <v>-11.21</v>
      </c>
      <c r="E862" s="2">
        <v>189.92</v>
      </c>
      <c r="F862" s="2" t="s">
        <v>63</v>
      </c>
      <c r="G862" s="2" t="s">
        <v>64</v>
      </c>
      <c r="H862" s="2">
        <v>76</v>
      </c>
      <c r="I862" s="2" t="s">
        <v>1351</v>
      </c>
      <c r="J862" s="2" t="s">
        <v>110</v>
      </c>
      <c r="K862" s="2" t="s">
        <v>102</v>
      </c>
      <c r="L862" s="2" t="s">
        <v>2022</v>
      </c>
      <c r="M862" s="2">
        <v>20400</v>
      </c>
      <c r="N862" s="2" t="s">
        <v>3530</v>
      </c>
      <c r="O862" s="2" t="s">
        <v>124</v>
      </c>
      <c r="P862" s="2" t="s">
        <v>105</v>
      </c>
      <c r="Q862" s="2" t="s">
        <v>3531</v>
      </c>
      <c r="R862" s="2">
        <v>90032</v>
      </c>
      <c r="S862" s="2">
        <v>4</v>
      </c>
      <c r="T862" s="2" t="s">
        <v>417</v>
      </c>
      <c r="U862" s="2">
        <v>34.081653600000003</v>
      </c>
      <c r="V862" s="2">
        <v>-118.17835239999999</v>
      </c>
      <c r="W862" s="2" t="s">
        <v>74</v>
      </c>
      <c r="X862" s="2" t="s">
        <v>1416</v>
      </c>
      <c r="Y862" s="2" t="s">
        <v>116</v>
      </c>
      <c r="Z862" s="2">
        <v>20400</v>
      </c>
      <c r="AA862" s="2" t="s">
        <v>3532</v>
      </c>
      <c r="AB862" s="2">
        <v>76847</v>
      </c>
      <c r="AC862" s="2">
        <v>1363</v>
      </c>
      <c r="AD862" s="2">
        <v>25.9</v>
      </c>
      <c r="AE862" s="2">
        <v>0.12</v>
      </c>
      <c r="AF862" s="2" t="str" cm="1">
        <f t="array" ref="AF862">_xlfn.IFS(AE862=0, "No Discount ", AE862&lt;=0.08,"Low Discount", AE862&lt;=0.16,"Medium Discount", AE862&gt;0.16, "High Discount")</f>
        <v>Medium Discount</v>
      </c>
      <c r="AG862" s="2">
        <v>180162</v>
      </c>
      <c r="AH862" s="2">
        <v>215.82</v>
      </c>
      <c r="AI862" s="2">
        <v>-0.06</v>
      </c>
      <c r="AJ862" s="2" t="str" cm="1">
        <f t="array" ref="AJ862">_xlfn.IFS(AI862&lt;=0, "No Profit", AI862&lt;=0.16,"Low Profit",AI862&lt;=0.32,"Medium Profit",AI862&gt;0.32,"High Profit")</f>
        <v>No Profit</v>
      </c>
      <c r="AK862" s="2">
        <v>1</v>
      </c>
      <c r="AL862" s="2">
        <v>215.82</v>
      </c>
      <c r="AM862" s="2">
        <v>189.92</v>
      </c>
      <c r="AN862" s="2">
        <v>-11.21</v>
      </c>
      <c r="AO862" s="2" t="s">
        <v>118</v>
      </c>
      <c r="AP862" s="2" t="s">
        <v>275</v>
      </c>
      <c r="AQ862" s="2" t="s">
        <v>80</v>
      </c>
      <c r="AR862" s="2" t="s">
        <v>81</v>
      </c>
      <c r="AS862" s="2">
        <v>1363</v>
      </c>
      <c r="AT862" s="2">
        <v>76</v>
      </c>
      <c r="AU862" s="2" t="s">
        <v>1356</v>
      </c>
      <c r="AV862" s="2">
        <v>215.82</v>
      </c>
      <c r="AW862" s="2">
        <v>0</v>
      </c>
      <c r="AX862" s="2" t="s">
        <v>3533</v>
      </c>
      <c r="AY862" s="2" t="s">
        <v>83</v>
      </c>
      <c r="AZ862" s="4">
        <v>43126</v>
      </c>
      <c r="BA862" s="5">
        <v>0.77361111111111114</v>
      </c>
      <c r="BB862" s="2">
        <v>2018</v>
      </c>
      <c r="BC862" s="2" t="s">
        <v>84</v>
      </c>
      <c r="BD862" s="2">
        <v>26</v>
      </c>
      <c r="BE862" s="4">
        <v>43129</v>
      </c>
      <c r="BF862" s="5">
        <v>0.77361111111111114</v>
      </c>
      <c r="BG862" s="2" t="str" cm="1">
        <f t="array" ref="BG862">_xlfn.IFS(BF862&lt;TIMEVALUE("06:00"),"Night", BF862&gt;=TIMEVALUE("21:00"),"Night",BF862&gt;=TIMEVALUE("17:00"),"Evening",BF862&gt;=TIMEVALUE("12:00"),"Afternoon", BF862&gt;=TIMEVALUE("06:00"),"Morning")</f>
        <v>Evening</v>
      </c>
      <c r="BH862" s="2">
        <v>2018</v>
      </c>
      <c r="BI862" s="2" t="s">
        <v>84</v>
      </c>
      <c r="BJ862" s="2">
        <v>29</v>
      </c>
    </row>
    <row r="863" spans="1:62" x14ac:dyDescent="0.3">
      <c r="A863" s="2" t="s">
        <v>62</v>
      </c>
      <c r="B863" s="2">
        <v>2</v>
      </c>
      <c r="C863" s="2">
        <v>4</v>
      </c>
      <c r="D863" s="2">
        <v>29.74</v>
      </c>
      <c r="E863" s="2">
        <v>114.39</v>
      </c>
      <c r="F863" s="2" t="s">
        <v>63</v>
      </c>
      <c r="G863" s="2" t="s">
        <v>64</v>
      </c>
      <c r="H863" s="2">
        <v>18</v>
      </c>
      <c r="I863" s="2" t="s">
        <v>863</v>
      </c>
      <c r="J863" s="2" t="s">
        <v>3478</v>
      </c>
      <c r="K863" s="2" t="s">
        <v>102</v>
      </c>
      <c r="L863" s="2" t="s">
        <v>786</v>
      </c>
      <c r="M863" s="2">
        <v>6961</v>
      </c>
      <c r="N863" s="2" t="s">
        <v>2151</v>
      </c>
      <c r="O863" s="2" t="s">
        <v>124</v>
      </c>
      <c r="P863" s="2" t="s">
        <v>105</v>
      </c>
      <c r="Q863" s="2" t="s">
        <v>3479</v>
      </c>
      <c r="R863" s="2">
        <v>92627</v>
      </c>
      <c r="S863" s="2">
        <v>4</v>
      </c>
      <c r="T863" s="2" t="s">
        <v>417</v>
      </c>
      <c r="U863" s="2">
        <v>33.642261499999996</v>
      </c>
      <c r="V863" s="2">
        <v>-117.9133224</v>
      </c>
      <c r="W863" s="2" t="s">
        <v>74</v>
      </c>
      <c r="X863" s="2" t="s">
        <v>3480</v>
      </c>
      <c r="Y863" s="2" t="s">
        <v>93</v>
      </c>
      <c r="Z863" s="2">
        <v>6961</v>
      </c>
      <c r="AA863" s="2" t="s">
        <v>3481</v>
      </c>
      <c r="AB863" s="2">
        <v>21906</v>
      </c>
      <c r="AC863" s="2">
        <v>403</v>
      </c>
      <c r="AD863" s="2">
        <v>15.6</v>
      </c>
      <c r="AE863" s="2">
        <v>0.12</v>
      </c>
      <c r="AF863" s="2" t="str" cm="1">
        <f t="array" ref="AF863">_xlfn.IFS(AE863=0, "No Discount ", AE863&lt;=0.08,"Low Discount", AE863&lt;=0.16,"Medium Discount", AE863&gt;0.16, "High Discount")</f>
        <v>Medium Discount</v>
      </c>
      <c r="AG863" s="2">
        <v>54788</v>
      </c>
      <c r="AH863" s="2">
        <v>129.99</v>
      </c>
      <c r="AI863" s="2">
        <v>0.26</v>
      </c>
      <c r="AJ863" s="2" t="str" cm="1">
        <f t="array" ref="AJ863">_xlfn.IFS(AI863&lt;=0, "No Profit", AI863&lt;=0.16,"Low Profit",AI863&lt;=0.32,"Medium Profit",AI863&gt;0.32,"High Profit")</f>
        <v>Medium Profit</v>
      </c>
      <c r="AK863" s="2">
        <v>1</v>
      </c>
      <c r="AL863" s="2">
        <v>129.99</v>
      </c>
      <c r="AM863" s="2">
        <v>114.39</v>
      </c>
      <c r="AN863" s="2">
        <v>29.74</v>
      </c>
      <c r="AO863" s="2" t="s">
        <v>95</v>
      </c>
      <c r="AP863" s="2" t="s">
        <v>196</v>
      </c>
      <c r="AQ863" s="2" t="s">
        <v>80</v>
      </c>
      <c r="AR863" s="2" t="s">
        <v>81</v>
      </c>
      <c r="AS863" s="2">
        <v>403</v>
      </c>
      <c r="AT863" s="2">
        <v>18</v>
      </c>
      <c r="AU863" s="2" t="s">
        <v>869</v>
      </c>
      <c r="AV863" s="2">
        <v>129.99</v>
      </c>
      <c r="AW863" s="2">
        <v>0</v>
      </c>
      <c r="AX863" s="2" t="s">
        <v>3482</v>
      </c>
      <c r="AY863" s="2" t="s">
        <v>83</v>
      </c>
      <c r="AZ863" s="4">
        <v>42324</v>
      </c>
      <c r="BA863" s="5">
        <v>0.76180555555555551</v>
      </c>
      <c r="BB863" s="2">
        <v>2015</v>
      </c>
      <c r="BC863" s="2" t="s">
        <v>455</v>
      </c>
      <c r="BD863" s="2">
        <v>16</v>
      </c>
      <c r="BE863" s="4">
        <v>42326</v>
      </c>
      <c r="BF863" s="5">
        <v>0.76180555555555551</v>
      </c>
      <c r="BG863" s="2" t="str" cm="1">
        <f t="array" ref="BG863">_xlfn.IFS(BF863&lt;TIMEVALUE("06:00"),"Night", BF863&gt;=TIMEVALUE("21:00"),"Night",BF863&gt;=TIMEVALUE("17:00"),"Evening",BF863&gt;=TIMEVALUE("12:00"),"Afternoon", BF863&gt;=TIMEVALUE("06:00"),"Morning")</f>
        <v>Evening</v>
      </c>
      <c r="BH863" s="2">
        <v>2015</v>
      </c>
      <c r="BI863" s="2" t="s">
        <v>455</v>
      </c>
      <c r="BJ863" s="2">
        <v>18</v>
      </c>
    </row>
    <row r="864" spans="1:62" x14ac:dyDescent="0.3">
      <c r="A864" s="2" t="s">
        <v>62</v>
      </c>
      <c r="B864" s="2">
        <v>3</v>
      </c>
      <c r="C864" s="2">
        <v>4</v>
      </c>
      <c r="D864" s="2">
        <v>-25.74</v>
      </c>
      <c r="E864" s="2">
        <v>114.39</v>
      </c>
      <c r="F864" s="2" t="s">
        <v>63</v>
      </c>
      <c r="G864" s="2" t="s">
        <v>64</v>
      </c>
      <c r="H864" s="2">
        <v>18</v>
      </c>
      <c r="I864" s="2" t="s">
        <v>863</v>
      </c>
      <c r="J864" s="2" t="s">
        <v>3534</v>
      </c>
      <c r="K864" s="2" t="s">
        <v>102</v>
      </c>
      <c r="L864" s="2" t="s">
        <v>414</v>
      </c>
      <c r="M864" s="2">
        <v>6956</v>
      </c>
      <c r="N864" s="2" t="s">
        <v>2418</v>
      </c>
      <c r="O864" s="2" t="s">
        <v>124</v>
      </c>
      <c r="P864" s="2" t="s">
        <v>234</v>
      </c>
      <c r="Q864" s="2" t="s">
        <v>3535</v>
      </c>
      <c r="R864" s="2">
        <v>60435</v>
      </c>
      <c r="S864" s="2">
        <v>4</v>
      </c>
      <c r="T864" s="2" t="s">
        <v>417</v>
      </c>
      <c r="U864" s="2">
        <v>41.551608999999999</v>
      </c>
      <c r="V864" s="2">
        <v>-88.125625600000006</v>
      </c>
      <c r="W864" s="2" t="s">
        <v>74</v>
      </c>
      <c r="X864" s="2" t="s">
        <v>3536</v>
      </c>
      <c r="Y864" s="2" t="s">
        <v>93</v>
      </c>
      <c r="Z864" s="2">
        <v>6956</v>
      </c>
      <c r="AA864" s="3">
        <v>42258.477777777778</v>
      </c>
      <c r="AB864" s="2">
        <v>21407</v>
      </c>
      <c r="AC864" s="2">
        <v>403</v>
      </c>
      <c r="AD864" s="2">
        <v>15.6</v>
      </c>
      <c r="AE864" s="2">
        <v>0.12</v>
      </c>
      <c r="AF864" s="2" t="str" cm="1">
        <f t="array" ref="AF864">_xlfn.IFS(AE864=0, "No Discount ", AE864&lt;=0.08,"Low Discount", AE864&lt;=0.16,"Medium Discount", AE864&gt;0.16, "High Discount")</f>
        <v>Medium Discount</v>
      </c>
      <c r="AG864" s="2">
        <v>53530</v>
      </c>
      <c r="AH864" s="2">
        <v>129.99</v>
      </c>
      <c r="AI864" s="2">
        <v>-0.23</v>
      </c>
      <c r="AJ864" s="2" t="str" cm="1">
        <f t="array" ref="AJ864">_xlfn.IFS(AI864&lt;=0, "No Profit", AI864&lt;=0.16,"Low Profit",AI864&lt;=0.32,"Medium Profit",AI864&gt;0.32,"High Profit")</f>
        <v>No Profit</v>
      </c>
      <c r="AK864" s="2">
        <v>1</v>
      </c>
      <c r="AL864" s="2">
        <v>129.99</v>
      </c>
      <c r="AM864" s="2">
        <v>114.39</v>
      </c>
      <c r="AN864" s="2">
        <v>-25.74</v>
      </c>
      <c r="AO864" s="2" t="s">
        <v>95</v>
      </c>
      <c r="AP864" s="2" t="s">
        <v>1521</v>
      </c>
      <c r="AQ864" s="2" t="s">
        <v>80</v>
      </c>
      <c r="AR864" s="2" t="s">
        <v>81</v>
      </c>
      <c r="AS864" s="2">
        <v>403</v>
      </c>
      <c r="AT864" s="2">
        <v>18</v>
      </c>
      <c r="AU864" s="2" t="s">
        <v>869</v>
      </c>
      <c r="AV864" s="2">
        <v>129.99</v>
      </c>
      <c r="AW864" s="2">
        <v>0</v>
      </c>
      <c r="AX864" s="3">
        <v>42349.477777777778</v>
      </c>
      <c r="AY864" s="2" t="s">
        <v>83</v>
      </c>
      <c r="AZ864" s="4">
        <v>42258</v>
      </c>
      <c r="BA864" s="5">
        <v>0.4777777777777778</v>
      </c>
      <c r="BB864" s="2">
        <v>2015</v>
      </c>
      <c r="BC864" s="2" t="s">
        <v>552</v>
      </c>
      <c r="BD864" s="2">
        <v>11</v>
      </c>
      <c r="BE864" s="4">
        <v>42349</v>
      </c>
      <c r="BF864" s="5">
        <v>0.4777777777777778</v>
      </c>
      <c r="BG864" s="2" t="str" cm="1">
        <f t="array" ref="BG864">_xlfn.IFS(BF864&lt;TIMEVALUE("06:00"),"Night", BF864&gt;=TIMEVALUE("21:00"),"Night",BF864&gt;=TIMEVALUE("17:00"),"Evening",BF864&gt;=TIMEVALUE("12:00"),"Afternoon", BF864&gt;=TIMEVALUE("06:00"),"Morning")</f>
        <v>Morning</v>
      </c>
      <c r="BH864" s="2">
        <v>2015</v>
      </c>
      <c r="BI864" s="2" t="s">
        <v>357</v>
      </c>
      <c r="BJ864" s="2">
        <v>11</v>
      </c>
    </row>
    <row r="865" spans="1:62" x14ac:dyDescent="0.3">
      <c r="A865" s="2" t="s">
        <v>62</v>
      </c>
      <c r="B865" s="2">
        <v>6</v>
      </c>
      <c r="C865" s="2">
        <v>4</v>
      </c>
      <c r="D865" s="2">
        <v>13.73</v>
      </c>
      <c r="E865" s="2">
        <v>114.39</v>
      </c>
      <c r="F865" s="2" t="s">
        <v>87</v>
      </c>
      <c r="G865" s="2" t="s">
        <v>88</v>
      </c>
      <c r="H865" s="2">
        <v>18</v>
      </c>
      <c r="I865" s="2" t="s">
        <v>863</v>
      </c>
      <c r="J865" s="2" t="s">
        <v>3537</v>
      </c>
      <c r="K865" s="2" t="s">
        <v>102</v>
      </c>
      <c r="L865" s="2" t="s">
        <v>3283</v>
      </c>
      <c r="M865" s="2">
        <v>10082</v>
      </c>
      <c r="N865" s="2" t="s">
        <v>425</v>
      </c>
      <c r="O865" s="2" t="s">
        <v>124</v>
      </c>
      <c r="P865" s="2" t="s">
        <v>333</v>
      </c>
      <c r="Q865" s="2" t="s">
        <v>3538</v>
      </c>
      <c r="R865" s="2">
        <v>78520</v>
      </c>
      <c r="S865" s="2">
        <v>4</v>
      </c>
      <c r="T865" s="2" t="s">
        <v>417</v>
      </c>
      <c r="U865" s="2">
        <v>25.9068775</v>
      </c>
      <c r="V865" s="2">
        <v>-97.499137899999994</v>
      </c>
      <c r="W865" s="2" t="s">
        <v>74</v>
      </c>
      <c r="X865" s="2" t="s">
        <v>3486</v>
      </c>
      <c r="Y865" s="2" t="s">
        <v>93</v>
      </c>
      <c r="Z865" s="2">
        <v>10082</v>
      </c>
      <c r="AA865" s="3">
        <v>42370.656944444447</v>
      </c>
      <c r="AB865" s="2">
        <v>25050</v>
      </c>
      <c r="AC865" s="2">
        <v>403</v>
      </c>
      <c r="AD865" s="2">
        <v>15.6</v>
      </c>
      <c r="AE865" s="2">
        <v>0.12</v>
      </c>
      <c r="AF865" s="2" t="str" cm="1">
        <f t="array" ref="AF865">_xlfn.IFS(AE865=0, "No Discount ", AE865&lt;=0.08,"Low Discount", AE865&lt;=0.16,"Medium Discount", AE865&gt;0.16, "High Discount")</f>
        <v>Medium Discount</v>
      </c>
      <c r="AG865" s="2">
        <v>62767</v>
      </c>
      <c r="AH865" s="2">
        <v>129.99</v>
      </c>
      <c r="AI865" s="2">
        <v>0.12</v>
      </c>
      <c r="AJ865" s="2" t="str" cm="1">
        <f t="array" ref="AJ865">_xlfn.IFS(AI865&lt;=0, "No Profit", AI865&lt;=0.16,"Low Profit",AI865&lt;=0.32,"Medium Profit",AI865&gt;0.32,"High Profit")</f>
        <v>Low Profit</v>
      </c>
      <c r="AK865" s="2">
        <v>1</v>
      </c>
      <c r="AL865" s="2">
        <v>129.99</v>
      </c>
      <c r="AM865" s="2">
        <v>114.39</v>
      </c>
      <c r="AN865" s="2">
        <v>13.73</v>
      </c>
      <c r="AO865" s="2" t="s">
        <v>95</v>
      </c>
      <c r="AP865" s="2" t="s">
        <v>196</v>
      </c>
      <c r="AQ865" s="2" t="s">
        <v>80</v>
      </c>
      <c r="AR865" s="2" t="s">
        <v>81</v>
      </c>
      <c r="AS865" s="2">
        <v>403</v>
      </c>
      <c r="AT865" s="2">
        <v>18</v>
      </c>
      <c r="AU865" s="2" t="s">
        <v>869</v>
      </c>
      <c r="AV865" s="2">
        <v>129.99</v>
      </c>
      <c r="AW865" s="2">
        <v>0</v>
      </c>
      <c r="AX865" s="3">
        <v>42552.656944444447</v>
      </c>
      <c r="AY865" s="2" t="s">
        <v>83</v>
      </c>
      <c r="AZ865" s="4">
        <v>42370</v>
      </c>
      <c r="BA865" s="5">
        <v>0.65694444444444444</v>
      </c>
      <c r="BB865" s="2">
        <v>2016</v>
      </c>
      <c r="BC865" s="2" t="s">
        <v>84</v>
      </c>
      <c r="BD865" s="2">
        <v>1</v>
      </c>
      <c r="BE865" s="4">
        <v>42552</v>
      </c>
      <c r="BF865" s="5">
        <v>0.65694444444444444</v>
      </c>
      <c r="BG865" s="2" t="str" cm="1">
        <f t="array" ref="BG865">_xlfn.IFS(BF865&lt;TIMEVALUE("06:00"),"Night", BF865&gt;=TIMEVALUE("21:00"),"Night",BF865&gt;=TIMEVALUE("17:00"),"Evening",BF865&gt;=TIMEVALUE("12:00"),"Afternoon", BF865&gt;=TIMEVALUE("06:00"),"Morning")</f>
        <v>Afternoon</v>
      </c>
      <c r="BH865" s="2">
        <v>2016</v>
      </c>
      <c r="BI865" s="2" t="s">
        <v>533</v>
      </c>
      <c r="BJ865" s="2">
        <v>1</v>
      </c>
    </row>
    <row r="866" spans="1:62" x14ac:dyDescent="0.3">
      <c r="A866" s="2" t="s">
        <v>62</v>
      </c>
      <c r="B866" s="2">
        <v>4</v>
      </c>
      <c r="C866" s="2">
        <v>4</v>
      </c>
      <c r="D866" s="2">
        <v>29.74</v>
      </c>
      <c r="E866" s="2">
        <v>114.39</v>
      </c>
      <c r="F866" s="2" t="s">
        <v>100</v>
      </c>
      <c r="G866" s="2" t="s">
        <v>64</v>
      </c>
      <c r="H866" s="2">
        <v>18</v>
      </c>
      <c r="I866" s="2" t="s">
        <v>863</v>
      </c>
      <c r="J866" s="2" t="s">
        <v>1576</v>
      </c>
      <c r="K866" s="2" t="s">
        <v>102</v>
      </c>
      <c r="L866" s="2" t="s">
        <v>1094</v>
      </c>
      <c r="M866" s="2">
        <v>12038</v>
      </c>
      <c r="N866" s="2" t="s">
        <v>425</v>
      </c>
      <c r="O866" s="2" t="s">
        <v>124</v>
      </c>
      <c r="P866" s="2" t="s">
        <v>152</v>
      </c>
      <c r="Q866" s="2" t="s">
        <v>3461</v>
      </c>
      <c r="R866" s="2">
        <v>33312</v>
      </c>
      <c r="S866" s="2">
        <v>4</v>
      </c>
      <c r="T866" s="2" t="s">
        <v>417</v>
      </c>
      <c r="U866" s="2">
        <v>26.118034399999999</v>
      </c>
      <c r="V866" s="2">
        <v>-80.1894913</v>
      </c>
      <c r="W866" s="2" t="s">
        <v>74</v>
      </c>
      <c r="X866" s="2" t="s">
        <v>3503</v>
      </c>
      <c r="Y866" s="2" t="s">
        <v>1443</v>
      </c>
      <c r="Z866" s="2">
        <v>12038</v>
      </c>
      <c r="AA866" s="2" t="s">
        <v>3504</v>
      </c>
      <c r="AB866" s="2">
        <v>24438</v>
      </c>
      <c r="AC866" s="2">
        <v>403</v>
      </c>
      <c r="AD866" s="2">
        <v>15.6</v>
      </c>
      <c r="AE866" s="2">
        <v>0.12</v>
      </c>
      <c r="AF866" s="2" t="str" cm="1">
        <f t="array" ref="AF866">_xlfn.IFS(AE866=0, "No Discount ", AE866&lt;=0.08,"Low Discount", AE866&lt;=0.16,"Medium Discount", AE866&gt;0.16, "High Discount")</f>
        <v>Medium Discount</v>
      </c>
      <c r="AG866" s="2">
        <v>61144</v>
      </c>
      <c r="AH866" s="2">
        <v>129.99</v>
      </c>
      <c r="AI866" s="2">
        <v>0.26</v>
      </c>
      <c r="AJ866" s="2" t="str" cm="1">
        <f t="array" ref="AJ866">_xlfn.IFS(AI866&lt;=0, "No Profit", AI866&lt;=0.16,"Low Profit",AI866&lt;=0.32,"Medium Profit",AI866&gt;0.32,"High Profit")</f>
        <v>Medium Profit</v>
      </c>
      <c r="AK866" s="2">
        <v>1</v>
      </c>
      <c r="AL866" s="2">
        <v>129.99</v>
      </c>
      <c r="AM866" s="2">
        <v>114.39</v>
      </c>
      <c r="AN866" s="2">
        <v>29.74</v>
      </c>
      <c r="AO866" s="2" t="s">
        <v>78</v>
      </c>
      <c r="AP866" s="2" t="s">
        <v>3505</v>
      </c>
      <c r="AQ866" s="2" t="s">
        <v>80</v>
      </c>
      <c r="AR866" s="2" t="s">
        <v>81</v>
      </c>
      <c r="AS866" s="2">
        <v>403</v>
      </c>
      <c r="AT866" s="2">
        <v>18</v>
      </c>
      <c r="AU866" s="2" t="s">
        <v>869</v>
      </c>
      <c r="AV866" s="2">
        <v>129.99</v>
      </c>
      <c r="AW866" s="2">
        <v>0</v>
      </c>
      <c r="AX866" s="2" t="s">
        <v>3506</v>
      </c>
      <c r="AY866" s="2" t="s">
        <v>83</v>
      </c>
      <c r="AZ866" s="4">
        <v>42361</v>
      </c>
      <c r="BA866" s="5">
        <v>0.72361111111111109</v>
      </c>
      <c r="BB866" s="2">
        <v>2015</v>
      </c>
      <c r="BC866" s="2" t="s">
        <v>357</v>
      </c>
      <c r="BD866" s="2">
        <v>23</v>
      </c>
      <c r="BE866" s="4">
        <v>42365</v>
      </c>
      <c r="BF866" s="5">
        <v>0.72361111111111109</v>
      </c>
      <c r="BG866" s="2" t="str" cm="1">
        <f t="array" ref="BG866">_xlfn.IFS(BF866&lt;TIMEVALUE("06:00"),"Night", BF866&gt;=TIMEVALUE("21:00"),"Night",BF866&gt;=TIMEVALUE("17:00"),"Evening",BF866&gt;=TIMEVALUE("12:00"),"Afternoon", BF866&gt;=TIMEVALUE("06:00"),"Morning")</f>
        <v>Evening</v>
      </c>
      <c r="BH866" s="2">
        <v>2015</v>
      </c>
      <c r="BI866" s="2" t="s">
        <v>357</v>
      </c>
      <c r="BJ866" s="2">
        <v>27</v>
      </c>
    </row>
    <row r="867" spans="1:62" x14ac:dyDescent="0.3">
      <c r="A867" s="2" t="s">
        <v>62</v>
      </c>
      <c r="B867" s="2">
        <v>3</v>
      </c>
      <c r="C867" s="2">
        <v>4</v>
      </c>
      <c r="D867" s="2">
        <v>40.04</v>
      </c>
      <c r="E867" s="2">
        <v>114.39</v>
      </c>
      <c r="F867" s="2" t="s">
        <v>63</v>
      </c>
      <c r="G867" s="2" t="s">
        <v>64</v>
      </c>
      <c r="H867" s="2">
        <v>18</v>
      </c>
      <c r="I867" s="2" t="s">
        <v>863</v>
      </c>
      <c r="J867" s="2" t="s">
        <v>1282</v>
      </c>
      <c r="K867" s="2" t="s">
        <v>102</v>
      </c>
      <c r="L867" s="2" t="s">
        <v>414</v>
      </c>
      <c r="M867" s="2">
        <v>1839</v>
      </c>
      <c r="N867" s="2" t="s">
        <v>2812</v>
      </c>
      <c r="O867" s="2" t="s">
        <v>124</v>
      </c>
      <c r="P867" s="2" t="s">
        <v>1102</v>
      </c>
      <c r="Q867" s="2" t="s">
        <v>2500</v>
      </c>
      <c r="R867" s="2">
        <v>20904</v>
      </c>
      <c r="S867" s="2">
        <v>4</v>
      </c>
      <c r="T867" s="2" t="s">
        <v>417</v>
      </c>
      <c r="U867" s="2">
        <v>39.04636</v>
      </c>
      <c r="V867" s="2">
        <v>-76.982727100000005</v>
      </c>
      <c r="W867" s="2" t="s">
        <v>74</v>
      </c>
      <c r="X867" s="2" t="s">
        <v>3539</v>
      </c>
      <c r="Y867" s="2" t="s">
        <v>1443</v>
      </c>
      <c r="Z867" s="2">
        <v>1839</v>
      </c>
      <c r="AA867" s="2" t="s">
        <v>3540</v>
      </c>
      <c r="AB867" s="2">
        <v>23807</v>
      </c>
      <c r="AC867" s="2">
        <v>403</v>
      </c>
      <c r="AD867" s="2">
        <v>15.6</v>
      </c>
      <c r="AE867" s="2">
        <v>0.12</v>
      </c>
      <c r="AF867" s="2" t="str" cm="1">
        <f t="array" ref="AF867">_xlfn.IFS(AE867=0, "No Discount ", AE867&lt;=0.08,"Low Discount", AE867&lt;=0.16,"Medium Discount", AE867&gt;0.16, "High Discount")</f>
        <v>Medium Discount</v>
      </c>
      <c r="AG867" s="2">
        <v>59572</v>
      </c>
      <c r="AH867" s="2">
        <v>129.99</v>
      </c>
      <c r="AI867" s="2">
        <v>0.35</v>
      </c>
      <c r="AJ867" s="2" t="str" cm="1">
        <f t="array" ref="AJ867">_xlfn.IFS(AI867&lt;=0, "No Profit", AI867&lt;=0.16,"Low Profit",AI867&lt;=0.32,"Medium Profit",AI867&gt;0.32,"High Profit")</f>
        <v>High Profit</v>
      </c>
      <c r="AK867" s="2">
        <v>1</v>
      </c>
      <c r="AL867" s="2">
        <v>129.99</v>
      </c>
      <c r="AM867" s="2">
        <v>114.39</v>
      </c>
      <c r="AN867" s="2">
        <v>40.04</v>
      </c>
      <c r="AO867" s="2" t="s">
        <v>78</v>
      </c>
      <c r="AP867" s="2" t="s">
        <v>3541</v>
      </c>
      <c r="AQ867" s="2" t="s">
        <v>80</v>
      </c>
      <c r="AR867" s="2" t="s">
        <v>81</v>
      </c>
      <c r="AS867" s="2">
        <v>403</v>
      </c>
      <c r="AT867" s="2">
        <v>18</v>
      </c>
      <c r="AU867" s="2" t="s">
        <v>869</v>
      </c>
      <c r="AV867" s="2">
        <v>129.99</v>
      </c>
      <c r="AW867" s="2">
        <v>0</v>
      </c>
      <c r="AX867" s="2" t="s">
        <v>3542</v>
      </c>
      <c r="AY867" s="2" t="s">
        <v>83</v>
      </c>
      <c r="AZ867" s="4">
        <v>42352</v>
      </c>
      <c r="BA867" s="5">
        <v>0.51249999999999996</v>
      </c>
      <c r="BB867" s="2">
        <v>2015</v>
      </c>
      <c r="BC867" s="2" t="s">
        <v>357</v>
      </c>
      <c r="BD867" s="2">
        <v>14</v>
      </c>
      <c r="BE867" s="4">
        <v>42355</v>
      </c>
      <c r="BF867" s="5">
        <v>0.51249999999999996</v>
      </c>
      <c r="BG867" s="2" t="str" cm="1">
        <f t="array" ref="BG867">_xlfn.IFS(BF867&lt;TIMEVALUE("06:00"),"Night", BF867&gt;=TIMEVALUE("21:00"),"Night",BF867&gt;=TIMEVALUE("17:00"),"Evening",BF867&gt;=TIMEVALUE("12:00"),"Afternoon", BF867&gt;=TIMEVALUE("06:00"),"Morning")</f>
        <v>Afternoon</v>
      </c>
      <c r="BH867" s="2">
        <v>2015</v>
      </c>
      <c r="BI867" s="2" t="s">
        <v>357</v>
      </c>
      <c r="BJ867" s="2">
        <v>17</v>
      </c>
    </row>
    <row r="868" spans="1:62" x14ac:dyDescent="0.3">
      <c r="A868" s="2" t="s">
        <v>62</v>
      </c>
      <c r="B868" s="2">
        <v>5</v>
      </c>
      <c r="C868" s="2">
        <v>4</v>
      </c>
      <c r="D868" s="2">
        <v>-76.3</v>
      </c>
      <c r="E868" s="2">
        <v>114.39</v>
      </c>
      <c r="F868" s="2" t="s">
        <v>87</v>
      </c>
      <c r="G868" s="2" t="s">
        <v>88</v>
      </c>
      <c r="H868" s="2">
        <v>18</v>
      </c>
      <c r="I868" s="2" t="s">
        <v>863</v>
      </c>
      <c r="J868" s="2" t="s">
        <v>3543</v>
      </c>
      <c r="K868" s="2" t="s">
        <v>102</v>
      </c>
      <c r="L868" s="2" t="s">
        <v>414</v>
      </c>
      <c r="M868" s="2">
        <v>10155</v>
      </c>
      <c r="N868" s="2" t="s">
        <v>2594</v>
      </c>
      <c r="O868" s="2" t="s">
        <v>124</v>
      </c>
      <c r="P868" s="2" t="s">
        <v>1690</v>
      </c>
      <c r="Q868" s="2" t="s">
        <v>3544</v>
      </c>
      <c r="R868" s="2">
        <v>2860</v>
      </c>
      <c r="S868" s="2">
        <v>4</v>
      </c>
      <c r="T868" s="2" t="s">
        <v>417</v>
      </c>
      <c r="U868" s="2">
        <v>41.869068200000001</v>
      </c>
      <c r="V868" s="2">
        <v>-71.392082200000004</v>
      </c>
      <c r="W868" s="2" t="s">
        <v>74</v>
      </c>
      <c r="X868" s="2" t="s">
        <v>2389</v>
      </c>
      <c r="Y868" s="2" t="s">
        <v>76</v>
      </c>
      <c r="Z868" s="2">
        <v>10155</v>
      </c>
      <c r="AA868" s="3">
        <v>42227.631249999999</v>
      </c>
      <c r="AB868" s="2">
        <v>21349</v>
      </c>
      <c r="AC868" s="2">
        <v>403</v>
      </c>
      <c r="AD868" s="2">
        <v>15.6</v>
      </c>
      <c r="AE868" s="2">
        <v>0.12</v>
      </c>
      <c r="AF868" s="2" t="str" cm="1">
        <f t="array" ref="AF868">_xlfn.IFS(AE868=0, "No Discount ", AE868&lt;=0.08,"Low Discount", AE868&lt;=0.16,"Medium Discount", AE868&gt;0.16, "High Discount")</f>
        <v>Medium Discount</v>
      </c>
      <c r="AG868" s="2">
        <v>53387</v>
      </c>
      <c r="AH868" s="2">
        <v>129.99</v>
      </c>
      <c r="AI868" s="2">
        <v>-0.67</v>
      </c>
      <c r="AJ868" s="2" t="str" cm="1">
        <f t="array" ref="AJ868">_xlfn.IFS(AI868&lt;=0, "No Profit", AI868&lt;=0.16,"Low Profit",AI868&lt;=0.32,"Medium Profit",AI868&gt;0.32,"High Profit")</f>
        <v>No Profit</v>
      </c>
      <c r="AK868" s="2">
        <v>1</v>
      </c>
      <c r="AL868" s="2">
        <v>129.99</v>
      </c>
      <c r="AM868" s="2">
        <v>114.39</v>
      </c>
      <c r="AN868" s="2">
        <v>-76.3</v>
      </c>
      <c r="AO868" s="2" t="s">
        <v>78</v>
      </c>
      <c r="AP868" s="2" t="s">
        <v>2389</v>
      </c>
      <c r="AQ868" s="2" t="s">
        <v>80</v>
      </c>
      <c r="AR868" s="2" t="s">
        <v>81</v>
      </c>
      <c r="AS868" s="2">
        <v>403</v>
      </c>
      <c r="AT868" s="2">
        <v>18</v>
      </c>
      <c r="AU868" s="2" t="s">
        <v>869</v>
      </c>
      <c r="AV868" s="2">
        <v>129.99</v>
      </c>
      <c r="AW868" s="2">
        <v>0</v>
      </c>
      <c r="AX868" s="2" t="s">
        <v>3545</v>
      </c>
      <c r="AY868" s="2" t="s">
        <v>83</v>
      </c>
      <c r="AZ868" s="4">
        <v>42227</v>
      </c>
      <c r="BA868" s="5">
        <v>0.63124999999999998</v>
      </c>
      <c r="BB868" s="2">
        <v>2015</v>
      </c>
      <c r="BC868" s="2" t="s">
        <v>482</v>
      </c>
      <c r="BD868" s="2">
        <v>11</v>
      </c>
      <c r="BE868" s="4">
        <v>42321</v>
      </c>
      <c r="BF868" s="5">
        <v>0.63124999999999998</v>
      </c>
      <c r="BG868" s="2" t="str" cm="1">
        <f t="array" ref="BG868">_xlfn.IFS(BF868&lt;TIMEVALUE("06:00"),"Night", BF868&gt;=TIMEVALUE("21:00"),"Night",BF868&gt;=TIMEVALUE("17:00"),"Evening",BF868&gt;=TIMEVALUE("12:00"),"Afternoon", BF868&gt;=TIMEVALUE("06:00"),"Morning")</f>
        <v>Afternoon</v>
      </c>
      <c r="BH868" s="2">
        <v>2015</v>
      </c>
      <c r="BI868" s="2" t="s">
        <v>455</v>
      </c>
      <c r="BJ868" s="2">
        <v>13</v>
      </c>
    </row>
    <row r="869" spans="1:62" x14ac:dyDescent="0.3">
      <c r="A869" s="2" t="s">
        <v>62</v>
      </c>
      <c r="B869" s="2">
        <v>5</v>
      </c>
      <c r="C869" s="2">
        <v>4</v>
      </c>
      <c r="D869" s="2">
        <v>54.91</v>
      </c>
      <c r="E869" s="2">
        <v>114.39</v>
      </c>
      <c r="F869" s="2" t="s">
        <v>87</v>
      </c>
      <c r="G869" s="2" t="s">
        <v>88</v>
      </c>
      <c r="H869" s="2">
        <v>18</v>
      </c>
      <c r="I869" s="2" t="s">
        <v>863</v>
      </c>
      <c r="J869" s="2" t="s">
        <v>2071</v>
      </c>
      <c r="K869" s="2" t="s">
        <v>102</v>
      </c>
      <c r="L869" s="2" t="s">
        <v>414</v>
      </c>
      <c r="M869" s="2">
        <v>1098</v>
      </c>
      <c r="N869" s="2" t="s">
        <v>3546</v>
      </c>
      <c r="O869" s="2" t="s">
        <v>124</v>
      </c>
      <c r="P869" s="2" t="s">
        <v>1765</v>
      </c>
      <c r="Q869" s="2" t="s">
        <v>3547</v>
      </c>
      <c r="R869" s="2">
        <v>38401</v>
      </c>
      <c r="S869" s="2">
        <v>4</v>
      </c>
      <c r="T869" s="2" t="s">
        <v>417</v>
      </c>
      <c r="U869" s="2">
        <v>35.688846599999998</v>
      </c>
      <c r="V869" s="2">
        <v>-86.810043300000004</v>
      </c>
      <c r="W869" s="2" t="s">
        <v>74</v>
      </c>
      <c r="X869" s="2" t="s">
        <v>2389</v>
      </c>
      <c r="Y869" s="2" t="s">
        <v>76</v>
      </c>
      <c r="Z869" s="2">
        <v>1098</v>
      </c>
      <c r="AA869" s="2" t="s">
        <v>3548</v>
      </c>
      <c r="AB869" s="2">
        <v>22224</v>
      </c>
      <c r="AC869" s="2">
        <v>403</v>
      </c>
      <c r="AD869" s="2">
        <v>15.6</v>
      </c>
      <c r="AE869" s="2">
        <v>0.12</v>
      </c>
      <c r="AF869" s="2" t="str" cm="1">
        <f t="array" ref="AF869">_xlfn.IFS(AE869=0, "No Discount ", AE869&lt;=0.08,"Low Discount", AE869&lt;=0.16,"Medium Discount", AE869&gt;0.16, "High Discount")</f>
        <v>Medium Discount</v>
      </c>
      <c r="AG869" s="2">
        <v>55638</v>
      </c>
      <c r="AH869" s="2">
        <v>129.99</v>
      </c>
      <c r="AI869" s="2">
        <v>0.48</v>
      </c>
      <c r="AJ869" s="2" t="str" cm="1">
        <f t="array" ref="AJ869">_xlfn.IFS(AI869&lt;=0, "No Profit", AI869&lt;=0.16,"Low Profit",AI869&lt;=0.32,"Medium Profit",AI869&gt;0.32,"High Profit")</f>
        <v>High Profit</v>
      </c>
      <c r="AK869" s="2">
        <v>1</v>
      </c>
      <c r="AL869" s="2">
        <v>129.99</v>
      </c>
      <c r="AM869" s="2">
        <v>114.39</v>
      </c>
      <c r="AN869" s="2">
        <v>54.91</v>
      </c>
      <c r="AO869" s="2" t="s">
        <v>78</v>
      </c>
      <c r="AP869" s="2" t="s">
        <v>2389</v>
      </c>
      <c r="AQ869" s="2" t="s">
        <v>80</v>
      </c>
      <c r="AR869" s="2" t="s">
        <v>81</v>
      </c>
      <c r="AS869" s="2">
        <v>403</v>
      </c>
      <c r="AT869" s="2">
        <v>18</v>
      </c>
      <c r="AU869" s="2" t="s">
        <v>869</v>
      </c>
      <c r="AV869" s="2">
        <v>129.99</v>
      </c>
      <c r="AW869" s="2">
        <v>0</v>
      </c>
      <c r="AX869" s="2" t="s">
        <v>3549</v>
      </c>
      <c r="AY869" s="2" t="s">
        <v>83</v>
      </c>
      <c r="AZ869" s="4">
        <v>42329</v>
      </c>
      <c r="BA869" s="5">
        <v>0.40416666666666667</v>
      </c>
      <c r="BB869" s="2">
        <v>2015</v>
      </c>
      <c r="BC869" s="2" t="s">
        <v>455</v>
      </c>
      <c r="BD869" s="2">
        <v>21</v>
      </c>
      <c r="BE869" s="4">
        <v>42334</v>
      </c>
      <c r="BF869" s="5">
        <v>0.40416666666666667</v>
      </c>
      <c r="BG869" s="2" t="str" cm="1">
        <f t="array" ref="BG869">_xlfn.IFS(BF869&lt;TIMEVALUE("06:00"),"Night", BF869&gt;=TIMEVALUE("21:00"),"Night",BF869&gt;=TIMEVALUE("17:00"),"Evening",BF869&gt;=TIMEVALUE("12:00"),"Afternoon", BF869&gt;=TIMEVALUE("06:00"),"Morning")</f>
        <v>Morning</v>
      </c>
      <c r="BH869" s="2">
        <v>2015</v>
      </c>
      <c r="BI869" s="2" t="s">
        <v>455</v>
      </c>
      <c r="BJ869" s="2">
        <v>26</v>
      </c>
    </row>
    <row r="870" spans="1:62" x14ac:dyDescent="0.3">
      <c r="A870" s="2" t="s">
        <v>62</v>
      </c>
      <c r="B870" s="2">
        <v>2</v>
      </c>
      <c r="C870" s="2">
        <v>4</v>
      </c>
      <c r="D870" s="2">
        <v>5.28</v>
      </c>
      <c r="E870" s="2">
        <v>52.79</v>
      </c>
      <c r="F870" s="2" t="s">
        <v>63</v>
      </c>
      <c r="G870" s="2" t="s">
        <v>64</v>
      </c>
      <c r="H870" s="2">
        <v>17</v>
      </c>
      <c r="I870" s="2" t="s">
        <v>412</v>
      </c>
      <c r="J870" s="2" t="s">
        <v>3550</v>
      </c>
      <c r="K870" s="2" t="s">
        <v>102</v>
      </c>
      <c r="L870" s="2" t="s">
        <v>1116</v>
      </c>
      <c r="M870" s="2">
        <v>3172</v>
      </c>
      <c r="N870" s="2" t="s">
        <v>1995</v>
      </c>
      <c r="O870" s="2" t="s">
        <v>124</v>
      </c>
      <c r="P870" s="2" t="s">
        <v>1271</v>
      </c>
      <c r="Q870" s="2" t="s">
        <v>3551</v>
      </c>
      <c r="R870" s="2">
        <v>80918</v>
      </c>
      <c r="S870" s="2">
        <v>4</v>
      </c>
      <c r="T870" s="2" t="s">
        <v>417</v>
      </c>
      <c r="U870" s="2">
        <v>38.905815099999998</v>
      </c>
      <c r="V870" s="2">
        <v>-104.77515409999999</v>
      </c>
      <c r="W870" s="2" t="s">
        <v>74</v>
      </c>
      <c r="X870" s="2" t="s">
        <v>3552</v>
      </c>
      <c r="Y870" s="2" t="s">
        <v>429</v>
      </c>
      <c r="Z870" s="2">
        <v>3172</v>
      </c>
      <c r="AA870" s="2" t="s">
        <v>3553</v>
      </c>
      <c r="AB870" s="2">
        <v>49806</v>
      </c>
      <c r="AC870" s="2">
        <v>365</v>
      </c>
      <c r="AD870" s="2">
        <v>7.2</v>
      </c>
      <c r="AE870" s="2">
        <v>0.12</v>
      </c>
      <c r="AF870" s="2" t="str" cm="1">
        <f t="array" ref="AF870">_xlfn.IFS(AE870=0, "No Discount ", AE870&lt;=0.08,"Low Discount", AE870&lt;=0.16,"Medium Discount", AE870&gt;0.16, "High Discount")</f>
        <v>Medium Discount</v>
      </c>
      <c r="AG870" s="2">
        <v>124509</v>
      </c>
      <c r="AH870" s="2">
        <v>59.99</v>
      </c>
      <c r="AI870" s="2">
        <v>0.1</v>
      </c>
      <c r="AJ870" s="2" t="str" cm="1">
        <f t="array" ref="AJ870">_xlfn.IFS(AI870&lt;=0, "No Profit", AI870&lt;=0.16,"Low Profit",AI870&lt;=0.32,"Medium Profit",AI870&gt;0.32,"High Profit")</f>
        <v>Low Profit</v>
      </c>
      <c r="AK870" s="2">
        <v>1</v>
      </c>
      <c r="AL870" s="2">
        <v>59.99</v>
      </c>
      <c r="AM870" s="2">
        <v>52.79</v>
      </c>
      <c r="AN870" s="2">
        <v>5.28</v>
      </c>
      <c r="AO870" s="2" t="s">
        <v>431</v>
      </c>
      <c r="AP870" s="2" t="s">
        <v>3554</v>
      </c>
      <c r="AQ870" s="2" t="s">
        <v>80</v>
      </c>
      <c r="AR870" s="2" t="s">
        <v>81</v>
      </c>
      <c r="AS870" s="2">
        <v>365</v>
      </c>
      <c r="AT870" s="2">
        <v>17</v>
      </c>
      <c r="AU870" s="2" t="s">
        <v>421</v>
      </c>
      <c r="AV870" s="2">
        <v>59.99</v>
      </c>
      <c r="AW870" s="2">
        <v>0</v>
      </c>
      <c r="AX870" s="2" t="s">
        <v>3555</v>
      </c>
      <c r="AY870" s="2" t="s">
        <v>83</v>
      </c>
      <c r="AZ870" s="4">
        <v>42732</v>
      </c>
      <c r="BA870" s="5">
        <v>3.7499999999999999E-2</v>
      </c>
      <c r="BB870" s="2">
        <v>2016</v>
      </c>
      <c r="BC870" s="2" t="s">
        <v>357</v>
      </c>
      <c r="BD870" s="2">
        <v>28</v>
      </c>
      <c r="BE870" s="4">
        <v>42734</v>
      </c>
      <c r="BF870" s="5">
        <v>3.7499999999999999E-2</v>
      </c>
      <c r="BG870" s="2" t="str" cm="1">
        <f t="array" ref="BG870">_xlfn.IFS(BF870&lt;TIMEVALUE("06:00"),"Night", BF870&gt;=TIMEVALUE("21:00"),"Night",BF870&gt;=TIMEVALUE("17:00"),"Evening",BF870&gt;=TIMEVALUE("12:00"),"Afternoon", BF870&gt;=TIMEVALUE("06:00"),"Morning")</f>
        <v>Night</v>
      </c>
      <c r="BH870" s="2">
        <v>2016</v>
      </c>
      <c r="BI870" s="2" t="s">
        <v>357</v>
      </c>
      <c r="BJ870" s="2">
        <v>30</v>
      </c>
    </row>
    <row r="871" spans="1:62" x14ac:dyDescent="0.3">
      <c r="A871" s="2" t="s">
        <v>62</v>
      </c>
      <c r="B871" s="2">
        <v>5</v>
      </c>
      <c r="C871" s="2">
        <v>4</v>
      </c>
      <c r="D871" s="2">
        <v>-183.03</v>
      </c>
      <c r="E871" s="2">
        <v>114.39</v>
      </c>
      <c r="F871" s="2" t="s">
        <v>87</v>
      </c>
      <c r="G871" s="2" t="s">
        <v>88</v>
      </c>
      <c r="H871" s="2">
        <v>18</v>
      </c>
      <c r="I871" s="2" t="s">
        <v>863</v>
      </c>
      <c r="J871" s="2" t="s">
        <v>1719</v>
      </c>
      <c r="K871" s="2" t="s">
        <v>102</v>
      </c>
      <c r="L871" s="2" t="s">
        <v>414</v>
      </c>
      <c r="M871" s="2">
        <v>5536</v>
      </c>
      <c r="N871" s="2" t="s">
        <v>425</v>
      </c>
      <c r="O871" s="2" t="s">
        <v>124</v>
      </c>
      <c r="P871" s="2" t="s">
        <v>105</v>
      </c>
      <c r="Q871" s="2" t="s">
        <v>3556</v>
      </c>
      <c r="R871" s="2">
        <v>91801</v>
      </c>
      <c r="S871" s="2">
        <v>4</v>
      </c>
      <c r="T871" s="2" t="s">
        <v>417</v>
      </c>
      <c r="U871" s="2">
        <v>33.723335300000002</v>
      </c>
      <c r="V871" s="2">
        <v>-117.99605560000001</v>
      </c>
      <c r="W871" s="2" t="s">
        <v>74</v>
      </c>
      <c r="X871" s="2" t="s">
        <v>3557</v>
      </c>
      <c r="Y871" s="2" t="s">
        <v>1397</v>
      </c>
      <c r="Z871" s="2">
        <v>5536</v>
      </c>
      <c r="AA871" s="2" t="s">
        <v>3558</v>
      </c>
      <c r="AB871" s="2">
        <v>47044</v>
      </c>
      <c r="AC871" s="2">
        <v>403</v>
      </c>
      <c r="AD871" s="2">
        <v>15.6</v>
      </c>
      <c r="AE871" s="2">
        <v>0.12</v>
      </c>
      <c r="AF871" s="2" t="str" cm="1">
        <f t="array" ref="AF871">_xlfn.IFS(AE871=0, "No Discount ", AE871&lt;=0.08,"Low Discount", AE871&lt;=0.16,"Medium Discount", AE871&gt;0.16, "High Discount")</f>
        <v>Medium Discount</v>
      </c>
      <c r="AG871" s="2">
        <v>117582</v>
      </c>
      <c r="AH871" s="2">
        <v>129.99</v>
      </c>
      <c r="AI871" s="2">
        <v>-1.6</v>
      </c>
      <c r="AJ871" s="2" t="str" cm="1">
        <f t="array" ref="AJ871">_xlfn.IFS(AI871&lt;=0, "No Profit", AI871&lt;=0.16,"Low Profit",AI871&lt;=0.32,"Medium Profit",AI871&gt;0.32,"High Profit")</f>
        <v>No Profit</v>
      </c>
      <c r="AK871" s="2">
        <v>1</v>
      </c>
      <c r="AL871" s="2">
        <v>129.99</v>
      </c>
      <c r="AM871" s="2">
        <v>114.39</v>
      </c>
      <c r="AN871" s="2">
        <v>-183.03</v>
      </c>
      <c r="AO871" s="2" t="s">
        <v>431</v>
      </c>
      <c r="AP871" s="2" t="s">
        <v>3559</v>
      </c>
      <c r="AQ871" s="2" t="s">
        <v>80</v>
      </c>
      <c r="AR871" s="2" t="s">
        <v>81</v>
      </c>
      <c r="AS871" s="2">
        <v>403</v>
      </c>
      <c r="AT871" s="2">
        <v>18</v>
      </c>
      <c r="AU871" s="2" t="s">
        <v>869</v>
      </c>
      <c r="AV871" s="2">
        <v>129.99</v>
      </c>
      <c r="AW871" s="2">
        <v>0</v>
      </c>
      <c r="AX871" s="2" t="s">
        <v>3560</v>
      </c>
      <c r="AY871" s="2" t="s">
        <v>83</v>
      </c>
      <c r="AZ871" s="4">
        <v>42691</v>
      </c>
      <c r="BA871" s="5">
        <v>0.71875</v>
      </c>
      <c r="BB871" s="2">
        <v>2016</v>
      </c>
      <c r="BC871" s="2" t="s">
        <v>455</v>
      </c>
      <c r="BD871" s="2">
        <v>17</v>
      </c>
      <c r="BE871" s="4">
        <v>42696</v>
      </c>
      <c r="BF871" s="5">
        <v>0.71875</v>
      </c>
      <c r="BG871" s="2" t="str" cm="1">
        <f t="array" ref="BG871">_xlfn.IFS(BF871&lt;TIMEVALUE("06:00"),"Night", BF871&gt;=TIMEVALUE("21:00"),"Night",BF871&gt;=TIMEVALUE("17:00"),"Evening",BF871&gt;=TIMEVALUE("12:00"),"Afternoon", BF871&gt;=TIMEVALUE("06:00"),"Morning")</f>
        <v>Evening</v>
      </c>
      <c r="BH871" s="2">
        <v>2016</v>
      </c>
      <c r="BI871" s="2" t="s">
        <v>455</v>
      </c>
      <c r="BJ871" s="2">
        <v>22</v>
      </c>
    </row>
    <row r="872" spans="1:62" x14ac:dyDescent="0.3">
      <c r="A872" s="2" t="s">
        <v>62</v>
      </c>
      <c r="B872" s="2">
        <v>2</v>
      </c>
      <c r="C872" s="2">
        <v>4</v>
      </c>
      <c r="D872" s="2">
        <v>-171.59</v>
      </c>
      <c r="E872" s="2">
        <v>114.39</v>
      </c>
      <c r="F872" s="2" t="s">
        <v>63</v>
      </c>
      <c r="G872" s="2" t="s">
        <v>64</v>
      </c>
      <c r="H872" s="2">
        <v>18</v>
      </c>
      <c r="I872" s="2" t="s">
        <v>863</v>
      </c>
      <c r="J872" s="2" t="s">
        <v>1106</v>
      </c>
      <c r="K872" s="2" t="s">
        <v>102</v>
      </c>
      <c r="L872" s="2" t="s">
        <v>414</v>
      </c>
      <c r="M872" s="2">
        <v>11372</v>
      </c>
      <c r="N872" s="2" t="s">
        <v>1982</v>
      </c>
      <c r="O872" s="2" t="s">
        <v>124</v>
      </c>
      <c r="P872" s="2" t="s">
        <v>105</v>
      </c>
      <c r="Q872" s="2" t="s">
        <v>3561</v>
      </c>
      <c r="R872" s="2">
        <v>93304</v>
      </c>
      <c r="S872" s="2">
        <v>4</v>
      </c>
      <c r="T872" s="2" t="s">
        <v>417</v>
      </c>
      <c r="U872" s="2">
        <v>35.307880400000002</v>
      </c>
      <c r="V872" s="2">
        <v>-119.2523956</v>
      </c>
      <c r="W872" s="2" t="s">
        <v>74</v>
      </c>
      <c r="X872" s="2" t="s">
        <v>1383</v>
      </c>
      <c r="Y872" s="2" t="s">
        <v>1384</v>
      </c>
      <c r="Z872" s="2">
        <v>11372</v>
      </c>
      <c r="AA872" s="2" t="s">
        <v>3562</v>
      </c>
      <c r="AB872" s="2">
        <v>41676</v>
      </c>
      <c r="AC872" s="2">
        <v>403</v>
      </c>
      <c r="AD872" s="2">
        <v>15.6</v>
      </c>
      <c r="AE872" s="2">
        <v>0.12</v>
      </c>
      <c r="AF872" s="2" t="str" cm="1">
        <f t="array" ref="AF872">_xlfn.IFS(AE872=0, "No Discount ", AE872&lt;=0.08,"Low Discount", AE872&lt;=0.16,"Medium Discount", AE872&gt;0.16, "High Discount")</f>
        <v>Medium Discount</v>
      </c>
      <c r="AG872" s="2">
        <v>104041</v>
      </c>
      <c r="AH872" s="2">
        <v>129.99</v>
      </c>
      <c r="AI872" s="2">
        <v>-1.5</v>
      </c>
      <c r="AJ872" s="2" t="str" cm="1">
        <f t="array" ref="AJ872">_xlfn.IFS(AI872&lt;=0, "No Profit", AI872&lt;=0.16,"Low Profit",AI872&lt;=0.32,"Medium Profit",AI872&gt;0.32,"High Profit")</f>
        <v>No Profit</v>
      </c>
      <c r="AK872" s="2">
        <v>1</v>
      </c>
      <c r="AL872" s="2">
        <v>129.99</v>
      </c>
      <c r="AM872" s="2">
        <v>114.39</v>
      </c>
      <c r="AN872" s="2">
        <v>-171.59</v>
      </c>
      <c r="AO872" s="2" t="s">
        <v>431</v>
      </c>
      <c r="AP872" s="2" t="s">
        <v>1383</v>
      </c>
      <c r="AQ872" s="2" t="s">
        <v>80</v>
      </c>
      <c r="AR872" s="2" t="s">
        <v>81</v>
      </c>
      <c r="AS872" s="2">
        <v>403</v>
      </c>
      <c r="AT872" s="2">
        <v>18</v>
      </c>
      <c r="AU872" s="2" t="s">
        <v>869</v>
      </c>
      <c r="AV872" s="2">
        <v>129.99</v>
      </c>
      <c r="AW872" s="2">
        <v>0</v>
      </c>
      <c r="AX872" s="3">
        <v>42409.35833333333</v>
      </c>
      <c r="AY872" s="2" t="s">
        <v>83</v>
      </c>
      <c r="AZ872" s="4">
        <v>42613</v>
      </c>
      <c r="BA872" s="5">
        <v>0.35833333333333334</v>
      </c>
      <c r="BB872" s="2">
        <v>2016</v>
      </c>
      <c r="BC872" s="2" t="s">
        <v>482</v>
      </c>
      <c r="BD872" s="2">
        <v>31</v>
      </c>
      <c r="BE872" s="4">
        <v>42409</v>
      </c>
      <c r="BF872" s="5">
        <v>0.35833333333333334</v>
      </c>
      <c r="BG872" s="2" t="str" cm="1">
        <f t="array" ref="BG872">_xlfn.IFS(BF872&lt;TIMEVALUE("06:00"),"Night", BF872&gt;=TIMEVALUE("21:00"),"Night",BF872&gt;=TIMEVALUE("17:00"),"Evening",BF872&gt;=TIMEVALUE("12:00"),"Afternoon", BF872&gt;=TIMEVALUE("06:00"),"Morning")</f>
        <v>Morning</v>
      </c>
      <c r="BH872" s="2">
        <v>2016</v>
      </c>
      <c r="BI872" s="2" t="s">
        <v>423</v>
      </c>
      <c r="BJ872" s="2">
        <v>9</v>
      </c>
    </row>
    <row r="873" spans="1:62" x14ac:dyDescent="0.3">
      <c r="A873" s="2" t="s">
        <v>62</v>
      </c>
      <c r="B873" s="2">
        <v>4</v>
      </c>
      <c r="C873" s="2">
        <v>4</v>
      </c>
      <c r="D873" s="2">
        <v>29.74</v>
      </c>
      <c r="E873" s="2">
        <v>114.39</v>
      </c>
      <c r="F873" s="2" t="s">
        <v>100</v>
      </c>
      <c r="G873" s="2" t="s">
        <v>64</v>
      </c>
      <c r="H873" s="2">
        <v>18</v>
      </c>
      <c r="I873" s="2" t="s">
        <v>863</v>
      </c>
      <c r="J873" s="2" t="s">
        <v>3563</v>
      </c>
      <c r="K873" s="2" t="s">
        <v>102</v>
      </c>
      <c r="L873" s="2" t="s">
        <v>1590</v>
      </c>
      <c r="M873" s="2">
        <v>4005</v>
      </c>
      <c r="N873" s="2" t="s">
        <v>3564</v>
      </c>
      <c r="O873" s="2" t="s">
        <v>124</v>
      </c>
      <c r="P873" s="2" t="s">
        <v>201</v>
      </c>
      <c r="Q873" s="2" t="s">
        <v>3565</v>
      </c>
      <c r="R873" s="2">
        <v>2169</v>
      </c>
      <c r="S873" s="2">
        <v>4</v>
      </c>
      <c r="T873" s="2" t="s">
        <v>417</v>
      </c>
      <c r="U873" s="2">
        <v>42.239063299999998</v>
      </c>
      <c r="V873" s="2">
        <v>-71.006042500000007</v>
      </c>
      <c r="W873" s="2" t="s">
        <v>74</v>
      </c>
      <c r="X873" s="2" t="s">
        <v>3566</v>
      </c>
      <c r="Y873" s="2" t="s">
        <v>3567</v>
      </c>
      <c r="Z873" s="2">
        <v>4005</v>
      </c>
      <c r="AA873" s="2" t="s">
        <v>3568</v>
      </c>
      <c r="AB873" s="2">
        <v>49598</v>
      </c>
      <c r="AC873" s="2">
        <v>403</v>
      </c>
      <c r="AD873" s="2">
        <v>15.6</v>
      </c>
      <c r="AE873" s="2">
        <v>0.12</v>
      </c>
      <c r="AF873" s="2" t="str" cm="1">
        <f t="array" ref="AF873">_xlfn.IFS(AE873=0, "No Discount ", AE873&lt;=0.08,"Low Discount", AE873&lt;=0.16,"Medium Discount", AE873&gt;0.16, "High Discount")</f>
        <v>Medium Discount</v>
      </c>
      <c r="AG873" s="2">
        <v>123961</v>
      </c>
      <c r="AH873" s="2">
        <v>129.99</v>
      </c>
      <c r="AI873" s="2">
        <v>0.26</v>
      </c>
      <c r="AJ873" s="2" t="str" cm="1">
        <f t="array" ref="AJ873">_xlfn.IFS(AI873&lt;=0, "No Profit", AI873&lt;=0.16,"Low Profit",AI873&lt;=0.32,"Medium Profit",AI873&gt;0.32,"High Profit")</f>
        <v>Medium Profit</v>
      </c>
      <c r="AK873" s="2">
        <v>1</v>
      </c>
      <c r="AL873" s="2">
        <v>129.99</v>
      </c>
      <c r="AM873" s="2">
        <v>114.39</v>
      </c>
      <c r="AN873" s="2">
        <v>29.74</v>
      </c>
      <c r="AO873" s="2" t="s">
        <v>431</v>
      </c>
      <c r="AP873" s="2" t="s">
        <v>3569</v>
      </c>
      <c r="AQ873" s="2" t="s">
        <v>80</v>
      </c>
      <c r="AR873" s="2" t="s">
        <v>81</v>
      </c>
      <c r="AS873" s="2">
        <v>403</v>
      </c>
      <c r="AT873" s="2">
        <v>18</v>
      </c>
      <c r="AU873" s="2" t="s">
        <v>869</v>
      </c>
      <c r="AV873" s="2">
        <v>129.99</v>
      </c>
      <c r="AW873" s="2">
        <v>0</v>
      </c>
      <c r="AX873" s="2" t="s">
        <v>3570</v>
      </c>
      <c r="AY873" s="2" t="s">
        <v>83</v>
      </c>
      <c r="AZ873" s="4">
        <v>42729</v>
      </c>
      <c r="BA873" s="5">
        <v>1.3888888888888889E-3</v>
      </c>
      <c r="BB873" s="2">
        <v>2016</v>
      </c>
      <c r="BC873" s="2" t="s">
        <v>357</v>
      </c>
      <c r="BD873" s="2">
        <v>25</v>
      </c>
      <c r="BE873" s="4">
        <v>42733</v>
      </c>
      <c r="BF873" s="5">
        <v>1.3888888888888889E-3</v>
      </c>
      <c r="BG873" s="2" t="str" cm="1">
        <f t="array" ref="BG873">_xlfn.IFS(BF873&lt;TIMEVALUE("06:00"),"Night", BF873&gt;=TIMEVALUE("21:00"),"Night",BF873&gt;=TIMEVALUE("17:00"),"Evening",BF873&gt;=TIMEVALUE("12:00"),"Afternoon", BF873&gt;=TIMEVALUE("06:00"),"Morning")</f>
        <v>Night</v>
      </c>
      <c r="BH873" s="2">
        <v>2016</v>
      </c>
      <c r="BI873" s="2" t="s">
        <v>357</v>
      </c>
      <c r="BJ873" s="2">
        <v>29</v>
      </c>
    </row>
    <row r="874" spans="1:62" x14ac:dyDescent="0.3">
      <c r="A874" s="2" t="s">
        <v>62</v>
      </c>
      <c r="B874" s="2">
        <v>6</v>
      </c>
      <c r="C874" s="2">
        <v>4</v>
      </c>
      <c r="D874" s="2">
        <v>29.4</v>
      </c>
      <c r="E874" s="2">
        <v>113.09</v>
      </c>
      <c r="F874" s="2" t="s">
        <v>87</v>
      </c>
      <c r="G874" s="2" t="s">
        <v>88</v>
      </c>
      <c r="H874" s="2">
        <v>18</v>
      </c>
      <c r="I874" s="2" t="s">
        <v>863</v>
      </c>
      <c r="J874" s="2" t="s">
        <v>1296</v>
      </c>
      <c r="K874" s="2" t="s">
        <v>102</v>
      </c>
      <c r="L874" s="2" t="s">
        <v>414</v>
      </c>
      <c r="M874" s="2">
        <v>11632</v>
      </c>
      <c r="N874" s="2" t="s">
        <v>425</v>
      </c>
      <c r="O874" s="2" t="s">
        <v>124</v>
      </c>
      <c r="P874" s="2" t="s">
        <v>333</v>
      </c>
      <c r="Q874" s="2" t="s">
        <v>3571</v>
      </c>
      <c r="R874" s="2">
        <v>78227</v>
      </c>
      <c r="S874" s="2">
        <v>4</v>
      </c>
      <c r="T874" s="2" t="s">
        <v>417</v>
      </c>
      <c r="U874" s="2">
        <v>29.380371100000001</v>
      </c>
      <c r="V874" s="2">
        <v>-98.642234799999997</v>
      </c>
      <c r="W874" s="2" t="s">
        <v>74</v>
      </c>
      <c r="X874" s="2" t="s">
        <v>1456</v>
      </c>
      <c r="Y874" s="2" t="s">
        <v>1457</v>
      </c>
      <c r="Z874" s="2">
        <v>11632</v>
      </c>
      <c r="AA874" s="3">
        <v>42530.98541666667</v>
      </c>
      <c r="AB874" s="2">
        <v>42130</v>
      </c>
      <c r="AC874" s="2">
        <v>403</v>
      </c>
      <c r="AD874" s="2">
        <v>16.899999999999999</v>
      </c>
      <c r="AE874" s="2">
        <v>0.13</v>
      </c>
      <c r="AF874" s="2" t="str" cm="1">
        <f t="array" ref="AF874">_xlfn.IFS(AE874=0, "No Discount ", AE874&lt;=0.08,"Low Discount", AE874&lt;=0.16,"Medium Discount", AE874&gt;0.16, "High Discount")</f>
        <v>Medium Discount</v>
      </c>
      <c r="AG874" s="2">
        <v>105189</v>
      </c>
      <c r="AH874" s="2">
        <v>129.99</v>
      </c>
      <c r="AI874" s="2">
        <v>0.26</v>
      </c>
      <c r="AJ874" s="2" t="str" cm="1">
        <f t="array" ref="AJ874">_xlfn.IFS(AI874&lt;=0, "No Profit", AI874&lt;=0.16,"Low Profit",AI874&lt;=0.32,"Medium Profit",AI874&gt;0.32,"High Profit")</f>
        <v>Medium Profit</v>
      </c>
      <c r="AK874" s="2">
        <v>1</v>
      </c>
      <c r="AL874" s="2">
        <v>129.99</v>
      </c>
      <c r="AM874" s="2">
        <v>113.09</v>
      </c>
      <c r="AN874" s="2">
        <v>29.4</v>
      </c>
      <c r="AO874" s="2" t="s">
        <v>1458</v>
      </c>
      <c r="AP874" s="2" t="s">
        <v>1459</v>
      </c>
      <c r="AQ874" s="2" t="s">
        <v>80</v>
      </c>
      <c r="AR874" s="2" t="s">
        <v>81</v>
      </c>
      <c r="AS874" s="2">
        <v>403</v>
      </c>
      <c r="AT874" s="2">
        <v>18</v>
      </c>
      <c r="AU874" s="2" t="s">
        <v>869</v>
      </c>
      <c r="AV874" s="2">
        <v>129.99</v>
      </c>
      <c r="AW874" s="2">
        <v>0</v>
      </c>
      <c r="AX874" s="3">
        <v>42713.98541666667</v>
      </c>
      <c r="AY874" s="2" t="s">
        <v>83</v>
      </c>
      <c r="AZ874" s="4">
        <v>42530</v>
      </c>
      <c r="BA874" s="5">
        <v>0.98541666666666672</v>
      </c>
      <c r="BB874" s="2">
        <v>2016</v>
      </c>
      <c r="BC874" s="2" t="s">
        <v>474</v>
      </c>
      <c r="BD874" s="2">
        <v>9</v>
      </c>
      <c r="BE874" s="4">
        <v>42713</v>
      </c>
      <c r="BF874" s="5">
        <v>0.98541666666666672</v>
      </c>
      <c r="BG874" s="2" t="str" cm="1">
        <f t="array" ref="BG874">_xlfn.IFS(BF874&lt;TIMEVALUE("06:00"),"Night", BF874&gt;=TIMEVALUE("21:00"),"Night",BF874&gt;=TIMEVALUE("17:00"),"Evening",BF874&gt;=TIMEVALUE("12:00"),"Afternoon", BF874&gt;=TIMEVALUE("06:00"),"Morning")</f>
        <v>Night</v>
      </c>
      <c r="BH874" s="2">
        <v>2016</v>
      </c>
      <c r="BI874" s="2" t="s">
        <v>357</v>
      </c>
      <c r="BJ874" s="2">
        <v>9</v>
      </c>
    </row>
    <row r="875" spans="1:62" x14ac:dyDescent="0.3">
      <c r="A875" s="2" t="s">
        <v>62</v>
      </c>
      <c r="B875" s="2">
        <v>2</v>
      </c>
      <c r="C875" s="2">
        <v>4</v>
      </c>
      <c r="D875" s="2">
        <v>14.09</v>
      </c>
      <c r="E875" s="2">
        <v>52.19</v>
      </c>
      <c r="F875" s="2" t="s">
        <v>63</v>
      </c>
      <c r="G875" s="2" t="s">
        <v>64</v>
      </c>
      <c r="H875" s="2">
        <v>17</v>
      </c>
      <c r="I875" s="2" t="s">
        <v>412</v>
      </c>
      <c r="J875" s="2" t="s">
        <v>3572</v>
      </c>
      <c r="K875" s="2" t="s">
        <v>102</v>
      </c>
      <c r="L875" s="2" t="s">
        <v>414</v>
      </c>
      <c r="M875" s="2">
        <v>10891</v>
      </c>
      <c r="N875" s="2" t="s">
        <v>425</v>
      </c>
      <c r="O875" s="2" t="s">
        <v>124</v>
      </c>
      <c r="P875" s="2" t="s">
        <v>201</v>
      </c>
      <c r="Q875" s="2" t="s">
        <v>3573</v>
      </c>
      <c r="R875" s="2">
        <v>1201</v>
      </c>
      <c r="S875" s="2">
        <v>4</v>
      </c>
      <c r="T875" s="2" t="s">
        <v>417</v>
      </c>
      <c r="U875" s="2">
        <v>42.451110800000002</v>
      </c>
      <c r="V875" s="2">
        <v>-73.252601600000006</v>
      </c>
      <c r="W875" s="2" t="s">
        <v>74</v>
      </c>
      <c r="X875" s="2" t="s">
        <v>3574</v>
      </c>
      <c r="Y875" s="2" t="s">
        <v>173</v>
      </c>
      <c r="Z875" s="2">
        <v>10891</v>
      </c>
      <c r="AA875" s="2" t="s">
        <v>3575</v>
      </c>
      <c r="AB875" s="2">
        <v>26036</v>
      </c>
      <c r="AC875" s="2">
        <v>365</v>
      </c>
      <c r="AD875" s="2">
        <v>7.8</v>
      </c>
      <c r="AE875" s="2">
        <v>0.13</v>
      </c>
      <c r="AF875" s="2" t="str" cm="1">
        <f t="array" ref="AF875">_xlfn.IFS(AE875=0, "No Discount ", AE875&lt;=0.08,"Low Discount", AE875&lt;=0.16,"Medium Discount", AE875&gt;0.16, "High Discount")</f>
        <v>Medium Discount</v>
      </c>
      <c r="AG875" s="2">
        <v>65158</v>
      </c>
      <c r="AH875" s="2">
        <v>59.99</v>
      </c>
      <c r="AI875" s="2">
        <v>0.27</v>
      </c>
      <c r="AJ875" s="2" t="str" cm="1">
        <f t="array" ref="AJ875">_xlfn.IFS(AI875&lt;=0, "No Profit", AI875&lt;=0.16,"Low Profit",AI875&lt;=0.32,"Medium Profit",AI875&gt;0.32,"High Profit")</f>
        <v>Medium Profit</v>
      </c>
      <c r="AK875" s="2">
        <v>1</v>
      </c>
      <c r="AL875" s="2">
        <v>59.99</v>
      </c>
      <c r="AM875" s="2">
        <v>52.19</v>
      </c>
      <c r="AN875" s="2">
        <v>14.09</v>
      </c>
      <c r="AO875" s="2" t="s">
        <v>145</v>
      </c>
      <c r="AP875" s="2" t="s">
        <v>3576</v>
      </c>
      <c r="AQ875" s="2" t="s">
        <v>80</v>
      </c>
      <c r="AR875" s="2" t="s">
        <v>81</v>
      </c>
      <c r="AS875" s="2">
        <v>365</v>
      </c>
      <c r="AT875" s="2">
        <v>17</v>
      </c>
      <c r="AU875" s="2" t="s">
        <v>421</v>
      </c>
      <c r="AV875" s="2">
        <v>59.99</v>
      </c>
      <c r="AW875" s="2">
        <v>0</v>
      </c>
      <c r="AX875" s="2" t="s">
        <v>3577</v>
      </c>
      <c r="AY875" s="2" t="s">
        <v>83</v>
      </c>
      <c r="AZ875" s="4">
        <v>42385</v>
      </c>
      <c r="BA875" s="5">
        <v>5.0694444444444445E-2</v>
      </c>
      <c r="BB875" s="2">
        <v>2016</v>
      </c>
      <c r="BC875" s="2" t="s">
        <v>84</v>
      </c>
      <c r="BD875" s="2">
        <v>16</v>
      </c>
      <c r="BE875" s="4">
        <v>42387</v>
      </c>
      <c r="BF875" s="5">
        <v>5.0694444444444445E-2</v>
      </c>
      <c r="BG875" s="2" t="str" cm="1">
        <f t="array" ref="BG875">_xlfn.IFS(BF875&lt;TIMEVALUE("06:00"),"Night", BF875&gt;=TIMEVALUE("21:00"),"Night",BF875&gt;=TIMEVALUE("17:00"),"Evening",BF875&gt;=TIMEVALUE("12:00"),"Afternoon", BF875&gt;=TIMEVALUE("06:00"),"Morning")</f>
        <v>Night</v>
      </c>
      <c r="BH875" s="2">
        <v>2016</v>
      </c>
      <c r="BI875" s="2" t="s">
        <v>84</v>
      </c>
      <c r="BJ875" s="2">
        <v>18</v>
      </c>
    </row>
    <row r="876" spans="1:62" x14ac:dyDescent="0.3">
      <c r="A876" s="2" t="s">
        <v>62</v>
      </c>
      <c r="B876" s="2">
        <v>2</v>
      </c>
      <c r="C876" s="2">
        <v>4</v>
      </c>
      <c r="D876" s="2">
        <v>-4.8600000000000003</v>
      </c>
      <c r="E876" s="2">
        <v>113.09</v>
      </c>
      <c r="F876" s="2" t="s">
        <v>63</v>
      </c>
      <c r="G876" s="2" t="s">
        <v>64</v>
      </c>
      <c r="H876" s="2">
        <v>18</v>
      </c>
      <c r="I876" s="2" t="s">
        <v>863</v>
      </c>
      <c r="J876" s="2" t="s">
        <v>1555</v>
      </c>
      <c r="K876" s="2" t="s">
        <v>102</v>
      </c>
      <c r="L876" s="2" t="s">
        <v>414</v>
      </c>
      <c r="M876" s="2">
        <v>11924</v>
      </c>
      <c r="N876" s="2" t="s">
        <v>1556</v>
      </c>
      <c r="O876" s="2" t="s">
        <v>124</v>
      </c>
      <c r="P876" s="2" t="s">
        <v>105</v>
      </c>
      <c r="Q876" s="2" t="s">
        <v>1557</v>
      </c>
      <c r="R876" s="2">
        <v>92683</v>
      </c>
      <c r="S876" s="2">
        <v>4</v>
      </c>
      <c r="T876" s="2" t="s">
        <v>417</v>
      </c>
      <c r="U876" s="2">
        <v>33.758209200000003</v>
      </c>
      <c r="V876" s="2">
        <v>-118.0019073</v>
      </c>
      <c r="W876" s="2" t="s">
        <v>74</v>
      </c>
      <c r="X876" s="2" t="s">
        <v>1558</v>
      </c>
      <c r="Y876" s="2" t="s">
        <v>143</v>
      </c>
      <c r="Z876" s="2">
        <v>11924</v>
      </c>
      <c r="AA876" s="3">
        <v>42646.207638888889</v>
      </c>
      <c r="AB876" s="2">
        <v>29746</v>
      </c>
      <c r="AC876" s="2">
        <v>403</v>
      </c>
      <c r="AD876" s="2">
        <v>16.899999999999999</v>
      </c>
      <c r="AE876" s="2">
        <v>0.13</v>
      </c>
      <c r="AF876" s="2" t="str" cm="1">
        <f t="array" ref="AF876">_xlfn.IFS(AE876=0, "No Discount ", AE876&lt;=0.08,"Low Discount", AE876&lt;=0.16,"Medium Discount", AE876&gt;0.16, "High Discount")</f>
        <v>Medium Discount</v>
      </c>
      <c r="AG876" s="2">
        <v>74422</v>
      </c>
      <c r="AH876" s="2">
        <v>129.99</v>
      </c>
      <c r="AI876" s="2">
        <v>-0.04</v>
      </c>
      <c r="AJ876" s="2" t="str" cm="1">
        <f t="array" ref="AJ876">_xlfn.IFS(AI876&lt;=0, "No Profit", AI876&lt;=0.16,"Low Profit",AI876&lt;=0.32,"Medium Profit",AI876&gt;0.32,"High Profit")</f>
        <v>No Profit</v>
      </c>
      <c r="AK876" s="2">
        <v>1</v>
      </c>
      <c r="AL876" s="2">
        <v>129.99</v>
      </c>
      <c r="AM876" s="2">
        <v>113.09</v>
      </c>
      <c r="AN876" s="2">
        <v>-4.8600000000000003</v>
      </c>
      <c r="AO876" s="2" t="s">
        <v>145</v>
      </c>
      <c r="AP876" s="2" t="s">
        <v>1559</v>
      </c>
      <c r="AQ876" s="2" t="s">
        <v>80</v>
      </c>
      <c r="AR876" s="2" t="s">
        <v>81</v>
      </c>
      <c r="AS876" s="2">
        <v>403</v>
      </c>
      <c r="AT876" s="2">
        <v>18</v>
      </c>
      <c r="AU876" s="2" t="s">
        <v>869</v>
      </c>
      <c r="AV876" s="2">
        <v>129.99</v>
      </c>
      <c r="AW876" s="2">
        <v>0</v>
      </c>
      <c r="AX876" s="3">
        <v>42707.207638888889</v>
      </c>
      <c r="AY876" s="2" t="s">
        <v>83</v>
      </c>
      <c r="AZ876" s="4">
        <v>42646</v>
      </c>
      <c r="BA876" s="5">
        <v>0.2076388888888889</v>
      </c>
      <c r="BB876" s="2">
        <v>2016</v>
      </c>
      <c r="BC876" s="2" t="s">
        <v>434</v>
      </c>
      <c r="BD876" s="2">
        <v>3</v>
      </c>
      <c r="BE876" s="4">
        <v>42707</v>
      </c>
      <c r="BF876" s="5">
        <v>0.2076388888888889</v>
      </c>
      <c r="BG876" s="2" t="str" cm="1">
        <f t="array" ref="BG876">_xlfn.IFS(BF876&lt;TIMEVALUE("06:00"),"Night", BF876&gt;=TIMEVALUE("21:00"),"Night",BF876&gt;=TIMEVALUE("17:00"),"Evening",BF876&gt;=TIMEVALUE("12:00"),"Afternoon", BF876&gt;=TIMEVALUE("06:00"),"Morning")</f>
        <v>Night</v>
      </c>
      <c r="BH876" s="2">
        <v>2016</v>
      </c>
      <c r="BI876" s="2" t="s">
        <v>357</v>
      </c>
      <c r="BJ876" s="2">
        <v>3</v>
      </c>
    </row>
    <row r="877" spans="1:62" x14ac:dyDescent="0.3">
      <c r="A877" s="2" t="s">
        <v>62</v>
      </c>
      <c r="B877" s="2">
        <v>3</v>
      </c>
      <c r="C877" s="2">
        <v>4</v>
      </c>
      <c r="D877" s="2">
        <v>49.76</v>
      </c>
      <c r="E877" s="2">
        <v>113.09</v>
      </c>
      <c r="F877" s="2" t="s">
        <v>63</v>
      </c>
      <c r="G877" s="2" t="s">
        <v>64</v>
      </c>
      <c r="H877" s="2">
        <v>18</v>
      </c>
      <c r="I877" s="2" t="s">
        <v>863</v>
      </c>
      <c r="J877" s="2" t="s">
        <v>3578</v>
      </c>
      <c r="K877" s="2" t="s">
        <v>102</v>
      </c>
      <c r="L877" s="2" t="s">
        <v>414</v>
      </c>
      <c r="M877" s="2">
        <v>4813</v>
      </c>
      <c r="N877" s="2" t="s">
        <v>425</v>
      </c>
      <c r="O877" s="2" t="s">
        <v>124</v>
      </c>
      <c r="P877" s="2" t="s">
        <v>105</v>
      </c>
      <c r="Q877" s="2" t="s">
        <v>3579</v>
      </c>
      <c r="R877" s="2">
        <v>91710</v>
      </c>
      <c r="S877" s="2">
        <v>4</v>
      </c>
      <c r="T877" s="2" t="s">
        <v>417</v>
      </c>
      <c r="U877" s="2">
        <v>34.011615800000001</v>
      </c>
      <c r="V877" s="2">
        <v>-117.7281189</v>
      </c>
      <c r="W877" s="2" t="s">
        <v>74</v>
      </c>
      <c r="X877" s="2" t="s">
        <v>3580</v>
      </c>
      <c r="Y877" s="2" t="s">
        <v>143</v>
      </c>
      <c r="Z877" s="2">
        <v>4813</v>
      </c>
      <c r="AA877" s="3">
        <v>42492.793749999997</v>
      </c>
      <c r="AB877" s="2">
        <v>27457</v>
      </c>
      <c r="AC877" s="2">
        <v>403</v>
      </c>
      <c r="AD877" s="2">
        <v>16.899999999999999</v>
      </c>
      <c r="AE877" s="2">
        <v>0.13</v>
      </c>
      <c r="AF877" s="2" t="str" cm="1">
        <f t="array" ref="AF877">_xlfn.IFS(AE877=0, "No Discount ", AE877&lt;=0.08,"Low Discount", AE877&lt;=0.16,"Medium Discount", AE877&gt;0.16, "High Discount")</f>
        <v>Medium Discount</v>
      </c>
      <c r="AG877" s="2">
        <v>68738</v>
      </c>
      <c r="AH877" s="2">
        <v>129.99</v>
      </c>
      <c r="AI877" s="2">
        <v>0.44</v>
      </c>
      <c r="AJ877" s="2" t="str" cm="1">
        <f t="array" ref="AJ877">_xlfn.IFS(AI877&lt;=0, "No Profit", AI877&lt;=0.16,"Low Profit",AI877&lt;=0.32,"Medium Profit",AI877&gt;0.32,"High Profit")</f>
        <v>High Profit</v>
      </c>
      <c r="AK877" s="2">
        <v>1</v>
      </c>
      <c r="AL877" s="2">
        <v>129.99</v>
      </c>
      <c r="AM877" s="2">
        <v>113.09</v>
      </c>
      <c r="AN877" s="2">
        <v>49.76</v>
      </c>
      <c r="AO877" s="2" t="s">
        <v>145</v>
      </c>
      <c r="AP877" s="2" t="s">
        <v>3581</v>
      </c>
      <c r="AQ877" s="2" t="s">
        <v>80</v>
      </c>
      <c r="AR877" s="2" t="s">
        <v>81</v>
      </c>
      <c r="AS877" s="2">
        <v>403</v>
      </c>
      <c r="AT877" s="2">
        <v>18</v>
      </c>
      <c r="AU877" s="2" t="s">
        <v>869</v>
      </c>
      <c r="AV877" s="2">
        <v>129.99</v>
      </c>
      <c r="AW877" s="2">
        <v>0</v>
      </c>
      <c r="AX877" s="3">
        <v>42584.793749999997</v>
      </c>
      <c r="AY877" s="2" t="s">
        <v>83</v>
      </c>
      <c r="AZ877" s="4">
        <v>42492</v>
      </c>
      <c r="BA877" s="5">
        <v>0.79374999999999996</v>
      </c>
      <c r="BB877" s="2">
        <v>2016</v>
      </c>
      <c r="BC877" s="2" t="s">
        <v>443</v>
      </c>
      <c r="BD877" s="2">
        <v>2</v>
      </c>
      <c r="BE877" s="4">
        <v>42584</v>
      </c>
      <c r="BF877" s="5">
        <v>0.79374999999999996</v>
      </c>
      <c r="BG877" s="2" t="str" cm="1">
        <f t="array" ref="BG877">_xlfn.IFS(BF877&lt;TIMEVALUE("06:00"),"Night", BF877&gt;=TIMEVALUE("21:00"),"Night",BF877&gt;=TIMEVALUE("17:00"),"Evening",BF877&gt;=TIMEVALUE("12:00"),"Afternoon", BF877&gt;=TIMEVALUE("06:00"),"Morning")</f>
        <v>Evening</v>
      </c>
      <c r="BH877" s="2">
        <v>2016</v>
      </c>
      <c r="BI877" s="2" t="s">
        <v>482</v>
      </c>
      <c r="BJ877" s="2">
        <v>2</v>
      </c>
    </row>
    <row r="878" spans="1:62" x14ac:dyDescent="0.3">
      <c r="A878" s="2" t="s">
        <v>62</v>
      </c>
      <c r="B878" s="2">
        <v>5</v>
      </c>
      <c r="C878" s="2">
        <v>4</v>
      </c>
      <c r="D878" s="2">
        <v>54.28</v>
      </c>
      <c r="E878" s="2">
        <v>113.09</v>
      </c>
      <c r="F878" s="2" t="s">
        <v>87</v>
      </c>
      <c r="G878" s="2" t="s">
        <v>88</v>
      </c>
      <c r="H878" s="2">
        <v>18</v>
      </c>
      <c r="I878" s="2" t="s">
        <v>863</v>
      </c>
      <c r="J878" s="2" t="s">
        <v>1460</v>
      </c>
      <c r="K878" s="2" t="s">
        <v>102</v>
      </c>
      <c r="L878" s="2" t="s">
        <v>3582</v>
      </c>
      <c r="M878" s="2">
        <v>11801</v>
      </c>
      <c r="N878" s="2" t="s">
        <v>425</v>
      </c>
      <c r="O878" s="2" t="s">
        <v>124</v>
      </c>
      <c r="P878" s="2" t="s">
        <v>234</v>
      </c>
      <c r="Q878" s="2" t="s">
        <v>3583</v>
      </c>
      <c r="R878" s="2">
        <v>60640</v>
      </c>
      <c r="S878" s="2">
        <v>4</v>
      </c>
      <c r="T878" s="2" t="s">
        <v>417</v>
      </c>
      <c r="U878" s="2">
        <v>41.895099600000002</v>
      </c>
      <c r="V878" s="2">
        <v>-87.739822399999994</v>
      </c>
      <c r="W878" s="2" t="s">
        <v>74</v>
      </c>
      <c r="X878" s="2" t="s">
        <v>3584</v>
      </c>
      <c r="Y878" s="2" t="s">
        <v>143</v>
      </c>
      <c r="Z878" s="2">
        <v>11801</v>
      </c>
      <c r="AA878" s="3">
        <v>42227.047222222223</v>
      </c>
      <c r="AB878" s="2">
        <v>21309</v>
      </c>
      <c r="AC878" s="2">
        <v>403</v>
      </c>
      <c r="AD878" s="2">
        <v>16.899999999999999</v>
      </c>
      <c r="AE878" s="2">
        <v>0.13</v>
      </c>
      <c r="AF878" s="2" t="str" cm="1">
        <f t="array" ref="AF878">_xlfn.IFS(AE878=0, "No Discount ", AE878&lt;=0.08,"Low Discount", AE878&lt;=0.16,"Medium Discount", AE878&gt;0.16, "High Discount")</f>
        <v>Medium Discount</v>
      </c>
      <c r="AG878" s="2">
        <v>53288</v>
      </c>
      <c r="AH878" s="2">
        <v>129.99</v>
      </c>
      <c r="AI878" s="2">
        <v>0.48</v>
      </c>
      <c r="AJ878" s="2" t="str" cm="1">
        <f t="array" ref="AJ878">_xlfn.IFS(AI878&lt;=0, "No Profit", AI878&lt;=0.16,"Low Profit",AI878&lt;=0.32,"Medium Profit",AI878&gt;0.32,"High Profit")</f>
        <v>High Profit</v>
      </c>
      <c r="AK878" s="2">
        <v>1</v>
      </c>
      <c r="AL878" s="2">
        <v>129.99</v>
      </c>
      <c r="AM878" s="2">
        <v>113.09</v>
      </c>
      <c r="AN878" s="2">
        <v>54.28</v>
      </c>
      <c r="AO878" s="2" t="s">
        <v>145</v>
      </c>
      <c r="AP878" s="2" t="s">
        <v>146</v>
      </c>
      <c r="AQ878" s="2" t="s">
        <v>80</v>
      </c>
      <c r="AR878" s="2" t="s">
        <v>81</v>
      </c>
      <c r="AS878" s="2">
        <v>403</v>
      </c>
      <c r="AT878" s="2">
        <v>18</v>
      </c>
      <c r="AU878" s="2" t="s">
        <v>869</v>
      </c>
      <c r="AV878" s="2">
        <v>129.99</v>
      </c>
      <c r="AW878" s="2">
        <v>0</v>
      </c>
      <c r="AX878" s="2" t="s">
        <v>3585</v>
      </c>
      <c r="AY878" s="2" t="s">
        <v>83</v>
      </c>
      <c r="AZ878" s="4">
        <v>42227</v>
      </c>
      <c r="BA878" s="5">
        <v>4.7222222222222221E-2</v>
      </c>
      <c r="BB878" s="2">
        <v>2015</v>
      </c>
      <c r="BC878" s="2" t="s">
        <v>482</v>
      </c>
      <c r="BD878" s="2">
        <v>11</v>
      </c>
      <c r="BE878" s="4">
        <v>42321</v>
      </c>
      <c r="BF878" s="5">
        <v>4.7222222222222221E-2</v>
      </c>
      <c r="BG878" s="2" t="str" cm="1">
        <f t="array" ref="BG878">_xlfn.IFS(BF878&lt;TIMEVALUE("06:00"),"Night", BF878&gt;=TIMEVALUE("21:00"),"Night",BF878&gt;=TIMEVALUE("17:00"),"Evening",BF878&gt;=TIMEVALUE("12:00"),"Afternoon", BF878&gt;=TIMEVALUE("06:00"),"Morning")</f>
        <v>Night</v>
      </c>
      <c r="BH878" s="2">
        <v>2015</v>
      </c>
      <c r="BI878" s="2" t="s">
        <v>455</v>
      </c>
      <c r="BJ878" s="2">
        <v>13</v>
      </c>
    </row>
    <row r="879" spans="1:62" x14ac:dyDescent="0.3">
      <c r="A879" s="2" t="s">
        <v>62</v>
      </c>
      <c r="B879" s="2">
        <v>3</v>
      </c>
      <c r="C879" s="2">
        <v>4</v>
      </c>
      <c r="D879" s="2">
        <v>29.4</v>
      </c>
      <c r="E879" s="2">
        <v>113.09</v>
      </c>
      <c r="F879" s="2" t="s">
        <v>63</v>
      </c>
      <c r="G879" s="2" t="s">
        <v>64</v>
      </c>
      <c r="H879" s="2">
        <v>18</v>
      </c>
      <c r="I879" s="2" t="s">
        <v>863</v>
      </c>
      <c r="J879" s="2" t="s">
        <v>1312</v>
      </c>
      <c r="K879" s="2" t="s">
        <v>102</v>
      </c>
      <c r="L879" s="2" t="s">
        <v>414</v>
      </c>
      <c r="M879" s="2">
        <v>6156</v>
      </c>
      <c r="N879" s="2" t="s">
        <v>3586</v>
      </c>
      <c r="O879" s="2" t="s">
        <v>124</v>
      </c>
      <c r="P879" s="2" t="s">
        <v>133</v>
      </c>
      <c r="Q879" s="2" t="s">
        <v>319</v>
      </c>
      <c r="R879" s="2">
        <v>10461</v>
      </c>
      <c r="S879" s="2">
        <v>4</v>
      </c>
      <c r="T879" s="2" t="s">
        <v>417</v>
      </c>
      <c r="U879" s="2">
        <v>40.8462563</v>
      </c>
      <c r="V879" s="2">
        <v>-73.847251900000003</v>
      </c>
      <c r="W879" s="2" t="s">
        <v>74</v>
      </c>
      <c r="X879" s="2" t="s">
        <v>3462</v>
      </c>
      <c r="Y879" s="2" t="s">
        <v>143</v>
      </c>
      <c r="Z879" s="2">
        <v>6156</v>
      </c>
      <c r="AA879" s="3">
        <v>42167.629166666666</v>
      </c>
      <c r="AB879" s="2">
        <v>23267</v>
      </c>
      <c r="AC879" s="2">
        <v>403</v>
      </c>
      <c r="AD879" s="2">
        <v>16.899999999999999</v>
      </c>
      <c r="AE879" s="2">
        <v>0.13</v>
      </c>
      <c r="AF879" s="2" t="str" cm="1">
        <f t="array" ref="AF879">_xlfn.IFS(AE879=0, "No Discount ", AE879&lt;=0.08,"Low Discount", AE879&lt;=0.16,"Medium Discount", AE879&gt;0.16, "High Discount")</f>
        <v>Medium Discount</v>
      </c>
      <c r="AG879" s="2">
        <v>58260</v>
      </c>
      <c r="AH879" s="2">
        <v>129.99</v>
      </c>
      <c r="AI879" s="2">
        <v>0.26</v>
      </c>
      <c r="AJ879" s="2" t="str" cm="1">
        <f t="array" ref="AJ879">_xlfn.IFS(AI879&lt;=0, "No Profit", AI879&lt;=0.16,"Low Profit",AI879&lt;=0.32,"Medium Profit",AI879&gt;0.32,"High Profit")</f>
        <v>Medium Profit</v>
      </c>
      <c r="AK879" s="2">
        <v>1</v>
      </c>
      <c r="AL879" s="2">
        <v>129.99</v>
      </c>
      <c r="AM879" s="2">
        <v>113.09</v>
      </c>
      <c r="AN879" s="2">
        <v>29.4</v>
      </c>
      <c r="AO879" s="2" t="s">
        <v>145</v>
      </c>
      <c r="AP879" s="2" t="s">
        <v>3462</v>
      </c>
      <c r="AQ879" s="2" t="s">
        <v>80</v>
      </c>
      <c r="AR879" s="2" t="s">
        <v>81</v>
      </c>
      <c r="AS879" s="2">
        <v>403</v>
      </c>
      <c r="AT879" s="2">
        <v>18</v>
      </c>
      <c r="AU879" s="2" t="s">
        <v>869</v>
      </c>
      <c r="AV879" s="2">
        <v>129.99</v>
      </c>
      <c r="AW879" s="2">
        <v>0</v>
      </c>
      <c r="AX879" s="3">
        <v>42259.629166666666</v>
      </c>
      <c r="AY879" s="2" t="s">
        <v>83</v>
      </c>
      <c r="AZ879" s="4">
        <v>42167</v>
      </c>
      <c r="BA879" s="5">
        <v>0.62916666666666665</v>
      </c>
      <c r="BB879" s="2">
        <v>2015</v>
      </c>
      <c r="BC879" s="2" t="s">
        <v>474</v>
      </c>
      <c r="BD879" s="2">
        <v>12</v>
      </c>
      <c r="BE879" s="4">
        <v>42259</v>
      </c>
      <c r="BF879" s="5">
        <v>0.62916666666666665</v>
      </c>
      <c r="BG879" s="2" t="str" cm="1">
        <f t="array" ref="BG879">_xlfn.IFS(BF879&lt;TIMEVALUE("06:00"),"Night", BF879&gt;=TIMEVALUE("21:00"),"Night",BF879&gt;=TIMEVALUE("17:00"),"Evening",BF879&gt;=TIMEVALUE("12:00"),"Afternoon", BF879&gt;=TIMEVALUE("06:00"),"Morning")</f>
        <v>Afternoon</v>
      </c>
      <c r="BH879" s="2">
        <v>2015</v>
      </c>
      <c r="BI879" s="2" t="s">
        <v>552</v>
      </c>
      <c r="BJ879" s="2">
        <v>12</v>
      </c>
    </row>
    <row r="880" spans="1:62" x14ac:dyDescent="0.3">
      <c r="A880" s="2" t="s">
        <v>62</v>
      </c>
      <c r="B880" s="2">
        <v>2</v>
      </c>
      <c r="C880" s="2">
        <v>4</v>
      </c>
      <c r="D880" s="2">
        <v>5.22</v>
      </c>
      <c r="E880" s="2">
        <v>52.19</v>
      </c>
      <c r="F880" s="2" t="s">
        <v>63</v>
      </c>
      <c r="G880" s="2" t="s">
        <v>64</v>
      </c>
      <c r="H880" s="2">
        <v>17</v>
      </c>
      <c r="I880" s="2" t="s">
        <v>412</v>
      </c>
      <c r="J880" s="2" t="s">
        <v>3587</v>
      </c>
      <c r="K880" s="2" t="s">
        <v>102</v>
      </c>
      <c r="L880" s="2" t="s">
        <v>414</v>
      </c>
      <c r="M880" s="2">
        <v>1763</v>
      </c>
      <c r="N880" s="2" t="s">
        <v>1923</v>
      </c>
      <c r="O880" s="2" t="s">
        <v>124</v>
      </c>
      <c r="P880" s="2" t="s">
        <v>1117</v>
      </c>
      <c r="Q880" s="2" t="s">
        <v>3588</v>
      </c>
      <c r="R880" s="2">
        <v>43302</v>
      </c>
      <c r="S880" s="2">
        <v>4</v>
      </c>
      <c r="T880" s="2" t="s">
        <v>417</v>
      </c>
      <c r="U880" s="2">
        <v>40.7018013</v>
      </c>
      <c r="V880" s="2">
        <v>-83.074371299999996</v>
      </c>
      <c r="W880" s="2" t="s">
        <v>74</v>
      </c>
      <c r="X880" s="2" t="s">
        <v>1431</v>
      </c>
      <c r="Y880" s="2" t="s">
        <v>116</v>
      </c>
      <c r="Z880" s="2">
        <v>1763</v>
      </c>
      <c r="AA880" s="2" t="s">
        <v>3589</v>
      </c>
      <c r="AB880" s="2">
        <v>23706</v>
      </c>
      <c r="AC880" s="2">
        <v>365</v>
      </c>
      <c r="AD880" s="2">
        <v>7.8</v>
      </c>
      <c r="AE880" s="2">
        <v>0.13</v>
      </c>
      <c r="AF880" s="2" t="str" cm="1">
        <f t="array" ref="AF880">_xlfn.IFS(AE880=0, "No Discount ", AE880&lt;=0.08,"Low Discount", AE880&lt;=0.16,"Medium Discount", AE880&gt;0.16, "High Discount")</f>
        <v>Medium Discount</v>
      </c>
      <c r="AG880" s="2">
        <v>59305</v>
      </c>
      <c r="AH880" s="2">
        <v>59.99</v>
      </c>
      <c r="AI880" s="2">
        <v>0.1</v>
      </c>
      <c r="AJ880" s="2" t="str" cm="1">
        <f t="array" ref="AJ880">_xlfn.IFS(AI880&lt;=0, "No Profit", AI880&lt;=0.16,"Low Profit",AI880&lt;=0.32,"Medium Profit",AI880&gt;0.32,"High Profit")</f>
        <v>Low Profit</v>
      </c>
      <c r="AK880" s="2">
        <v>1</v>
      </c>
      <c r="AL880" s="2">
        <v>59.99</v>
      </c>
      <c r="AM880" s="2">
        <v>52.19</v>
      </c>
      <c r="AN880" s="2">
        <v>5.22</v>
      </c>
      <c r="AO880" s="2" t="s">
        <v>118</v>
      </c>
      <c r="AP880" s="2" t="s">
        <v>255</v>
      </c>
      <c r="AQ880" s="2" t="s">
        <v>80</v>
      </c>
      <c r="AR880" s="2" t="s">
        <v>81</v>
      </c>
      <c r="AS880" s="2">
        <v>365</v>
      </c>
      <c r="AT880" s="2">
        <v>17</v>
      </c>
      <c r="AU880" s="2" t="s">
        <v>421</v>
      </c>
      <c r="AV880" s="2">
        <v>59.99</v>
      </c>
      <c r="AW880" s="2">
        <v>0</v>
      </c>
      <c r="AX880" s="2" t="s">
        <v>3590</v>
      </c>
      <c r="AY880" s="2" t="s">
        <v>83</v>
      </c>
      <c r="AZ880" s="4">
        <v>42351</v>
      </c>
      <c r="BA880" s="5">
        <v>3.8194444444444448E-2</v>
      </c>
      <c r="BB880" s="2">
        <v>2015</v>
      </c>
      <c r="BC880" s="2" t="s">
        <v>357</v>
      </c>
      <c r="BD880" s="2">
        <v>13</v>
      </c>
      <c r="BE880" s="4">
        <v>42353</v>
      </c>
      <c r="BF880" s="5">
        <v>3.8194444444444448E-2</v>
      </c>
      <c r="BG880" s="2" t="str" cm="1">
        <f t="array" ref="BG880">_xlfn.IFS(BF880&lt;TIMEVALUE("06:00"),"Night", BF880&gt;=TIMEVALUE("21:00"),"Night",BF880&gt;=TIMEVALUE("17:00"),"Evening",BF880&gt;=TIMEVALUE("12:00"),"Afternoon", BF880&gt;=TIMEVALUE("06:00"),"Morning")</f>
        <v>Night</v>
      </c>
      <c r="BH880" s="2">
        <v>2015</v>
      </c>
      <c r="BI880" s="2" t="s">
        <v>357</v>
      </c>
      <c r="BJ880" s="2">
        <v>15</v>
      </c>
    </row>
    <row r="881" spans="1:62" x14ac:dyDescent="0.3">
      <c r="A881" s="2" t="s">
        <v>62</v>
      </c>
      <c r="B881" s="2">
        <v>5</v>
      </c>
      <c r="C881" s="2">
        <v>4</v>
      </c>
      <c r="D881" s="2">
        <v>41.05</v>
      </c>
      <c r="E881" s="2">
        <v>113.09</v>
      </c>
      <c r="F881" s="2" t="s">
        <v>87</v>
      </c>
      <c r="G881" s="2" t="s">
        <v>88</v>
      </c>
      <c r="H881" s="2">
        <v>18</v>
      </c>
      <c r="I881" s="2" t="s">
        <v>863</v>
      </c>
      <c r="J881" s="2" t="s">
        <v>3591</v>
      </c>
      <c r="K881" s="2" t="s">
        <v>102</v>
      </c>
      <c r="L881" s="2" t="s">
        <v>414</v>
      </c>
      <c r="M881" s="2">
        <v>6721</v>
      </c>
      <c r="N881" s="2" t="s">
        <v>3592</v>
      </c>
      <c r="O881" s="2" t="s">
        <v>124</v>
      </c>
      <c r="P881" s="2" t="s">
        <v>105</v>
      </c>
      <c r="Q881" s="2" t="s">
        <v>3593</v>
      </c>
      <c r="R881" s="2">
        <v>91343</v>
      </c>
      <c r="S881" s="2">
        <v>4</v>
      </c>
      <c r="T881" s="2" t="s">
        <v>417</v>
      </c>
      <c r="U881" s="2">
        <v>34.23563</v>
      </c>
      <c r="V881" s="2">
        <v>-118.4847031</v>
      </c>
      <c r="W881" s="2" t="s">
        <v>74</v>
      </c>
      <c r="X881" s="2" t="s">
        <v>1501</v>
      </c>
      <c r="Y881" s="2" t="s">
        <v>116</v>
      </c>
      <c r="Z881" s="2">
        <v>6721</v>
      </c>
      <c r="AA881" s="3">
        <v>42615.76458333333</v>
      </c>
      <c r="AB881" s="2">
        <v>27729</v>
      </c>
      <c r="AC881" s="2">
        <v>403</v>
      </c>
      <c r="AD881" s="2">
        <v>16.899999999999999</v>
      </c>
      <c r="AE881" s="2">
        <v>0.13</v>
      </c>
      <c r="AF881" s="2" t="str" cm="1">
        <f t="array" ref="AF881">_xlfn.IFS(AE881=0, "No Discount ", AE881&lt;=0.08,"Low Discount", AE881&lt;=0.16,"Medium Discount", AE881&gt;0.16, "High Discount")</f>
        <v>Medium Discount</v>
      </c>
      <c r="AG881" s="2">
        <v>69428</v>
      </c>
      <c r="AH881" s="2">
        <v>129.99</v>
      </c>
      <c r="AI881" s="2">
        <v>0.36</v>
      </c>
      <c r="AJ881" s="2" t="str" cm="1">
        <f t="array" ref="AJ881">_xlfn.IFS(AI881&lt;=0, "No Profit", AI881&lt;=0.16,"Low Profit",AI881&lt;=0.32,"Medium Profit",AI881&gt;0.32,"High Profit")</f>
        <v>High Profit</v>
      </c>
      <c r="AK881" s="2">
        <v>1</v>
      </c>
      <c r="AL881" s="2">
        <v>129.99</v>
      </c>
      <c r="AM881" s="2">
        <v>113.09</v>
      </c>
      <c r="AN881" s="2">
        <v>41.05</v>
      </c>
      <c r="AO881" s="2" t="s">
        <v>118</v>
      </c>
      <c r="AP881" s="2" t="s">
        <v>441</v>
      </c>
      <c r="AQ881" s="2" t="s">
        <v>80</v>
      </c>
      <c r="AR881" s="2" t="s">
        <v>81</v>
      </c>
      <c r="AS881" s="2">
        <v>403</v>
      </c>
      <c r="AT881" s="2">
        <v>18</v>
      </c>
      <c r="AU881" s="2" t="s">
        <v>869</v>
      </c>
      <c r="AV881" s="2">
        <v>129.99</v>
      </c>
      <c r="AW881" s="2">
        <v>0</v>
      </c>
      <c r="AX881" s="2" t="s">
        <v>3594</v>
      </c>
      <c r="AY881" s="2" t="s">
        <v>83</v>
      </c>
      <c r="AZ881" s="4">
        <v>42615</v>
      </c>
      <c r="BA881" s="5">
        <v>0.76458333333333328</v>
      </c>
      <c r="BB881" s="2">
        <v>2016</v>
      </c>
      <c r="BC881" s="2" t="s">
        <v>552</v>
      </c>
      <c r="BD881" s="2">
        <v>2</v>
      </c>
      <c r="BE881" s="4">
        <v>42414</v>
      </c>
      <c r="BF881" s="5">
        <v>0.76458333333333328</v>
      </c>
      <c r="BG881" s="2" t="str" cm="1">
        <f t="array" ref="BG881">_xlfn.IFS(BF881&lt;TIMEVALUE("06:00"),"Night", BF881&gt;=TIMEVALUE("21:00"),"Night",BF881&gt;=TIMEVALUE("17:00"),"Evening",BF881&gt;=TIMEVALUE("12:00"),"Afternoon", BF881&gt;=TIMEVALUE("06:00"),"Morning")</f>
        <v>Evening</v>
      </c>
      <c r="BH881" s="2">
        <v>2016</v>
      </c>
      <c r="BI881" s="2" t="s">
        <v>423</v>
      </c>
      <c r="BJ881" s="2">
        <v>14</v>
      </c>
    </row>
    <row r="882" spans="1:62" x14ac:dyDescent="0.3">
      <c r="A882" s="2" t="s">
        <v>62</v>
      </c>
      <c r="B882" s="2">
        <v>5</v>
      </c>
      <c r="C882" s="2">
        <v>4</v>
      </c>
      <c r="D882" s="2">
        <v>29.74</v>
      </c>
      <c r="E882" s="2">
        <v>113.09</v>
      </c>
      <c r="F882" s="2" t="s">
        <v>87</v>
      </c>
      <c r="G882" s="2" t="s">
        <v>88</v>
      </c>
      <c r="H882" s="2">
        <v>18</v>
      </c>
      <c r="I882" s="2" t="s">
        <v>863</v>
      </c>
      <c r="J882" s="2" t="s">
        <v>1460</v>
      </c>
      <c r="K882" s="2" t="s">
        <v>102</v>
      </c>
      <c r="L882" s="2" t="s">
        <v>807</v>
      </c>
      <c r="M882" s="2">
        <v>12205</v>
      </c>
      <c r="N882" s="2" t="s">
        <v>425</v>
      </c>
      <c r="O882" s="2" t="s">
        <v>124</v>
      </c>
      <c r="P882" s="2" t="s">
        <v>234</v>
      </c>
      <c r="Q882" s="2" t="s">
        <v>3595</v>
      </c>
      <c r="R882" s="2">
        <v>60617</v>
      </c>
      <c r="S882" s="2">
        <v>4</v>
      </c>
      <c r="T882" s="2" t="s">
        <v>417</v>
      </c>
      <c r="U882" s="2">
        <v>41.896038099999998</v>
      </c>
      <c r="V882" s="2">
        <v>-87.673019400000001</v>
      </c>
      <c r="W882" s="2" t="s">
        <v>74</v>
      </c>
      <c r="X882" s="2" t="s">
        <v>273</v>
      </c>
      <c r="Y882" s="2" t="s">
        <v>116</v>
      </c>
      <c r="Z882" s="2">
        <v>12205</v>
      </c>
      <c r="AA882" s="2" t="s">
        <v>3596</v>
      </c>
      <c r="AB882" s="2">
        <v>30519</v>
      </c>
      <c r="AC882" s="2">
        <v>403</v>
      </c>
      <c r="AD882" s="2">
        <v>16.899999999999999</v>
      </c>
      <c r="AE882" s="2">
        <v>0.13</v>
      </c>
      <c r="AF882" s="2" t="str" cm="1">
        <f t="array" ref="AF882">_xlfn.IFS(AE882=0, "No Discount ", AE882&lt;=0.08,"Low Discount", AE882&lt;=0.16,"Medium Discount", AE882&gt;0.16, "High Discount")</f>
        <v>Medium Discount</v>
      </c>
      <c r="AG882" s="2">
        <v>76292</v>
      </c>
      <c r="AH882" s="2">
        <v>129.99</v>
      </c>
      <c r="AI882" s="2">
        <v>0.26</v>
      </c>
      <c r="AJ882" s="2" t="str" cm="1">
        <f t="array" ref="AJ882">_xlfn.IFS(AI882&lt;=0, "No Profit", AI882&lt;=0.16,"Low Profit",AI882&lt;=0.32,"Medium Profit",AI882&gt;0.32,"High Profit")</f>
        <v>Medium Profit</v>
      </c>
      <c r="AK882" s="2">
        <v>1</v>
      </c>
      <c r="AL882" s="2">
        <v>129.99</v>
      </c>
      <c r="AM882" s="2">
        <v>113.09</v>
      </c>
      <c r="AN882" s="2">
        <v>29.74</v>
      </c>
      <c r="AO882" s="2" t="s">
        <v>118</v>
      </c>
      <c r="AP882" s="2" t="s">
        <v>275</v>
      </c>
      <c r="AQ882" s="2" t="s">
        <v>80</v>
      </c>
      <c r="AR882" s="2" t="s">
        <v>81</v>
      </c>
      <c r="AS882" s="2">
        <v>403</v>
      </c>
      <c r="AT882" s="2">
        <v>18</v>
      </c>
      <c r="AU882" s="2" t="s">
        <v>869</v>
      </c>
      <c r="AV882" s="2">
        <v>129.99</v>
      </c>
      <c r="AW882" s="2">
        <v>0</v>
      </c>
      <c r="AX882" s="2" t="s">
        <v>3597</v>
      </c>
      <c r="AY882" s="2" t="s">
        <v>83</v>
      </c>
      <c r="AZ882" s="4">
        <v>42450</v>
      </c>
      <c r="BA882" s="5">
        <v>0.49166666666666664</v>
      </c>
      <c r="BB882" s="2">
        <v>2016</v>
      </c>
      <c r="BC882" s="2" t="s">
        <v>85</v>
      </c>
      <c r="BD882" s="2">
        <v>21</v>
      </c>
      <c r="BE882" s="4">
        <v>42455</v>
      </c>
      <c r="BF882" s="5">
        <v>0.49166666666666664</v>
      </c>
      <c r="BG882" s="2" t="str" cm="1">
        <f t="array" ref="BG882">_xlfn.IFS(BF882&lt;TIMEVALUE("06:00"),"Night", BF882&gt;=TIMEVALUE("21:00"),"Night",BF882&gt;=TIMEVALUE("17:00"),"Evening",BF882&gt;=TIMEVALUE("12:00"),"Afternoon", BF882&gt;=TIMEVALUE("06:00"),"Morning")</f>
        <v>Morning</v>
      </c>
      <c r="BH882" s="2">
        <v>2016</v>
      </c>
      <c r="BI882" s="2" t="s">
        <v>85</v>
      </c>
      <c r="BJ882" s="2">
        <v>26</v>
      </c>
    </row>
    <row r="883" spans="1:62" x14ac:dyDescent="0.3">
      <c r="A883" s="2" t="s">
        <v>62</v>
      </c>
      <c r="B883" s="2">
        <v>3</v>
      </c>
      <c r="C883" s="2">
        <v>4</v>
      </c>
      <c r="D883" s="2">
        <v>-28.27</v>
      </c>
      <c r="E883" s="2">
        <v>113.09</v>
      </c>
      <c r="F883" s="2" t="s">
        <v>63</v>
      </c>
      <c r="G883" s="2" t="s">
        <v>64</v>
      </c>
      <c r="H883" s="2">
        <v>18</v>
      </c>
      <c r="I883" s="2" t="s">
        <v>863</v>
      </c>
      <c r="J883" s="2" t="s">
        <v>1460</v>
      </c>
      <c r="K883" s="2" t="s">
        <v>102</v>
      </c>
      <c r="L883" s="2" t="s">
        <v>3521</v>
      </c>
      <c r="M883" s="2">
        <v>5582</v>
      </c>
      <c r="N883" s="2" t="s">
        <v>2192</v>
      </c>
      <c r="O883" s="2" t="s">
        <v>124</v>
      </c>
      <c r="P883" s="2" t="s">
        <v>234</v>
      </c>
      <c r="Q883" s="2" t="s">
        <v>3522</v>
      </c>
      <c r="R883" s="2">
        <v>60616</v>
      </c>
      <c r="S883" s="2">
        <v>4</v>
      </c>
      <c r="T883" s="2" t="s">
        <v>417</v>
      </c>
      <c r="U883" s="2">
        <v>41.883415200000002</v>
      </c>
      <c r="V883" s="2">
        <v>-88.199737600000006</v>
      </c>
      <c r="W883" s="2" t="s">
        <v>74</v>
      </c>
      <c r="X883" s="2" t="s">
        <v>1334</v>
      </c>
      <c r="Y883" s="2" t="s">
        <v>116</v>
      </c>
      <c r="Z883" s="2">
        <v>5582</v>
      </c>
      <c r="AA883" s="3">
        <v>42196.434027777781</v>
      </c>
      <c r="AB883" s="2">
        <v>21267</v>
      </c>
      <c r="AC883" s="2">
        <v>403</v>
      </c>
      <c r="AD883" s="2">
        <v>16.899999999999999</v>
      </c>
      <c r="AE883" s="2">
        <v>0.13</v>
      </c>
      <c r="AF883" s="2" t="str" cm="1">
        <f t="array" ref="AF883">_xlfn.IFS(AE883=0, "No Discount ", AE883&lt;=0.08,"Low Discount", AE883&lt;=0.16,"Medium Discount", AE883&gt;0.16, "High Discount")</f>
        <v>Medium Discount</v>
      </c>
      <c r="AG883" s="2">
        <v>53190</v>
      </c>
      <c r="AH883" s="2">
        <v>129.99</v>
      </c>
      <c r="AI883" s="2">
        <v>-0.25</v>
      </c>
      <c r="AJ883" s="2" t="str" cm="1">
        <f t="array" ref="AJ883">_xlfn.IFS(AI883&lt;=0, "No Profit", AI883&lt;=0.16,"Low Profit",AI883&lt;=0.32,"Medium Profit",AI883&gt;0.32,"High Profit")</f>
        <v>No Profit</v>
      </c>
      <c r="AK883" s="2">
        <v>1</v>
      </c>
      <c r="AL883" s="2">
        <v>129.99</v>
      </c>
      <c r="AM883" s="2">
        <v>113.09</v>
      </c>
      <c r="AN883" s="2">
        <v>-28.27</v>
      </c>
      <c r="AO883" s="2" t="s">
        <v>118</v>
      </c>
      <c r="AP883" s="2" t="s">
        <v>119</v>
      </c>
      <c r="AQ883" s="2" t="s">
        <v>80</v>
      </c>
      <c r="AR883" s="2" t="s">
        <v>81</v>
      </c>
      <c r="AS883" s="2">
        <v>403</v>
      </c>
      <c r="AT883" s="2">
        <v>18</v>
      </c>
      <c r="AU883" s="2" t="s">
        <v>869</v>
      </c>
      <c r="AV883" s="2">
        <v>129.99</v>
      </c>
      <c r="AW883" s="2">
        <v>0</v>
      </c>
      <c r="AX883" s="3">
        <v>42288.434027777781</v>
      </c>
      <c r="AY883" s="2" t="s">
        <v>83</v>
      </c>
      <c r="AZ883" s="4">
        <v>42196</v>
      </c>
      <c r="BA883" s="5">
        <v>0.43402777777777779</v>
      </c>
      <c r="BB883" s="2">
        <v>2015</v>
      </c>
      <c r="BC883" s="2" t="s">
        <v>533</v>
      </c>
      <c r="BD883" s="2">
        <v>11</v>
      </c>
      <c r="BE883" s="4">
        <v>42288</v>
      </c>
      <c r="BF883" s="5">
        <v>0.43402777777777779</v>
      </c>
      <c r="BG883" s="2" t="str" cm="1">
        <f t="array" ref="BG883">_xlfn.IFS(BF883&lt;TIMEVALUE("06:00"),"Night", BF883&gt;=TIMEVALUE("21:00"),"Night",BF883&gt;=TIMEVALUE("17:00"),"Evening",BF883&gt;=TIMEVALUE("12:00"),"Afternoon", BF883&gt;=TIMEVALUE("06:00"),"Morning")</f>
        <v>Morning</v>
      </c>
      <c r="BH883" s="2">
        <v>2015</v>
      </c>
      <c r="BI883" s="2" t="s">
        <v>434</v>
      </c>
      <c r="BJ883" s="2">
        <v>11</v>
      </c>
    </row>
    <row r="884" spans="1:62" x14ac:dyDescent="0.3">
      <c r="A884" s="2" t="s">
        <v>62</v>
      </c>
      <c r="B884" s="2">
        <v>4</v>
      </c>
      <c r="C884" s="2">
        <v>4</v>
      </c>
      <c r="D884" s="2">
        <v>-149.85</v>
      </c>
      <c r="E884" s="2">
        <v>113.09</v>
      </c>
      <c r="F884" s="2" t="s">
        <v>100</v>
      </c>
      <c r="G884" s="2" t="s">
        <v>64</v>
      </c>
      <c r="H884" s="2">
        <v>18</v>
      </c>
      <c r="I884" s="2" t="s">
        <v>863</v>
      </c>
      <c r="J884" s="2" t="s">
        <v>3598</v>
      </c>
      <c r="K884" s="2" t="s">
        <v>102</v>
      </c>
      <c r="L884" s="2" t="s">
        <v>1297</v>
      </c>
      <c r="M884" s="2">
        <v>10790</v>
      </c>
      <c r="N884" s="2" t="s">
        <v>425</v>
      </c>
      <c r="O884" s="2" t="s">
        <v>124</v>
      </c>
      <c r="P884" s="2" t="s">
        <v>3599</v>
      </c>
      <c r="Q884" s="2" t="s">
        <v>690</v>
      </c>
      <c r="R884" s="2">
        <v>67401</v>
      </c>
      <c r="S884" s="2">
        <v>4</v>
      </c>
      <c r="T884" s="2" t="s">
        <v>417</v>
      </c>
      <c r="U884" s="2">
        <v>38.772235899999998</v>
      </c>
      <c r="V884" s="2">
        <v>-97.612991300000004</v>
      </c>
      <c r="W884" s="2" t="s">
        <v>74</v>
      </c>
      <c r="X884" s="2" t="s">
        <v>3600</v>
      </c>
      <c r="Y884" s="2" t="s">
        <v>1342</v>
      </c>
      <c r="Z884" s="2">
        <v>10790</v>
      </c>
      <c r="AA884" s="2" t="s">
        <v>3601</v>
      </c>
      <c r="AB884" s="2">
        <v>30658</v>
      </c>
      <c r="AC884" s="2">
        <v>403</v>
      </c>
      <c r="AD884" s="2">
        <v>16.899999999999999</v>
      </c>
      <c r="AE884" s="2">
        <v>0.13</v>
      </c>
      <c r="AF884" s="2" t="str" cm="1">
        <f t="array" ref="AF884">_xlfn.IFS(AE884=0, "No Discount ", AE884&lt;=0.08,"Low Discount", AE884&lt;=0.16,"Medium Discount", AE884&gt;0.16, "High Discount")</f>
        <v>Medium Discount</v>
      </c>
      <c r="AG884" s="2">
        <v>76585</v>
      </c>
      <c r="AH884" s="2">
        <v>129.99</v>
      </c>
      <c r="AI884" s="2">
        <v>-1.33</v>
      </c>
      <c r="AJ884" s="2" t="str" cm="1">
        <f t="array" ref="AJ884">_xlfn.IFS(AI884&lt;=0, "No Profit", AI884&lt;=0.16,"Low Profit",AI884&lt;=0.32,"Medium Profit",AI884&gt;0.32,"High Profit")</f>
        <v>No Profit</v>
      </c>
      <c r="AK884" s="2">
        <v>1</v>
      </c>
      <c r="AL884" s="2">
        <v>129.99</v>
      </c>
      <c r="AM884" s="2">
        <v>113.09</v>
      </c>
      <c r="AN884" s="2">
        <v>-149.85</v>
      </c>
      <c r="AO884" s="2" t="s">
        <v>118</v>
      </c>
      <c r="AP884" s="2" t="s">
        <v>2385</v>
      </c>
      <c r="AQ884" s="2" t="s">
        <v>80</v>
      </c>
      <c r="AR884" s="2" t="s">
        <v>81</v>
      </c>
      <c r="AS884" s="2">
        <v>403</v>
      </c>
      <c r="AT884" s="2">
        <v>18</v>
      </c>
      <c r="AU884" s="2" t="s">
        <v>869</v>
      </c>
      <c r="AV884" s="2">
        <v>129.99</v>
      </c>
      <c r="AW884" s="2">
        <v>0</v>
      </c>
      <c r="AX884" s="2" t="s">
        <v>3602</v>
      </c>
      <c r="AY884" s="2" t="s">
        <v>83</v>
      </c>
      <c r="AZ884" s="4">
        <v>42452</v>
      </c>
      <c r="BA884" s="5">
        <v>0.52083333333333337</v>
      </c>
      <c r="BB884" s="2">
        <v>2016</v>
      </c>
      <c r="BC884" s="2" t="s">
        <v>85</v>
      </c>
      <c r="BD884" s="2">
        <v>23</v>
      </c>
      <c r="BE884" s="4">
        <v>42456</v>
      </c>
      <c r="BF884" s="5">
        <v>0.52083333333333337</v>
      </c>
      <c r="BG884" s="2" t="str" cm="1">
        <f t="array" ref="BG884">_xlfn.IFS(BF884&lt;TIMEVALUE("06:00"),"Night", BF884&gt;=TIMEVALUE("21:00"),"Night",BF884&gt;=TIMEVALUE("17:00"),"Evening",BF884&gt;=TIMEVALUE("12:00"),"Afternoon", BF884&gt;=TIMEVALUE("06:00"),"Morning")</f>
        <v>Afternoon</v>
      </c>
      <c r="BH884" s="2">
        <v>2016</v>
      </c>
      <c r="BI884" s="2" t="s">
        <v>85</v>
      </c>
      <c r="BJ884" s="2">
        <v>27</v>
      </c>
    </row>
    <row r="885" spans="1:62" x14ac:dyDescent="0.3">
      <c r="A885" s="2" t="s">
        <v>62</v>
      </c>
      <c r="B885" s="2">
        <v>4</v>
      </c>
      <c r="C885" s="2">
        <v>4</v>
      </c>
      <c r="D885" s="2">
        <v>29.4</v>
      </c>
      <c r="E885" s="2">
        <v>113.09</v>
      </c>
      <c r="F885" s="2" t="s">
        <v>100</v>
      </c>
      <c r="G885" s="2" t="s">
        <v>64</v>
      </c>
      <c r="H885" s="2">
        <v>18</v>
      </c>
      <c r="I885" s="2" t="s">
        <v>863</v>
      </c>
      <c r="J885" s="2" t="s">
        <v>3603</v>
      </c>
      <c r="K885" s="2" t="s">
        <v>102</v>
      </c>
      <c r="L885" s="2" t="s">
        <v>1392</v>
      </c>
      <c r="M885" s="2">
        <v>11922</v>
      </c>
      <c r="N885" s="2" t="s">
        <v>406</v>
      </c>
      <c r="O885" s="2" t="s">
        <v>124</v>
      </c>
      <c r="P885" s="2" t="s">
        <v>1102</v>
      </c>
      <c r="Q885" s="2" t="s">
        <v>3604</v>
      </c>
      <c r="R885" s="2">
        <v>20783</v>
      </c>
      <c r="S885" s="2">
        <v>4</v>
      </c>
      <c r="T885" s="2" t="s">
        <v>417</v>
      </c>
      <c r="U885" s="2">
        <v>38.970149999999997</v>
      </c>
      <c r="V885" s="2">
        <v>-76.990966799999995</v>
      </c>
      <c r="W885" s="2" t="s">
        <v>74</v>
      </c>
      <c r="X885" s="2" t="s">
        <v>354</v>
      </c>
      <c r="Y885" s="2" t="s">
        <v>116</v>
      </c>
      <c r="Z885" s="2">
        <v>11922</v>
      </c>
      <c r="AA885" s="2" t="s">
        <v>3605</v>
      </c>
      <c r="AB885" s="2">
        <v>30323</v>
      </c>
      <c r="AC885" s="2">
        <v>403</v>
      </c>
      <c r="AD885" s="2">
        <v>16.899999999999999</v>
      </c>
      <c r="AE885" s="2">
        <v>0.13</v>
      </c>
      <c r="AF885" s="2" t="str" cm="1">
        <f t="array" ref="AF885">_xlfn.IFS(AE885=0, "No Discount ", AE885&lt;=0.08,"Low Discount", AE885&lt;=0.16,"Medium Discount", AE885&gt;0.16, "High Discount")</f>
        <v>Medium Discount</v>
      </c>
      <c r="AG885" s="2">
        <v>75794</v>
      </c>
      <c r="AH885" s="2">
        <v>129.99</v>
      </c>
      <c r="AI885" s="2">
        <v>0.26</v>
      </c>
      <c r="AJ885" s="2" t="str" cm="1">
        <f t="array" ref="AJ885">_xlfn.IFS(AI885&lt;=0, "No Profit", AI885&lt;=0.16,"Low Profit",AI885&lt;=0.32,"Medium Profit",AI885&gt;0.32,"High Profit")</f>
        <v>Medium Profit</v>
      </c>
      <c r="AK885" s="2">
        <v>1</v>
      </c>
      <c r="AL885" s="2">
        <v>129.99</v>
      </c>
      <c r="AM885" s="2">
        <v>113.09</v>
      </c>
      <c r="AN885" s="2">
        <v>29.4</v>
      </c>
      <c r="AO885" s="2" t="s">
        <v>118</v>
      </c>
      <c r="AP885" s="2" t="s">
        <v>355</v>
      </c>
      <c r="AQ885" s="2" t="s">
        <v>80</v>
      </c>
      <c r="AR885" s="2" t="s">
        <v>81</v>
      </c>
      <c r="AS885" s="2">
        <v>403</v>
      </c>
      <c r="AT885" s="2">
        <v>18</v>
      </c>
      <c r="AU885" s="2" t="s">
        <v>869</v>
      </c>
      <c r="AV885" s="2">
        <v>129.99</v>
      </c>
      <c r="AW885" s="2">
        <v>0</v>
      </c>
      <c r="AX885" s="2" t="s">
        <v>3606</v>
      </c>
      <c r="AY885" s="2" t="s">
        <v>83</v>
      </c>
      <c r="AZ885" s="4">
        <v>42447</v>
      </c>
      <c r="BA885" s="5">
        <v>0.63055555555555554</v>
      </c>
      <c r="BB885" s="2">
        <v>2016</v>
      </c>
      <c r="BC885" s="2" t="s">
        <v>85</v>
      </c>
      <c r="BD885" s="2">
        <v>18</v>
      </c>
      <c r="BE885" s="4">
        <v>42451</v>
      </c>
      <c r="BF885" s="5">
        <v>0.63055555555555554</v>
      </c>
      <c r="BG885" s="2" t="str" cm="1">
        <f t="array" ref="BG885">_xlfn.IFS(BF885&lt;TIMEVALUE("06:00"),"Night", BF885&gt;=TIMEVALUE("21:00"),"Night",BF885&gt;=TIMEVALUE("17:00"),"Evening",BF885&gt;=TIMEVALUE("12:00"),"Afternoon", BF885&gt;=TIMEVALUE("06:00"),"Morning")</f>
        <v>Afternoon</v>
      </c>
      <c r="BH885" s="2">
        <v>2016</v>
      </c>
      <c r="BI885" s="2" t="s">
        <v>85</v>
      </c>
      <c r="BJ885" s="2">
        <v>22</v>
      </c>
    </row>
    <row r="886" spans="1:62" x14ac:dyDescent="0.3">
      <c r="A886" s="2" t="s">
        <v>62</v>
      </c>
      <c r="B886" s="2">
        <v>3</v>
      </c>
      <c r="C886" s="2">
        <v>4</v>
      </c>
      <c r="D886" s="2">
        <v>-90.47</v>
      </c>
      <c r="E886" s="2">
        <v>113.09</v>
      </c>
      <c r="F886" s="2" t="s">
        <v>63</v>
      </c>
      <c r="G886" s="2" t="s">
        <v>64</v>
      </c>
      <c r="H886" s="2">
        <v>18</v>
      </c>
      <c r="I886" s="2" t="s">
        <v>863</v>
      </c>
      <c r="J886" s="2" t="s">
        <v>1147</v>
      </c>
      <c r="K886" s="2" t="s">
        <v>102</v>
      </c>
      <c r="L886" s="2" t="s">
        <v>3523</v>
      </c>
      <c r="M886" s="2">
        <v>6855</v>
      </c>
      <c r="N886" s="2" t="s">
        <v>3524</v>
      </c>
      <c r="O886" s="2" t="s">
        <v>124</v>
      </c>
      <c r="P886" s="2" t="s">
        <v>280</v>
      </c>
      <c r="Q886" s="2" t="s">
        <v>3525</v>
      </c>
      <c r="R886" s="2">
        <v>19143</v>
      </c>
      <c r="S886" s="2">
        <v>4</v>
      </c>
      <c r="T886" s="2" t="s">
        <v>417</v>
      </c>
      <c r="U886" s="2">
        <v>39.946628599999997</v>
      </c>
      <c r="V886" s="2">
        <v>-75.218223600000002</v>
      </c>
      <c r="W886" s="2" t="s">
        <v>74</v>
      </c>
      <c r="X886" s="2" t="s">
        <v>3526</v>
      </c>
      <c r="Y886" s="2" t="s">
        <v>116</v>
      </c>
      <c r="Z886" s="2">
        <v>6855</v>
      </c>
      <c r="AA886" s="2" t="s">
        <v>3527</v>
      </c>
      <c r="AB886" s="2">
        <v>30712</v>
      </c>
      <c r="AC886" s="2">
        <v>403</v>
      </c>
      <c r="AD886" s="2">
        <v>16.899999999999999</v>
      </c>
      <c r="AE886" s="2">
        <v>0.13</v>
      </c>
      <c r="AF886" s="2" t="str" cm="1">
        <f t="array" ref="AF886">_xlfn.IFS(AE886=0, "No Discount ", AE886&lt;=0.08,"Low Discount", AE886&lt;=0.16,"Medium Discount", AE886&gt;0.16, "High Discount")</f>
        <v>Medium Discount</v>
      </c>
      <c r="AG886" s="2">
        <v>76713</v>
      </c>
      <c r="AH886" s="2">
        <v>129.99</v>
      </c>
      <c r="AI886" s="2">
        <v>-0.8</v>
      </c>
      <c r="AJ886" s="2" t="str" cm="1">
        <f t="array" ref="AJ886">_xlfn.IFS(AI886&lt;=0, "No Profit", AI886&lt;=0.16,"Low Profit",AI886&lt;=0.32,"Medium Profit",AI886&gt;0.32,"High Profit")</f>
        <v>No Profit</v>
      </c>
      <c r="AK886" s="2">
        <v>1</v>
      </c>
      <c r="AL886" s="2">
        <v>129.99</v>
      </c>
      <c r="AM886" s="2">
        <v>113.09</v>
      </c>
      <c r="AN886" s="2">
        <v>-90.47</v>
      </c>
      <c r="AO886" s="2" t="s">
        <v>118</v>
      </c>
      <c r="AP886" s="2" t="s">
        <v>355</v>
      </c>
      <c r="AQ886" s="2" t="s">
        <v>80</v>
      </c>
      <c r="AR886" s="2" t="s">
        <v>81</v>
      </c>
      <c r="AS886" s="2">
        <v>403</v>
      </c>
      <c r="AT886" s="2">
        <v>18</v>
      </c>
      <c r="AU886" s="2" t="s">
        <v>869</v>
      </c>
      <c r="AV886" s="2">
        <v>129.99</v>
      </c>
      <c r="AW886" s="2">
        <v>0</v>
      </c>
      <c r="AX886" s="2" t="s">
        <v>3528</v>
      </c>
      <c r="AY886" s="2" t="s">
        <v>83</v>
      </c>
      <c r="AZ886" s="4">
        <v>42453</v>
      </c>
      <c r="BA886" s="5">
        <v>0.30902777777777779</v>
      </c>
      <c r="BB886" s="2">
        <v>2016</v>
      </c>
      <c r="BC886" s="2" t="s">
        <v>85</v>
      </c>
      <c r="BD886" s="2">
        <v>24</v>
      </c>
      <c r="BE886" s="4">
        <v>42456</v>
      </c>
      <c r="BF886" s="5">
        <v>0.30902777777777779</v>
      </c>
      <c r="BG886" s="2" t="str" cm="1">
        <f t="array" ref="BG886">_xlfn.IFS(BF886&lt;TIMEVALUE("06:00"),"Night", BF886&gt;=TIMEVALUE("21:00"),"Night",BF886&gt;=TIMEVALUE("17:00"),"Evening",BF886&gt;=TIMEVALUE("12:00"),"Afternoon", BF886&gt;=TIMEVALUE("06:00"),"Morning")</f>
        <v>Morning</v>
      </c>
      <c r="BH886" s="2">
        <v>2016</v>
      </c>
      <c r="BI886" s="2" t="s">
        <v>85</v>
      </c>
      <c r="BJ886" s="2">
        <v>27</v>
      </c>
    </row>
    <row r="887" spans="1:62" x14ac:dyDescent="0.3">
      <c r="A887" s="2" t="s">
        <v>62</v>
      </c>
      <c r="B887" s="2">
        <v>5</v>
      </c>
      <c r="C887" s="2">
        <v>4</v>
      </c>
      <c r="D887" s="2">
        <v>38.22</v>
      </c>
      <c r="E887" s="2">
        <v>113.09</v>
      </c>
      <c r="F887" s="2" t="s">
        <v>87</v>
      </c>
      <c r="G887" s="2" t="s">
        <v>88</v>
      </c>
      <c r="H887" s="2">
        <v>18</v>
      </c>
      <c r="I887" s="2" t="s">
        <v>863</v>
      </c>
      <c r="J887" s="2" t="s">
        <v>3607</v>
      </c>
      <c r="K887" s="2" t="s">
        <v>102</v>
      </c>
      <c r="L887" s="2" t="s">
        <v>2918</v>
      </c>
      <c r="M887" s="2">
        <v>10438</v>
      </c>
      <c r="N887" s="2" t="s">
        <v>2760</v>
      </c>
      <c r="O887" s="2" t="s">
        <v>124</v>
      </c>
      <c r="P887" s="2" t="s">
        <v>333</v>
      </c>
      <c r="Q887" s="2" t="s">
        <v>3608</v>
      </c>
      <c r="R887" s="2">
        <v>76180</v>
      </c>
      <c r="S887" s="2">
        <v>4</v>
      </c>
      <c r="T887" s="2" t="s">
        <v>417</v>
      </c>
      <c r="U887" s="2">
        <v>32.842922199999997</v>
      </c>
      <c r="V887" s="2">
        <v>-97.226158100000006</v>
      </c>
      <c r="W887" s="2" t="s">
        <v>74</v>
      </c>
      <c r="X887" s="2" t="s">
        <v>1316</v>
      </c>
      <c r="Y887" s="2" t="s">
        <v>116</v>
      </c>
      <c r="Z887" s="2">
        <v>10438</v>
      </c>
      <c r="AA887" s="2" t="s">
        <v>3609</v>
      </c>
      <c r="AB887" s="2">
        <v>30044</v>
      </c>
      <c r="AC887" s="2">
        <v>403</v>
      </c>
      <c r="AD887" s="2">
        <v>16.899999999999999</v>
      </c>
      <c r="AE887" s="2">
        <v>0.13</v>
      </c>
      <c r="AF887" s="2" t="str" cm="1">
        <f t="array" ref="AF887">_xlfn.IFS(AE887=0, "No Discount ", AE887&lt;=0.08,"Low Discount", AE887&lt;=0.16,"Medium Discount", AE887&gt;0.16, "High Discount")</f>
        <v>Medium Discount</v>
      </c>
      <c r="AG887" s="2">
        <v>75113</v>
      </c>
      <c r="AH887" s="2">
        <v>129.99</v>
      </c>
      <c r="AI887" s="2">
        <v>0.34</v>
      </c>
      <c r="AJ887" s="2" t="str" cm="1">
        <f t="array" ref="AJ887">_xlfn.IFS(AI887&lt;=0, "No Profit", AI887&lt;=0.16,"Low Profit",AI887&lt;=0.32,"Medium Profit",AI887&gt;0.32,"High Profit")</f>
        <v>High Profit</v>
      </c>
      <c r="AK887" s="2">
        <v>1</v>
      </c>
      <c r="AL887" s="2">
        <v>129.99</v>
      </c>
      <c r="AM887" s="2">
        <v>113.09</v>
      </c>
      <c r="AN887" s="2">
        <v>38.22</v>
      </c>
      <c r="AO887" s="2" t="s">
        <v>118</v>
      </c>
      <c r="AP887" s="2" t="s">
        <v>355</v>
      </c>
      <c r="AQ887" s="2" t="s">
        <v>80</v>
      </c>
      <c r="AR887" s="2" t="s">
        <v>81</v>
      </c>
      <c r="AS887" s="2">
        <v>403</v>
      </c>
      <c r="AT887" s="2">
        <v>18</v>
      </c>
      <c r="AU887" s="2" t="s">
        <v>869</v>
      </c>
      <c r="AV887" s="2">
        <v>129.99</v>
      </c>
      <c r="AW887" s="2">
        <v>0</v>
      </c>
      <c r="AX887" s="2" t="s">
        <v>3610</v>
      </c>
      <c r="AY887" s="2" t="s">
        <v>83</v>
      </c>
      <c r="AZ887" s="4">
        <v>42443</v>
      </c>
      <c r="BA887" s="5">
        <v>0.55833333333333335</v>
      </c>
      <c r="BB887" s="2">
        <v>2016</v>
      </c>
      <c r="BC887" s="2" t="s">
        <v>85</v>
      </c>
      <c r="BD887" s="2">
        <v>14</v>
      </c>
      <c r="BE887" s="4">
        <v>42448</v>
      </c>
      <c r="BF887" s="5">
        <v>0.55833333333333335</v>
      </c>
      <c r="BG887" s="2" t="str" cm="1">
        <f t="array" ref="BG887">_xlfn.IFS(BF887&lt;TIMEVALUE("06:00"),"Night", BF887&gt;=TIMEVALUE("21:00"),"Night",BF887&gt;=TIMEVALUE("17:00"),"Evening",BF887&gt;=TIMEVALUE("12:00"),"Afternoon", BF887&gt;=TIMEVALUE("06:00"),"Morning")</f>
        <v>Afternoon</v>
      </c>
      <c r="BH887" s="2">
        <v>2016</v>
      </c>
      <c r="BI887" s="2" t="s">
        <v>85</v>
      </c>
      <c r="BJ887" s="2">
        <v>19</v>
      </c>
    </row>
    <row r="888" spans="1:62" x14ac:dyDescent="0.3">
      <c r="A888" s="2" t="s">
        <v>62</v>
      </c>
      <c r="B888" s="2">
        <v>5</v>
      </c>
      <c r="C888" s="2">
        <v>4</v>
      </c>
      <c r="D888" s="2">
        <v>16.7</v>
      </c>
      <c r="E888" s="2">
        <v>51.4</v>
      </c>
      <c r="F888" s="2" t="s">
        <v>87</v>
      </c>
      <c r="G888" s="2" t="s">
        <v>88</v>
      </c>
      <c r="H888" s="2">
        <v>60</v>
      </c>
      <c r="I888" s="2" t="s">
        <v>3611</v>
      </c>
      <c r="J888" s="2" t="s">
        <v>3612</v>
      </c>
      <c r="K888" s="2" t="s">
        <v>102</v>
      </c>
      <c r="L888" s="2" t="s">
        <v>1893</v>
      </c>
      <c r="M888" s="2">
        <v>17747</v>
      </c>
      <c r="N888" s="2" t="s">
        <v>3613</v>
      </c>
      <c r="O888" s="2" t="s">
        <v>124</v>
      </c>
      <c r="P888" s="2" t="s">
        <v>133</v>
      </c>
      <c r="Q888" s="2" t="s">
        <v>3614</v>
      </c>
      <c r="R888" s="2">
        <v>10977</v>
      </c>
      <c r="S888" s="2">
        <v>4</v>
      </c>
      <c r="T888" s="2" t="s">
        <v>417</v>
      </c>
      <c r="U888" s="2">
        <v>42.3348084</v>
      </c>
      <c r="V888" s="2">
        <v>-74.930641199999997</v>
      </c>
      <c r="W888" s="2" t="s">
        <v>74</v>
      </c>
      <c r="X888" s="2" t="s">
        <v>3615</v>
      </c>
      <c r="Y888" s="2" t="s">
        <v>93</v>
      </c>
      <c r="Z888" s="2">
        <v>17747</v>
      </c>
      <c r="AA888" s="2" t="s">
        <v>3616</v>
      </c>
      <c r="AB888" s="2">
        <v>74194</v>
      </c>
      <c r="AC888" s="2">
        <v>1347</v>
      </c>
      <c r="AD888" s="2">
        <v>7.68</v>
      </c>
      <c r="AE888" s="2">
        <v>0.13</v>
      </c>
      <c r="AF888" s="2" t="str" cm="1">
        <f t="array" ref="AF888">_xlfn.IFS(AE888=0, "No Discount ", AE888&lt;=0.08,"Low Discount", AE888&lt;=0.16,"Medium Discount", AE888&gt;0.16, "High Discount")</f>
        <v>Medium Discount</v>
      </c>
      <c r="AG888" s="2">
        <v>177509</v>
      </c>
      <c r="AH888" s="2">
        <v>59.08</v>
      </c>
      <c r="AI888" s="2">
        <v>0.33</v>
      </c>
      <c r="AJ888" s="2" t="str" cm="1">
        <f t="array" ref="AJ888">_xlfn.IFS(AI888&lt;=0, "No Profit", AI888&lt;=0.16,"Low Profit",AI888&lt;=0.32,"Medium Profit",AI888&gt;0.32,"High Profit")</f>
        <v>High Profit</v>
      </c>
      <c r="AK888" s="2">
        <v>1</v>
      </c>
      <c r="AL888" s="2">
        <v>59.08</v>
      </c>
      <c r="AM888" s="2">
        <v>51.4</v>
      </c>
      <c r="AN888" s="2">
        <v>16.7</v>
      </c>
      <c r="AO888" s="2" t="s">
        <v>95</v>
      </c>
      <c r="AP888" s="2" t="s">
        <v>349</v>
      </c>
      <c r="AQ888" s="2" t="s">
        <v>80</v>
      </c>
      <c r="AR888" s="2" t="s">
        <v>81</v>
      </c>
      <c r="AS888" s="2">
        <v>1347</v>
      </c>
      <c r="AT888" s="2">
        <v>60</v>
      </c>
      <c r="AU888" s="2" t="s">
        <v>3617</v>
      </c>
      <c r="AV888" s="2">
        <v>59.08</v>
      </c>
      <c r="AW888" s="2">
        <v>0</v>
      </c>
      <c r="AX888" s="2" t="s">
        <v>3618</v>
      </c>
      <c r="AY888" s="2" t="s">
        <v>83</v>
      </c>
      <c r="AZ888" s="4">
        <v>43088</v>
      </c>
      <c r="BA888" s="5">
        <v>4.583333333333333E-2</v>
      </c>
      <c r="BB888" s="2">
        <v>2017</v>
      </c>
      <c r="BC888" s="2" t="s">
        <v>357</v>
      </c>
      <c r="BD888" s="2">
        <v>19</v>
      </c>
      <c r="BE888" s="4">
        <v>43093</v>
      </c>
      <c r="BF888" s="5">
        <v>4.583333333333333E-2</v>
      </c>
      <c r="BG888" s="2" t="str" cm="1">
        <f t="array" ref="BG888">_xlfn.IFS(BF888&lt;TIMEVALUE("06:00"),"Night", BF888&gt;=TIMEVALUE("21:00"),"Night",BF888&gt;=TIMEVALUE("17:00"),"Evening",BF888&gt;=TIMEVALUE("12:00"),"Afternoon", BF888&gt;=TIMEVALUE("06:00"),"Morning")</f>
        <v>Night</v>
      </c>
      <c r="BH888" s="2">
        <v>2017</v>
      </c>
      <c r="BI888" s="2" t="s">
        <v>357</v>
      </c>
      <c r="BJ888" s="2">
        <v>24</v>
      </c>
    </row>
    <row r="889" spans="1:62" x14ac:dyDescent="0.3">
      <c r="A889" s="2" t="s">
        <v>62</v>
      </c>
      <c r="B889" s="2">
        <v>4</v>
      </c>
      <c r="C889" s="2">
        <v>4</v>
      </c>
      <c r="D889" s="2">
        <v>-262.87</v>
      </c>
      <c r="E889" s="2">
        <v>183.44</v>
      </c>
      <c r="F889" s="2" t="s">
        <v>100</v>
      </c>
      <c r="G889" s="2" t="s">
        <v>64</v>
      </c>
      <c r="H889" s="2">
        <v>70</v>
      </c>
      <c r="I889" s="2" t="s">
        <v>1560</v>
      </c>
      <c r="J889" s="2" t="s">
        <v>1576</v>
      </c>
      <c r="K889" s="2" t="s">
        <v>102</v>
      </c>
      <c r="L889" s="2" t="s">
        <v>3619</v>
      </c>
      <c r="M889" s="2">
        <v>16011</v>
      </c>
      <c r="N889" s="2" t="s">
        <v>3620</v>
      </c>
      <c r="O889" s="2" t="s">
        <v>124</v>
      </c>
      <c r="P889" s="2" t="s">
        <v>152</v>
      </c>
      <c r="Q889" s="2" t="s">
        <v>3621</v>
      </c>
      <c r="R889" s="2">
        <v>33312</v>
      </c>
      <c r="S889" s="2">
        <v>4</v>
      </c>
      <c r="T889" s="2" t="s">
        <v>417</v>
      </c>
      <c r="U889" s="2">
        <v>26.119272200000001</v>
      </c>
      <c r="V889" s="2">
        <v>-80.188186700000003</v>
      </c>
      <c r="W889" s="2" t="s">
        <v>74</v>
      </c>
      <c r="X889" s="2" t="s">
        <v>3622</v>
      </c>
      <c r="Y889" s="2" t="s">
        <v>3623</v>
      </c>
      <c r="Z889" s="2">
        <v>16011</v>
      </c>
      <c r="AA889" s="2" t="s">
        <v>3624</v>
      </c>
      <c r="AB889" s="2">
        <v>72458</v>
      </c>
      <c r="AC889" s="2">
        <v>1357</v>
      </c>
      <c r="AD889" s="2">
        <v>27.41</v>
      </c>
      <c r="AE889" s="2">
        <v>0.13</v>
      </c>
      <c r="AF889" s="2" t="str" cm="1">
        <f t="array" ref="AF889">_xlfn.IFS(AE889=0, "No Discount ", AE889&lt;=0.08,"Low Discount", AE889&lt;=0.16,"Medium Discount", AE889&gt;0.16, "High Discount")</f>
        <v>Medium Discount</v>
      </c>
      <c r="AG889" s="2">
        <v>175773</v>
      </c>
      <c r="AH889" s="2">
        <v>210.85</v>
      </c>
      <c r="AI889" s="2">
        <v>-1.43</v>
      </c>
      <c r="AJ889" s="2" t="str" cm="1">
        <f t="array" ref="AJ889">_xlfn.IFS(AI889&lt;=0, "No Profit", AI889&lt;=0.16,"Low Profit",AI889&lt;=0.32,"Medium Profit",AI889&gt;0.32,"High Profit")</f>
        <v>No Profit</v>
      </c>
      <c r="AK889" s="2">
        <v>1</v>
      </c>
      <c r="AL889" s="2">
        <v>210.85</v>
      </c>
      <c r="AM889" s="2">
        <v>183.44</v>
      </c>
      <c r="AN889" s="2">
        <v>-262.87</v>
      </c>
      <c r="AO889" s="2" t="s">
        <v>95</v>
      </c>
      <c r="AP889" s="2" t="s">
        <v>3127</v>
      </c>
      <c r="AQ889" s="2" t="s">
        <v>80</v>
      </c>
      <c r="AR889" s="2" t="s">
        <v>81</v>
      </c>
      <c r="AS889" s="2">
        <v>1357</v>
      </c>
      <c r="AT889" s="2">
        <v>70</v>
      </c>
      <c r="AU889" s="2" t="s">
        <v>1567</v>
      </c>
      <c r="AV889" s="2">
        <v>210.85</v>
      </c>
      <c r="AW889" s="2">
        <v>0</v>
      </c>
      <c r="AX889" s="2" t="s">
        <v>3625</v>
      </c>
      <c r="AY889" s="2" t="s">
        <v>83</v>
      </c>
      <c r="AZ889" s="4">
        <v>43062</v>
      </c>
      <c r="BA889" s="5">
        <v>0.70416666666666672</v>
      </c>
      <c r="BB889" s="2">
        <v>2017</v>
      </c>
      <c r="BC889" s="2" t="s">
        <v>455</v>
      </c>
      <c r="BD889" s="2">
        <v>23</v>
      </c>
      <c r="BE889" s="4">
        <v>43066</v>
      </c>
      <c r="BF889" s="5">
        <v>0.70416666666666672</v>
      </c>
      <c r="BG889" s="2" t="str" cm="1">
        <f t="array" ref="BG889">_xlfn.IFS(BF889&lt;TIMEVALUE("06:00"),"Night", BF889&gt;=TIMEVALUE("21:00"),"Night",BF889&gt;=TIMEVALUE("17:00"),"Evening",BF889&gt;=TIMEVALUE("12:00"),"Afternoon", BF889&gt;=TIMEVALUE("06:00"),"Morning")</f>
        <v>Afternoon</v>
      </c>
      <c r="BH889" s="2">
        <v>2017</v>
      </c>
      <c r="BI889" s="2" t="s">
        <v>455</v>
      </c>
      <c r="BJ889" s="2">
        <v>27</v>
      </c>
    </row>
    <row r="890" spans="1:62" x14ac:dyDescent="0.3">
      <c r="A890" s="2" t="s">
        <v>62</v>
      </c>
      <c r="B890" s="2">
        <v>6</v>
      </c>
      <c r="C890" s="2">
        <v>4</v>
      </c>
      <c r="D890" s="2">
        <v>53.15</v>
      </c>
      <c r="E890" s="2">
        <v>113.09</v>
      </c>
      <c r="F890" s="2" t="s">
        <v>87</v>
      </c>
      <c r="G890" s="2" t="s">
        <v>88</v>
      </c>
      <c r="H890" s="2">
        <v>18</v>
      </c>
      <c r="I890" s="2" t="s">
        <v>863</v>
      </c>
      <c r="J890" s="2" t="s">
        <v>3537</v>
      </c>
      <c r="K890" s="2" t="s">
        <v>102</v>
      </c>
      <c r="L890" s="2" t="s">
        <v>3283</v>
      </c>
      <c r="M890" s="2">
        <v>10082</v>
      </c>
      <c r="N890" s="2" t="s">
        <v>425</v>
      </c>
      <c r="O890" s="2" t="s">
        <v>124</v>
      </c>
      <c r="P890" s="2" t="s">
        <v>333</v>
      </c>
      <c r="Q890" s="2" t="s">
        <v>3538</v>
      </c>
      <c r="R890" s="2">
        <v>78520</v>
      </c>
      <c r="S890" s="2">
        <v>4</v>
      </c>
      <c r="T890" s="2" t="s">
        <v>417</v>
      </c>
      <c r="U890" s="2">
        <v>25.9068775</v>
      </c>
      <c r="V890" s="2">
        <v>-97.499137899999994</v>
      </c>
      <c r="W890" s="2" t="s">
        <v>74</v>
      </c>
      <c r="X890" s="2" t="s">
        <v>3486</v>
      </c>
      <c r="Y890" s="2" t="s">
        <v>93</v>
      </c>
      <c r="Z890" s="2">
        <v>10082</v>
      </c>
      <c r="AA890" s="3">
        <v>42370.656944444447</v>
      </c>
      <c r="AB890" s="2">
        <v>25050</v>
      </c>
      <c r="AC890" s="2">
        <v>403</v>
      </c>
      <c r="AD890" s="2">
        <v>16.899999999999999</v>
      </c>
      <c r="AE890" s="2">
        <v>0.13</v>
      </c>
      <c r="AF890" s="2" t="str" cm="1">
        <f t="array" ref="AF890">_xlfn.IFS(AE890=0, "No Discount ", AE890&lt;=0.08,"Low Discount", AE890&lt;=0.16,"Medium Discount", AE890&gt;0.16, "High Discount")</f>
        <v>Medium Discount</v>
      </c>
      <c r="AG890" s="2">
        <v>62766</v>
      </c>
      <c r="AH890" s="2">
        <v>129.99</v>
      </c>
      <c r="AI890" s="2">
        <v>0.47</v>
      </c>
      <c r="AJ890" s="2" t="str" cm="1">
        <f t="array" ref="AJ890">_xlfn.IFS(AI890&lt;=0, "No Profit", AI890&lt;=0.16,"Low Profit",AI890&lt;=0.32,"Medium Profit",AI890&gt;0.32,"High Profit")</f>
        <v>High Profit</v>
      </c>
      <c r="AK890" s="2">
        <v>1</v>
      </c>
      <c r="AL890" s="2">
        <v>129.99</v>
      </c>
      <c r="AM890" s="2">
        <v>113.09</v>
      </c>
      <c r="AN890" s="2">
        <v>53.15</v>
      </c>
      <c r="AO890" s="2" t="s">
        <v>95</v>
      </c>
      <c r="AP890" s="2" t="s">
        <v>196</v>
      </c>
      <c r="AQ890" s="2" t="s">
        <v>80</v>
      </c>
      <c r="AR890" s="2" t="s">
        <v>81</v>
      </c>
      <c r="AS890" s="2">
        <v>403</v>
      </c>
      <c r="AT890" s="2">
        <v>18</v>
      </c>
      <c r="AU890" s="2" t="s">
        <v>869</v>
      </c>
      <c r="AV890" s="2">
        <v>129.99</v>
      </c>
      <c r="AW890" s="2">
        <v>0</v>
      </c>
      <c r="AX890" s="3">
        <v>42552.656944444447</v>
      </c>
      <c r="AY890" s="2" t="s">
        <v>83</v>
      </c>
      <c r="AZ890" s="4">
        <v>42370</v>
      </c>
      <c r="BA890" s="5">
        <v>0.65694444444444444</v>
      </c>
      <c r="BB890" s="2">
        <v>2016</v>
      </c>
      <c r="BC890" s="2" t="s">
        <v>84</v>
      </c>
      <c r="BD890" s="2">
        <v>1</v>
      </c>
      <c r="BE890" s="4">
        <v>42552</v>
      </c>
      <c r="BF890" s="5">
        <v>0.65694444444444444</v>
      </c>
      <c r="BG890" s="2" t="str" cm="1">
        <f t="array" ref="BG890">_xlfn.IFS(BF890&lt;TIMEVALUE("06:00"),"Night", BF890&gt;=TIMEVALUE("21:00"),"Night",BF890&gt;=TIMEVALUE("17:00"),"Evening",BF890&gt;=TIMEVALUE("12:00"),"Afternoon", BF890&gt;=TIMEVALUE("06:00"),"Morning")</f>
        <v>Afternoon</v>
      </c>
      <c r="BH890" s="2">
        <v>2016</v>
      </c>
      <c r="BI890" s="2" t="s">
        <v>533</v>
      </c>
      <c r="BJ890" s="2">
        <v>1</v>
      </c>
    </row>
    <row r="891" spans="1:62" x14ac:dyDescent="0.3">
      <c r="A891" s="2" t="s">
        <v>62</v>
      </c>
      <c r="B891" s="2">
        <v>2</v>
      </c>
      <c r="C891" s="2">
        <v>4</v>
      </c>
      <c r="D891" s="2">
        <v>-201.94</v>
      </c>
      <c r="E891" s="2">
        <v>310.68</v>
      </c>
      <c r="F891" s="2" t="s">
        <v>63</v>
      </c>
      <c r="G891" s="2" t="s">
        <v>64</v>
      </c>
      <c r="H891" s="2">
        <v>63</v>
      </c>
      <c r="I891" s="2" t="s">
        <v>2799</v>
      </c>
      <c r="J891" s="2" t="s">
        <v>1460</v>
      </c>
      <c r="K891" s="2" t="s">
        <v>102</v>
      </c>
      <c r="L891" s="2" t="s">
        <v>3626</v>
      </c>
      <c r="M891" s="2">
        <v>18004</v>
      </c>
      <c r="N891" s="2" t="s">
        <v>3627</v>
      </c>
      <c r="O891" s="2" t="s">
        <v>124</v>
      </c>
      <c r="P891" s="2" t="s">
        <v>234</v>
      </c>
      <c r="Q891" s="2" t="s">
        <v>3628</v>
      </c>
      <c r="R891" s="2">
        <v>60643</v>
      </c>
      <c r="S891" s="2">
        <v>4</v>
      </c>
      <c r="T891" s="2" t="s">
        <v>417</v>
      </c>
      <c r="U891" s="2">
        <v>41.525615700000003</v>
      </c>
      <c r="V891" s="2">
        <v>-88.401199300000002</v>
      </c>
      <c r="W891" s="2" t="s">
        <v>74</v>
      </c>
      <c r="X891" s="2" t="s">
        <v>3629</v>
      </c>
      <c r="Y891" s="2" t="s">
        <v>76</v>
      </c>
      <c r="Z891" s="2">
        <v>18004</v>
      </c>
      <c r="AA891" s="2" t="s">
        <v>3630</v>
      </c>
      <c r="AB891" s="2">
        <v>74451</v>
      </c>
      <c r="AC891" s="2">
        <v>1350</v>
      </c>
      <c r="AD891" s="2">
        <v>46.42</v>
      </c>
      <c r="AE891" s="2">
        <v>0.13</v>
      </c>
      <c r="AF891" s="2" t="str" cm="1">
        <f t="array" ref="AF891">_xlfn.IFS(AE891=0, "No Discount ", AE891&lt;=0.08,"Low Discount", AE891&lt;=0.16,"Medium Discount", AE891&gt;0.16, "High Discount")</f>
        <v>Medium Discount</v>
      </c>
      <c r="AG891" s="2">
        <v>177766</v>
      </c>
      <c r="AH891" s="2">
        <v>357.1</v>
      </c>
      <c r="AI891" s="2">
        <v>-0.65</v>
      </c>
      <c r="AJ891" s="2" t="str" cm="1">
        <f t="array" ref="AJ891">_xlfn.IFS(AI891&lt;=0, "No Profit", AI891&lt;=0.16,"Low Profit",AI891&lt;=0.32,"Medium Profit",AI891&gt;0.32,"High Profit")</f>
        <v>No Profit</v>
      </c>
      <c r="AK891" s="2">
        <v>1</v>
      </c>
      <c r="AL891" s="2">
        <v>357.1</v>
      </c>
      <c r="AM891" s="2">
        <v>310.68</v>
      </c>
      <c r="AN891" s="2">
        <v>-201.94</v>
      </c>
      <c r="AO891" s="2" t="s">
        <v>78</v>
      </c>
      <c r="AP891" s="2" t="s">
        <v>3631</v>
      </c>
      <c r="AQ891" s="2" t="s">
        <v>80</v>
      </c>
      <c r="AR891" s="2" t="s">
        <v>81</v>
      </c>
      <c r="AS891" s="2">
        <v>1350</v>
      </c>
      <c r="AT891" s="2">
        <v>63</v>
      </c>
      <c r="AU891" s="2" t="s">
        <v>2806</v>
      </c>
      <c r="AV891" s="2">
        <v>357.1</v>
      </c>
      <c r="AW891" s="2">
        <v>0</v>
      </c>
      <c r="AX891" s="2" t="s">
        <v>3632</v>
      </c>
      <c r="AY891" s="2" t="s">
        <v>83</v>
      </c>
      <c r="AZ891" s="4">
        <v>43091</v>
      </c>
      <c r="BA891" s="5">
        <v>0.79791666666666672</v>
      </c>
      <c r="BB891" s="2">
        <v>2017</v>
      </c>
      <c r="BC891" s="2" t="s">
        <v>357</v>
      </c>
      <c r="BD891" s="2">
        <v>22</v>
      </c>
      <c r="BE891" s="4">
        <v>43093</v>
      </c>
      <c r="BF891" s="5">
        <v>0.79791666666666672</v>
      </c>
      <c r="BG891" s="2" t="str" cm="1">
        <f t="array" ref="BG891">_xlfn.IFS(BF891&lt;TIMEVALUE("06:00"),"Night", BF891&gt;=TIMEVALUE("21:00"),"Night",BF891&gt;=TIMEVALUE("17:00"),"Evening",BF891&gt;=TIMEVALUE("12:00"),"Afternoon", BF891&gt;=TIMEVALUE("06:00"),"Morning")</f>
        <v>Evening</v>
      </c>
      <c r="BH891" s="2">
        <v>2017</v>
      </c>
      <c r="BI891" s="2" t="s">
        <v>357</v>
      </c>
      <c r="BJ891" s="2">
        <v>24</v>
      </c>
    </row>
    <row r="892" spans="1:62" x14ac:dyDescent="0.3">
      <c r="A892" s="2" t="s">
        <v>62</v>
      </c>
      <c r="B892" s="2">
        <v>3</v>
      </c>
      <c r="C892" s="2">
        <v>4</v>
      </c>
      <c r="D892" s="2">
        <v>24.53</v>
      </c>
      <c r="E892" s="2">
        <v>52.19</v>
      </c>
      <c r="F892" s="2" t="s">
        <v>63</v>
      </c>
      <c r="G892" s="2" t="s">
        <v>64</v>
      </c>
      <c r="H892" s="2">
        <v>17</v>
      </c>
      <c r="I892" s="2" t="s">
        <v>412</v>
      </c>
      <c r="J892" s="2" t="s">
        <v>1486</v>
      </c>
      <c r="K892" s="2" t="s">
        <v>102</v>
      </c>
      <c r="L892" s="2" t="s">
        <v>587</v>
      </c>
      <c r="M892" s="2">
        <v>8</v>
      </c>
      <c r="N892" s="2" t="s">
        <v>425</v>
      </c>
      <c r="O892" s="2" t="s">
        <v>124</v>
      </c>
      <c r="P892" s="2" t="s">
        <v>201</v>
      </c>
      <c r="Q892" s="2" t="s">
        <v>3633</v>
      </c>
      <c r="R892" s="2">
        <v>1841</v>
      </c>
      <c r="S892" s="2">
        <v>4</v>
      </c>
      <c r="T892" s="2" t="s">
        <v>417</v>
      </c>
      <c r="U892" s="2">
        <v>34.028274500000002</v>
      </c>
      <c r="V892" s="2">
        <v>-118.23913570000001</v>
      </c>
      <c r="W892" s="2" t="s">
        <v>74</v>
      </c>
      <c r="X892" s="2" t="s">
        <v>3634</v>
      </c>
      <c r="Y892" s="2" t="s">
        <v>76</v>
      </c>
      <c r="Z892" s="2">
        <v>8</v>
      </c>
      <c r="AA892" s="2" t="s">
        <v>3635</v>
      </c>
      <c r="AB892" s="2">
        <v>22297</v>
      </c>
      <c r="AC892" s="2">
        <v>365</v>
      </c>
      <c r="AD892" s="2">
        <v>7.8</v>
      </c>
      <c r="AE892" s="2">
        <v>0.13</v>
      </c>
      <c r="AF892" s="2" t="str" cm="1">
        <f t="array" ref="AF892">_xlfn.IFS(AE892=0, "No Discount ", AE892&lt;=0.08,"Low Discount", AE892&lt;=0.16,"Medium Discount", AE892&gt;0.16, "High Discount")</f>
        <v>Medium Discount</v>
      </c>
      <c r="AG892" s="2">
        <v>55831</v>
      </c>
      <c r="AH892" s="2">
        <v>59.99</v>
      </c>
      <c r="AI892" s="2">
        <v>0.47</v>
      </c>
      <c r="AJ892" s="2" t="str" cm="1">
        <f t="array" ref="AJ892">_xlfn.IFS(AI892&lt;=0, "No Profit", AI892&lt;=0.16,"Low Profit",AI892&lt;=0.32,"Medium Profit",AI892&gt;0.32,"High Profit")</f>
        <v>High Profit</v>
      </c>
      <c r="AK892" s="2">
        <v>1</v>
      </c>
      <c r="AL892" s="2">
        <v>59.99</v>
      </c>
      <c r="AM892" s="2">
        <v>52.19</v>
      </c>
      <c r="AN892" s="2">
        <v>24.53</v>
      </c>
      <c r="AO892" s="2" t="s">
        <v>78</v>
      </c>
      <c r="AP892" s="2" t="s">
        <v>2174</v>
      </c>
      <c r="AQ892" s="2" t="s">
        <v>80</v>
      </c>
      <c r="AR892" s="2" t="s">
        <v>81</v>
      </c>
      <c r="AS892" s="2">
        <v>365</v>
      </c>
      <c r="AT892" s="2">
        <v>17</v>
      </c>
      <c r="AU892" s="2" t="s">
        <v>421</v>
      </c>
      <c r="AV892" s="2">
        <v>59.99</v>
      </c>
      <c r="AW892" s="2">
        <v>0</v>
      </c>
      <c r="AX892" s="2" t="s">
        <v>3636</v>
      </c>
      <c r="AY892" s="2" t="s">
        <v>83</v>
      </c>
      <c r="AZ892" s="4">
        <v>42330</v>
      </c>
      <c r="BA892" s="5">
        <v>0.46944444444444444</v>
      </c>
      <c r="BB892" s="2">
        <v>2015</v>
      </c>
      <c r="BC892" s="2" t="s">
        <v>455</v>
      </c>
      <c r="BD892" s="2">
        <v>22</v>
      </c>
      <c r="BE892" s="4">
        <v>42333</v>
      </c>
      <c r="BF892" s="5">
        <v>0.46944444444444444</v>
      </c>
      <c r="BG892" s="2" t="str" cm="1">
        <f t="array" ref="BG892">_xlfn.IFS(BF892&lt;TIMEVALUE("06:00"),"Night", BF892&gt;=TIMEVALUE("21:00"),"Night",BF892&gt;=TIMEVALUE("17:00"),"Evening",BF892&gt;=TIMEVALUE("12:00"),"Afternoon", BF892&gt;=TIMEVALUE("06:00"),"Morning")</f>
        <v>Morning</v>
      </c>
      <c r="BH892" s="2">
        <v>2015</v>
      </c>
      <c r="BI892" s="2" t="s">
        <v>455</v>
      </c>
      <c r="BJ892" s="2">
        <v>25</v>
      </c>
    </row>
    <row r="893" spans="1:62" x14ac:dyDescent="0.3">
      <c r="A893" s="2" t="s">
        <v>62</v>
      </c>
      <c r="B893" s="2">
        <v>3</v>
      </c>
      <c r="C893" s="2">
        <v>4</v>
      </c>
      <c r="D893" s="2">
        <v>55.41</v>
      </c>
      <c r="E893" s="2">
        <v>113.09</v>
      </c>
      <c r="F893" s="2" t="s">
        <v>63</v>
      </c>
      <c r="G893" s="2" t="s">
        <v>64</v>
      </c>
      <c r="H893" s="2">
        <v>18</v>
      </c>
      <c r="I893" s="2" t="s">
        <v>863</v>
      </c>
      <c r="J893" s="2" t="s">
        <v>389</v>
      </c>
      <c r="K893" s="2" t="s">
        <v>102</v>
      </c>
      <c r="L893" s="2" t="s">
        <v>2774</v>
      </c>
      <c r="M893" s="2">
        <v>3275</v>
      </c>
      <c r="N893" s="2" t="s">
        <v>1162</v>
      </c>
      <c r="O893" s="2" t="s">
        <v>124</v>
      </c>
      <c r="P893" s="2" t="s">
        <v>105</v>
      </c>
      <c r="Q893" s="2" t="s">
        <v>3637</v>
      </c>
      <c r="R893" s="2">
        <v>94539</v>
      </c>
      <c r="S893" s="2">
        <v>4</v>
      </c>
      <c r="T893" s="2" t="s">
        <v>417</v>
      </c>
      <c r="U893" s="2">
        <v>37.490276299999998</v>
      </c>
      <c r="V893" s="2">
        <v>-121.9271088</v>
      </c>
      <c r="W893" s="2" t="s">
        <v>74</v>
      </c>
      <c r="X893" s="2" t="s">
        <v>2179</v>
      </c>
      <c r="Y893" s="2" t="s">
        <v>2180</v>
      </c>
      <c r="Z893" s="2">
        <v>3275</v>
      </c>
      <c r="AA893" s="2" t="s">
        <v>3638</v>
      </c>
      <c r="AB893" s="2">
        <v>24552</v>
      </c>
      <c r="AC893" s="2">
        <v>403</v>
      </c>
      <c r="AD893" s="2">
        <v>16.899999999999999</v>
      </c>
      <c r="AE893" s="2">
        <v>0.13</v>
      </c>
      <c r="AF893" s="2" t="str" cm="1">
        <f t="array" ref="AF893">_xlfn.IFS(AE893=0, "No Discount ", AE893&lt;=0.08,"Low Discount", AE893&lt;=0.16,"Medium Discount", AE893&gt;0.16, "High Discount")</f>
        <v>Medium Discount</v>
      </c>
      <c r="AG893" s="2">
        <v>61470</v>
      </c>
      <c r="AH893" s="2">
        <v>129.99</v>
      </c>
      <c r="AI893" s="2">
        <v>0.49</v>
      </c>
      <c r="AJ893" s="2" t="str" cm="1">
        <f t="array" ref="AJ893">_xlfn.IFS(AI893&lt;=0, "No Profit", AI893&lt;=0.16,"Low Profit",AI893&lt;=0.32,"Medium Profit",AI893&gt;0.32,"High Profit")</f>
        <v>High Profit</v>
      </c>
      <c r="AK893" s="2">
        <v>1</v>
      </c>
      <c r="AL893" s="2">
        <v>129.99</v>
      </c>
      <c r="AM893" s="2">
        <v>113.09</v>
      </c>
      <c r="AN893" s="2">
        <v>55.41</v>
      </c>
      <c r="AO893" s="2" t="s">
        <v>78</v>
      </c>
      <c r="AP893" s="2" t="s">
        <v>2181</v>
      </c>
      <c r="AQ893" s="2" t="s">
        <v>80</v>
      </c>
      <c r="AR893" s="2" t="s">
        <v>81</v>
      </c>
      <c r="AS893" s="2">
        <v>403</v>
      </c>
      <c r="AT893" s="2">
        <v>18</v>
      </c>
      <c r="AU893" s="2" t="s">
        <v>869</v>
      </c>
      <c r="AV893" s="2">
        <v>129.99</v>
      </c>
      <c r="AW893" s="2">
        <v>0</v>
      </c>
      <c r="AX893" s="2" t="s">
        <v>3639</v>
      </c>
      <c r="AY893" s="2" t="s">
        <v>83</v>
      </c>
      <c r="AZ893" s="4">
        <v>42363</v>
      </c>
      <c r="BA893" s="5">
        <v>0.38750000000000001</v>
      </c>
      <c r="BB893" s="2">
        <v>2015</v>
      </c>
      <c r="BC893" s="2" t="s">
        <v>357</v>
      </c>
      <c r="BD893" s="2">
        <v>25</v>
      </c>
      <c r="BE893" s="4">
        <v>42366</v>
      </c>
      <c r="BF893" s="5">
        <v>0.38750000000000001</v>
      </c>
      <c r="BG893" s="2" t="str" cm="1">
        <f t="array" ref="BG893">_xlfn.IFS(BF893&lt;TIMEVALUE("06:00"),"Night", BF893&gt;=TIMEVALUE("21:00"),"Night",BF893&gt;=TIMEVALUE("17:00"),"Evening",BF893&gt;=TIMEVALUE("12:00"),"Afternoon", BF893&gt;=TIMEVALUE("06:00"),"Morning")</f>
        <v>Morning</v>
      </c>
      <c r="BH893" s="2">
        <v>2015</v>
      </c>
      <c r="BI893" s="2" t="s">
        <v>357</v>
      </c>
      <c r="BJ893" s="2">
        <v>28</v>
      </c>
    </row>
    <row r="894" spans="1:62" x14ac:dyDescent="0.3">
      <c r="A894" s="2" t="s">
        <v>62</v>
      </c>
      <c r="B894" s="2">
        <v>2</v>
      </c>
      <c r="C894" s="2">
        <v>4</v>
      </c>
      <c r="D894" s="2">
        <v>1.04</v>
      </c>
      <c r="E894" s="2">
        <v>52.19</v>
      </c>
      <c r="F894" s="2" t="s">
        <v>63</v>
      </c>
      <c r="G894" s="2" t="s">
        <v>64</v>
      </c>
      <c r="H894" s="2">
        <v>17</v>
      </c>
      <c r="I894" s="2" t="s">
        <v>412</v>
      </c>
      <c r="J894" s="2" t="s">
        <v>1646</v>
      </c>
      <c r="K894" s="2" t="s">
        <v>102</v>
      </c>
      <c r="L894" s="2" t="s">
        <v>1380</v>
      </c>
      <c r="M894" s="2">
        <v>9023</v>
      </c>
      <c r="N894" s="2" t="s">
        <v>3640</v>
      </c>
      <c r="O894" s="2" t="s">
        <v>124</v>
      </c>
      <c r="P894" s="2" t="s">
        <v>1117</v>
      </c>
      <c r="Q894" s="2" t="s">
        <v>3641</v>
      </c>
      <c r="R894" s="2">
        <v>44130</v>
      </c>
      <c r="S894" s="2">
        <v>4</v>
      </c>
      <c r="T894" s="2" t="s">
        <v>417</v>
      </c>
      <c r="U894" s="2">
        <v>41.231693300000003</v>
      </c>
      <c r="V894" s="2">
        <v>-81.848014800000001</v>
      </c>
      <c r="W894" s="2" t="s">
        <v>74</v>
      </c>
      <c r="X894" s="2" t="s">
        <v>1396</v>
      </c>
      <c r="Y894" s="2" t="s">
        <v>1397</v>
      </c>
      <c r="Z894" s="2">
        <v>9023</v>
      </c>
      <c r="AA894" s="2" t="s">
        <v>3642</v>
      </c>
      <c r="AB894" s="2">
        <v>44706</v>
      </c>
      <c r="AC894" s="2">
        <v>365</v>
      </c>
      <c r="AD894" s="2">
        <v>7.8</v>
      </c>
      <c r="AE894" s="2">
        <v>0.13</v>
      </c>
      <c r="AF894" s="2" t="str" cm="1">
        <f t="array" ref="AF894">_xlfn.IFS(AE894=0, "No Discount ", AE894&lt;=0.08,"Low Discount", AE894&lt;=0.16,"Medium Discount", AE894&gt;0.16, "High Discount")</f>
        <v>Medium Discount</v>
      </c>
      <c r="AG894" s="2">
        <v>111642</v>
      </c>
      <c r="AH894" s="2">
        <v>59.99</v>
      </c>
      <c r="AI894" s="2">
        <v>0.02</v>
      </c>
      <c r="AJ894" s="2" t="str" cm="1">
        <f t="array" ref="AJ894">_xlfn.IFS(AI894&lt;=0, "No Profit", AI894&lt;=0.16,"Low Profit",AI894&lt;=0.32,"Medium Profit",AI894&gt;0.32,"High Profit")</f>
        <v>Low Profit</v>
      </c>
      <c r="AK894" s="2">
        <v>1</v>
      </c>
      <c r="AL894" s="2">
        <v>59.99</v>
      </c>
      <c r="AM894" s="2">
        <v>52.19</v>
      </c>
      <c r="AN894" s="2">
        <v>1.04</v>
      </c>
      <c r="AO894" s="2" t="s">
        <v>431</v>
      </c>
      <c r="AP894" s="2" t="s">
        <v>1399</v>
      </c>
      <c r="AQ894" s="2" t="s">
        <v>80</v>
      </c>
      <c r="AR894" s="2" t="s">
        <v>81</v>
      </c>
      <c r="AS894" s="2">
        <v>365</v>
      </c>
      <c r="AT894" s="2">
        <v>17</v>
      </c>
      <c r="AU894" s="2" t="s">
        <v>421</v>
      </c>
      <c r="AV894" s="2">
        <v>59.99</v>
      </c>
      <c r="AW894" s="2">
        <v>0</v>
      </c>
      <c r="AX894" s="2" t="s">
        <v>3643</v>
      </c>
      <c r="AY894" s="2" t="s">
        <v>83</v>
      </c>
      <c r="AZ894" s="4">
        <v>42657</v>
      </c>
      <c r="BA894" s="5">
        <v>0.58958333333333335</v>
      </c>
      <c r="BB894" s="2">
        <v>2016</v>
      </c>
      <c r="BC894" s="2" t="s">
        <v>434</v>
      </c>
      <c r="BD894" s="2">
        <v>14</v>
      </c>
      <c r="BE894" s="4">
        <v>42659</v>
      </c>
      <c r="BF894" s="5">
        <v>0.58958333333333335</v>
      </c>
      <c r="BG894" s="2" t="str" cm="1">
        <f t="array" ref="BG894">_xlfn.IFS(BF894&lt;TIMEVALUE("06:00"),"Night", BF894&gt;=TIMEVALUE("21:00"),"Night",BF894&gt;=TIMEVALUE("17:00"),"Evening",BF894&gt;=TIMEVALUE("12:00"),"Afternoon", BF894&gt;=TIMEVALUE("06:00"),"Morning")</f>
        <v>Afternoon</v>
      </c>
      <c r="BH894" s="2">
        <v>2016</v>
      </c>
      <c r="BI894" s="2" t="s">
        <v>434</v>
      </c>
      <c r="BJ894" s="2">
        <v>16</v>
      </c>
    </row>
    <row r="895" spans="1:62" x14ac:dyDescent="0.3">
      <c r="A895" s="2" t="s">
        <v>62</v>
      </c>
      <c r="B895" s="2">
        <v>6</v>
      </c>
      <c r="C895" s="2">
        <v>4</v>
      </c>
      <c r="D895" s="2">
        <v>21.49</v>
      </c>
      <c r="E895" s="2">
        <v>113.09</v>
      </c>
      <c r="F895" s="2" t="s">
        <v>87</v>
      </c>
      <c r="G895" s="2" t="s">
        <v>88</v>
      </c>
      <c r="H895" s="2">
        <v>18</v>
      </c>
      <c r="I895" s="2" t="s">
        <v>863</v>
      </c>
      <c r="J895" s="2" t="s">
        <v>1139</v>
      </c>
      <c r="K895" s="2" t="s">
        <v>102</v>
      </c>
      <c r="L895" s="2" t="s">
        <v>414</v>
      </c>
      <c r="M895" s="2">
        <v>8643</v>
      </c>
      <c r="N895" s="2" t="s">
        <v>3038</v>
      </c>
      <c r="O895" s="2" t="s">
        <v>124</v>
      </c>
      <c r="P895" s="2" t="s">
        <v>105</v>
      </c>
      <c r="Q895" s="2" t="s">
        <v>3644</v>
      </c>
      <c r="R895" s="2">
        <v>91761</v>
      </c>
      <c r="S895" s="2">
        <v>4</v>
      </c>
      <c r="T895" s="2" t="s">
        <v>417</v>
      </c>
      <c r="U895" s="2">
        <v>34.0330315</v>
      </c>
      <c r="V895" s="2">
        <v>-117.6386414</v>
      </c>
      <c r="W895" s="2" t="s">
        <v>74</v>
      </c>
      <c r="X895" s="2" t="s">
        <v>449</v>
      </c>
      <c r="Y895" s="2" t="s">
        <v>429</v>
      </c>
      <c r="Z895" s="2">
        <v>8643</v>
      </c>
      <c r="AA895" s="2" t="s">
        <v>3645</v>
      </c>
      <c r="AB895" s="2">
        <v>48950</v>
      </c>
      <c r="AC895" s="2">
        <v>403</v>
      </c>
      <c r="AD895" s="2">
        <v>16.899999999999999</v>
      </c>
      <c r="AE895" s="2">
        <v>0.13</v>
      </c>
      <c r="AF895" s="2" t="str" cm="1">
        <f t="array" ref="AF895">_xlfn.IFS(AE895=0, "No Discount ", AE895&lt;=0.08,"Low Discount", AE895&lt;=0.16,"Medium Discount", AE895&gt;0.16, "High Discount")</f>
        <v>Medium Discount</v>
      </c>
      <c r="AG895" s="2">
        <v>122400</v>
      </c>
      <c r="AH895" s="2">
        <v>129.99</v>
      </c>
      <c r="AI895" s="2">
        <v>0.19</v>
      </c>
      <c r="AJ895" s="2" t="str" cm="1">
        <f t="array" ref="AJ895">_xlfn.IFS(AI895&lt;=0, "No Profit", AI895&lt;=0.16,"Low Profit",AI895&lt;=0.32,"Medium Profit",AI895&gt;0.32,"High Profit")</f>
        <v>Medium Profit</v>
      </c>
      <c r="AK895" s="2">
        <v>1</v>
      </c>
      <c r="AL895" s="2">
        <v>129.99</v>
      </c>
      <c r="AM895" s="2">
        <v>113.09</v>
      </c>
      <c r="AN895" s="2">
        <v>21.49</v>
      </c>
      <c r="AO895" s="2" t="s">
        <v>431</v>
      </c>
      <c r="AP895" s="2" t="s">
        <v>449</v>
      </c>
      <c r="AQ895" s="2" t="s">
        <v>80</v>
      </c>
      <c r="AR895" s="2" t="s">
        <v>81</v>
      </c>
      <c r="AS895" s="2">
        <v>403</v>
      </c>
      <c r="AT895" s="2">
        <v>18</v>
      </c>
      <c r="AU895" s="2" t="s">
        <v>869</v>
      </c>
      <c r="AV895" s="2">
        <v>129.99</v>
      </c>
      <c r="AW895" s="2">
        <v>0</v>
      </c>
      <c r="AX895" s="2" t="s">
        <v>3646</v>
      </c>
      <c r="AY895" s="2" t="s">
        <v>83</v>
      </c>
      <c r="AZ895" s="4">
        <v>42719</v>
      </c>
      <c r="BA895" s="5">
        <v>0.54166666666666663</v>
      </c>
      <c r="BB895" s="2">
        <v>2016</v>
      </c>
      <c r="BC895" s="2" t="s">
        <v>357</v>
      </c>
      <c r="BD895" s="2">
        <v>15</v>
      </c>
      <c r="BE895" s="4">
        <v>42725</v>
      </c>
      <c r="BF895" s="5">
        <v>0.54166666666666663</v>
      </c>
      <c r="BG895" s="2" t="str" cm="1">
        <f t="array" ref="BG895">_xlfn.IFS(BF895&lt;TIMEVALUE("06:00"),"Night", BF895&gt;=TIMEVALUE("21:00"),"Night",BF895&gt;=TIMEVALUE("17:00"),"Evening",BF895&gt;=TIMEVALUE("12:00"),"Afternoon", BF895&gt;=TIMEVALUE("06:00"),"Morning")</f>
        <v>Afternoon</v>
      </c>
      <c r="BH895" s="2">
        <v>2016</v>
      </c>
      <c r="BI895" s="2" t="s">
        <v>357</v>
      </c>
      <c r="BJ895" s="2">
        <v>21</v>
      </c>
    </row>
    <row r="896" spans="1:62" x14ac:dyDescent="0.3">
      <c r="A896" s="2" t="s">
        <v>62</v>
      </c>
      <c r="B896" s="2">
        <v>6</v>
      </c>
      <c r="C896" s="2">
        <v>4</v>
      </c>
      <c r="D896" s="2">
        <v>-82.9</v>
      </c>
      <c r="E896" s="2">
        <v>113.09</v>
      </c>
      <c r="F896" s="2" t="s">
        <v>87</v>
      </c>
      <c r="G896" s="2" t="s">
        <v>88</v>
      </c>
      <c r="H896" s="2">
        <v>18</v>
      </c>
      <c r="I896" s="2" t="s">
        <v>863</v>
      </c>
      <c r="J896" s="2" t="s">
        <v>1805</v>
      </c>
      <c r="K896" s="2" t="s">
        <v>102</v>
      </c>
      <c r="L896" s="2" t="s">
        <v>131</v>
      </c>
      <c r="M896" s="2">
        <v>11797</v>
      </c>
      <c r="N896" s="2" t="s">
        <v>425</v>
      </c>
      <c r="O896" s="2" t="s">
        <v>124</v>
      </c>
      <c r="P896" s="2" t="s">
        <v>105</v>
      </c>
      <c r="Q896" s="2" t="s">
        <v>2310</v>
      </c>
      <c r="R896" s="2">
        <v>91790</v>
      </c>
      <c r="S896" s="2">
        <v>4</v>
      </c>
      <c r="T896" s="2" t="s">
        <v>417</v>
      </c>
      <c r="U896" s="2">
        <v>34.0678749</v>
      </c>
      <c r="V896" s="2">
        <v>-117.92737579999999</v>
      </c>
      <c r="W896" s="2" t="s">
        <v>74</v>
      </c>
      <c r="X896" s="2" t="s">
        <v>449</v>
      </c>
      <c r="Y896" s="2" t="s">
        <v>429</v>
      </c>
      <c r="Z896" s="2">
        <v>11797</v>
      </c>
      <c r="AA896" s="2" t="s">
        <v>3647</v>
      </c>
      <c r="AB896" s="2">
        <v>47600</v>
      </c>
      <c r="AC896" s="2">
        <v>403</v>
      </c>
      <c r="AD896" s="2">
        <v>16.899999999999999</v>
      </c>
      <c r="AE896" s="2">
        <v>0.13</v>
      </c>
      <c r="AF896" s="2" t="str" cm="1">
        <f t="array" ref="AF896">_xlfn.IFS(AE896=0, "No Discount ", AE896&lt;=0.08,"Low Discount", AE896&lt;=0.16,"Medium Discount", AE896&gt;0.16, "High Discount")</f>
        <v>Medium Discount</v>
      </c>
      <c r="AG896" s="2">
        <v>119010</v>
      </c>
      <c r="AH896" s="2">
        <v>129.99</v>
      </c>
      <c r="AI896" s="2">
        <v>-0.73</v>
      </c>
      <c r="AJ896" s="2" t="str" cm="1">
        <f t="array" ref="AJ896">_xlfn.IFS(AI896&lt;=0, "No Profit", AI896&lt;=0.16,"Low Profit",AI896&lt;=0.32,"Medium Profit",AI896&gt;0.32,"High Profit")</f>
        <v>No Profit</v>
      </c>
      <c r="AK896" s="2">
        <v>1</v>
      </c>
      <c r="AL896" s="2">
        <v>129.99</v>
      </c>
      <c r="AM896" s="2">
        <v>113.09</v>
      </c>
      <c r="AN896" s="2">
        <v>-82.9</v>
      </c>
      <c r="AO896" s="2" t="s">
        <v>431</v>
      </c>
      <c r="AP896" s="2" t="s">
        <v>449</v>
      </c>
      <c r="AQ896" s="2" t="s">
        <v>80</v>
      </c>
      <c r="AR896" s="2" t="s">
        <v>81</v>
      </c>
      <c r="AS896" s="2">
        <v>403</v>
      </c>
      <c r="AT896" s="2">
        <v>18</v>
      </c>
      <c r="AU896" s="2" t="s">
        <v>869</v>
      </c>
      <c r="AV896" s="2">
        <v>129.99</v>
      </c>
      <c r="AW896" s="2">
        <v>0</v>
      </c>
      <c r="AX896" s="3">
        <v>42381.834722222222</v>
      </c>
      <c r="AY896" s="2" t="s">
        <v>83</v>
      </c>
      <c r="AZ896" s="4">
        <v>42699</v>
      </c>
      <c r="BA896" s="5">
        <v>0.83472222222222225</v>
      </c>
      <c r="BB896" s="2">
        <v>2016</v>
      </c>
      <c r="BC896" s="2" t="s">
        <v>455</v>
      </c>
      <c r="BD896" s="2">
        <v>25</v>
      </c>
      <c r="BE896" s="4">
        <v>42381</v>
      </c>
      <c r="BF896" s="5">
        <v>0.83472222222222225</v>
      </c>
      <c r="BG896" s="2" t="str" cm="1">
        <f t="array" ref="BG896">_xlfn.IFS(BF896&lt;TIMEVALUE("06:00"),"Night", BF896&gt;=TIMEVALUE("21:00"),"Night",BF896&gt;=TIMEVALUE("17:00"),"Evening",BF896&gt;=TIMEVALUE("12:00"),"Afternoon", BF896&gt;=TIMEVALUE("06:00"),"Morning")</f>
        <v>Evening</v>
      </c>
      <c r="BH896" s="2">
        <v>2016</v>
      </c>
      <c r="BI896" s="2" t="s">
        <v>84</v>
      </c>
      <c r="BJ896" s="2">
        <v>12</v>
      </c>
    </row>
    <row r="897" spans="1:62" x14ac:dyDescent="0.3">
      <c r="A897" s="2" t="s">
        <v>62</v>
      </c>
      <c r="B897" s="2">
        <v>5</v>
      </c>
      <c r="C897" s="2">
        <v>4</v>
      </c>
      <c r="D897" s="2">
        <v>41.05</v>
      </c>
      <c r="E897" s="2">
        <v>113.09</v>
      </c>
      <c r="F897" s="2" t="s">
        <v>87</v>
      </c>
      <c r="G897" s="2" t="s">
        <v>88</v>
      </c>
      <c r="H897" s="2">
        <v>18</v>
      </c>
      <c r="I897" s="2" t="s">
        <v>863</v>
      </c>
      <c r="J897" s="2" t="s">
        <v>1719</v>
      </c>
      <c r="K897" s="2" t="s">
        <v>102</v>
      </c>
      <c r="L897" s="2" t="s">
        <v>414</v>
      </c>
      <c r="M897" s="2">
        <v>5536</v>
      </c>
      <c r="N897" s="2" t="s">
        <v>425</v>
      </c>
      <c r="O897" s="2" t="s">
        <v>124</v>
      </c>
      <c r="P897" s="2" t="s">
        <v>105</v>
      </c>
      <c r="Q897" s="2" t="s">
        <v>3556</v>
      </c>
      <c r="R897" s="2">
        <v>91801</v>
      </c>
      <c r="S897" s="2">
        <v>4</v>
      </c>
      <c r="T897" s="2" t="s">
        <v>417</v>
      </c>
      <c r="U897" s="2">
        <v>33.723335300000002</v>
      </c>
      <c r="V897" s="2">
        <v>-117.99605560000001</v>
      </c>
      <c r="W897" s="2" t="s">
        <v>74</v>
      </c>
      <c r="X897" s="2" t="s">
        <v>3557</v>
      </c>
      <c r="Y897" s="2" t="s">
        <v>1397</v>
      </c>
      <c r="Z897" s="2">
        <v>5536</v>
      </c>
      <c r="AA897" s="2" t="s">
        <v>3558</v>
      </c>
      <c r="AB897" s="2">
        <v>47044</v>
      </c>
      <c r="AC897" s="2">
        <v>403</v>
      </c>
      <c r="AD897" s="2">
        <v>16.899999999999999</v>
      </c>
      <c r="AE897" s="2">
        <v>0.13</v>
      </c>
      <c r="AF897" s="2" t="str" cm="1">
        <f t="array" ref="AF897">_xlfn.IFS(AE897=0, "No Discount ", AE897&lt;=0.08,"Low Discount", AE897&lt;=0.16,"Medium Discount", AE897&gt;0.16, "High Discount")</f>
        <v>Medium Discount</v>
      </c>
      <c r="AG897" s="2">
        <v>117580</v>
      </c>
      <c r="AH897" s="2">
        <v>129.99</v>
      </c>
      <c r="AI897" s="2">
        <v>0.36</v>
      </c>
      <c r="AJ897" s="2" t="str" cm="1">
        <f t="array" ref="AJ897">_xlfn.IFS(AI897&lt;=0, "No Profit", AI897&lt;=0.16,"Low Profit",AI897&lt;=0.32,"Medium Profit",AI897&gt;0.32,"High Profit")</f>
        <v>High Profit</v>
      </c>
      <c r="AK897" s="2">
        <v>1</v>
      </c>
      <c r="AL897" s="2">
        <v>129.99</v>
      </c>
      <c r="AM897" s="2">
        <v>113.09</v>
      </c>
      <c r="AN897" s="2">
        <v>41.05</v>
      </c>
      <c r="AO897" s="2" t="s">
        <v>431</v>
      </c>
      <c r="AP897" s="2" t="s">
        <v>3559</v>
      </c>
      <c r="AQ897" s="2" t="s">
        <v>80</v>
      </c>
      <c r="AR897" s="2" t="s">
        <v>81</v>
      </c>
      <c r="AS897" s="2">
        <v>403</v>
      </c>
      <c r="AT897" s="2">
        <v>18</v>
      </c>
      <c r="AU897" s="2" t="s">
        <v>869</v>
      </c>
      <c r="AV897" s="2">
        <v>129.99</v>
      </c>
      <c r="AW897" s="2">
        <v>0</v>
      </c>
      <c r="AX897" s="2" t="s">
        <v>3560</v>
      </c>
      <c r="AY897" s="2" t="s">
        <v>83</v>
      </c>
      <c r="AZ897" s="4">
        <v>42691</v>
      </c>
      <c r="BA897" s="5">
        <v>0.71875</v>
      </c>
      <c r="BB897" s="2">
        <v>2016</v>
      </c>
      <c r="BC897" s="2" t="s">
        <v>455</v>
      </c>
      <c r="BD897" s="2">
        <v>17</v>
      </c>
      <c r="BE897" s="4">
        <v>42696</v>
      </c>
      <c r="BF897" s="5">
        <v>0.71875</v>
      </c>
      <c r="BG897" s="2" t="str" cm="1">
        <f t="array" ref="BG897">_xlfn.IFS(BF897&lt;TIMEVALUE("06:00"),"Night", BF897&gt;=TIMEVALUE("21:00"),"Night",BF897&gt;=TIMEVALUE("17:00"),"Evening",BF897&gt;=TIMEVALUE("12:00"),"Afternoon", BF897&gt;=TIMEVALUE("06:00"),"Morning")</f>
        <v>Evening</v>
      </c>
      <c r="BH897" s="2">
        <v>2016</v>
      </c>
      <c r="BI897" s="2" t="s">
        <v>455</v>
      </c>
      <c r="BJ897" s="2">
        <v>22</v>
      </c>
    </row>
    <row r="898" spans="1:62" x14ac:dyDescent="0.3">
      <c r="A898" s="2" t="s">
        <v>62</v>
      </c>
      <c r="B898" s="2">
        <v>3</v>
      </c>
      <c r="C898" s="2">
        <v>4</v>
      </c>
      <c r="D898" s="2">
        <v>-169.64</v>
      </c>
      <c r="E898" s="2">
        <v>113.09</v>
      </c>
      <c r="F898" s="2" t="s">
        <v>63</v>
      </c>
      <c r="G898" s="2" t="s">
        <v>64</v>
      </c>
      <c r="H898" s="2">
        <v>18</v>
      </c>
      <c r="I898" s="2" t="s">
        <v>863</v>
      </c>
      <c r="J898" s="2" t="s">
        <v>1216</v>
      </c>
      <c r="K898" s="2" t="s">
        <v>102</v>
      </c>
      <c r="L898" s="2" t="s">
        <v>782</v>
      </c>
      <c r="M898" s="2">
        <v>4062</v>
      </c>
      <c r="N898" s="2" t="s">
        <v>425</v>
      </c>
      <c r="O898" s="2" t="s">
        <v>124</v>
      </c>
      <c r="P898" s="2" t="s">
        <v>105</v>
      </c>
      <c r="Q898" s="2" t="s">
        <v>3648</v>
      </c>
      <c r="R898" s="2">
        <v>92057</v>
      </c>
      <c r="S898" s="2">
        <v>4</v>
      </c>
      <c r="T898" s="2" t="s">
        <v>417</v>
      </c>
      <c r="U898" s="2">
        <v>33.2129555</v>
      </c>
      <c r="V898" s="2">
        <v>-117.27491759999999</v>
      </c>
      <c r="W898" s="2" t="s">
        <v>74</v>
      </c>
      <c r="X898" s="2" t="s">
        <v>449</v>
      </c>
      <c r="Y898" s="2" t="s">
        <v>429</v>
      </c>
      <c r="Z898" s="2">
        <v>4062</v>
      </c>
      <c r="AA898" s="2" t="s">
        <v>3649</v>
      </c>
      <c r="AB898" s="2">
        <v>43257</v>
      </c>
      <c r="AC898" s="2">
        <v>403</v>
      </c>
      <c r="AD898" s="2">
        <v>16.899999999999999</v>
      </c>
      <c r="AE898" s="2">
        <v>0.13</v>
      </c>
      <c r="AF898" s="2" t="str" cm="1">
        <f t="array" ref="AF898">_xlfn.IFS(AE898=0, "No Discount ", AE898&lt;=0.08,"Low Discount", AE898&lt;=0.16,"Medium Discount", AE898&gt;0.16, "High Discount")</f>
        <v>Medium Discount</v>
      </c>
      <c r="AG898" s="2">
        <v>108061</v>
      </c>
      <c r="AH898" s="2">
        <v>129.99</v>
      </c>
      <c r="AI898" s="2">
        <v>-1.5</v>
      </c>
      <c r="AJ898" s="2" t="str" cm="1">
        <f t="array" ref="AJ898">_xlfn.IFS(AI898&lt;=0, "No Profit", AI898&lt;=0.16,"Low Profit",AI898&lt;=0.32,"Medium Profit",AI898&gt;0.32,"High Profit")</f>
        <v>No Profit</v>
      </c>
      <c r="AK898" s="2">
        <v>1</v>
      </c>
      <c r="AL898" s="2">
        <v>129.99</v>
      </c>
      <c r="AM898" s="2">
        <v>113.09</v>
      </c>
      <c r="AN898" s="2">
        <v>-169.64</v>
      </c>
      <c r="AO898" s="2" t="s">
        <v>431</v>
      </c>
      <c r="AP898" s="2" t="s">
        <v>449</v>
      </c>
      <c r="AQ898" s="2" t="s">
        <v>80</v>
      </c>
      <c r="AR898" s="2" t="s">
        <v>81</v>
      </c>
      <c r="AS898" s="2">
        <v>403</v>
      </c>
      <c r="AT898" s="2">
        <v>18</v>
      </c>
      <c r="AU898" s="2" t="s">
        <v>869</v>
      </c>
      <c r="AV898" s="2">
        <v>129.99</v>
      </c>
      <c r="AW898" s="2">
        <v>0</v>
      </c>
      <c r="AX898" s="2" t="s">
        <v>3650</v>
      </c>
      <c r="AY898" s="2" t="s">
        <v>83</v>
      </c>
      <c r="AZ898" s="4">
        <v>42636</v>
      </c>
      <c r="BA898" s="5">
        <v>0.4375</v>
      </c>
      <c r="BB898" s="2">
        <v>2016</v>
      </c>
      <c r="BC898" s="2" t="s">
        <v>552</v>
      </c>
      <c r="BD898" s="2">
        <v>23</v>
      </c>
      <c r="BE898" s="4">
        <v>42639</v>
      </c>
      <c r="BF898" s="5">
        <v>0.4375</v>
      </c>
      <c r="BG898" s="2" t="str" cm="1">
        <f t="array" ref="BG898">_xlfn.IFS(BF898&lt;TIMEVALUE("06:00"),"Night", BF898&gt;=TIMEVALUE("21:00"),"Night",BF898&gt;=TIMEVALUE("17:00"),"Evening",BF898&gt;=TIMEVALUE("12:00"),"Afternoon", BF898&gt;=TIMEVALUE("06:00"),"Morning")</f>
        <v>Morning</v>
      </c>
      <c r="BH898" s="2">
        <v>2016</v>
      </c>
      <c r="BI898" s="2" t="s">
        <v>552</v>
      </c>
      <c r="BJ898" s="2">
        <v>26</v>
      </c>
    </row>
    <row r="899" spans="1:62" x14ac:dyDescent="0.3">
      <c r="A899" s="2" t="s">
        <v>62</v>
      </c>
      <c r="B899" s="2">
        <v>4</v>
      </c>
      <c r="C899" s="2">
        <v>4</v>
      </c>
      <c r="D899" s="2">
        <v>11.31</v>
      </c>
      <c r="E899" s="2">
        <v>113.09</v>
      </c>
      <c r="F899" s="2" t="s">
        <v>100</v>
      </c>
      <c r="G899" s="2" t="s">
        <v>64</v>
      </c>
      <c r="H899" s="2">
        <v>18</v>
      </c>
      <c r="I899" s="2" t="s">
        <v>863</v>
      </c>
      <c r="J899" s="2" t="s">
        <v>1130</v>
      </c>
      <c r="K899" s="2" t="s">
        <v>102</v>
      </c>
      <c r="L899" s="2" t="s">
        <v>414</v>
      </c>
      <c r="M899" s="2">
        <v>6897</v>
      </c>
      <c r="N899" s="2" t="s">
        <v>2246</v>
      </c>
      <c r="O899" s="2" t="s">
        <v>124</v>
      </c>
      <c r="P899" s="2" t="s">
        <v>380</v>
      </c>
      <c r="Q899" s="2" t="s">
        <v>3651</v>
      </c>
      <c r="R899" s="2">
        <v>31907</v>
      </c>
      <c r="S899" s="2">
        <v>4</v>
      </c>
      <c r="T899" s="2" t="s">
        <v>417</v>
      </c>
      <c r="U899" s="2">
        <v>32.520828299999998</v>
      </c>
      <c r="V899" s="2">
        <v>-84.886573799999994</v>
      </c>
      <c r="W899" s="2" t="s">
        <v>74</v>
      </c>
      <c r="X899" s="2" t="s">
        <v>449</v>
      </c>
      <c r="Y899" s="2" t="s">
        <v>429</v>
      </c>
      <c r="Z899" s="2">
        <v>6897</v>
      </c>
      <c r="AA899" s="2" t="s">
        <v>3652</v>
      </c>
      <c r="AB899" s="2">
        <v>49888</v>
      </c>
      <c r="AC899" s="2">
        <v>403</v>
      </c>
      <c r="AD899" s="2">
        <v>16.899999999999999</v>
      </c>
      <c r="AE899" s="2">
        <v>0.13</v>
      </c>
      <c r="AF899" s="2" t="str" cm="1">
        <f t="array" ref="AF899">_xlfn.IFS(AE899=0, "No Discount ", AE899&lt;=0.08,"Low Discount", AE899&lt;=0.16,"Medium Discount", AE899&gt;0.16, "High Discount")</f>
        <v>Medium Discount</v>
      </c>
      <c r="AG899" s="2">
        <v>124741</v>
      </c>
      <c r="AH899" s="2">
        <v>129.99</v>
      </c>
      <c r="AI899" s="2">
        <v>0.1</v>
      </c>
      <c r="AJ899" s="2" t="str" cm="1">
        <f t="array" ref="AJ899">_xlfn.IFS(AI899&lt;=0, "No Profit", AI899&lt;=0.16,"Low Profit",AI899&lt;=0.32,"Medium Profit",AI899&gt;0.32,"High Profit")</f>
        <v>Low Profit</v>
      </c>
      <c r="AK899" s="2">
        <v>1</v>
      </c>
      <c r="AL899" s="2">
        <v>129.99</v>
      </c>
      <c r="AM899" s="2">
        <v>113.09</v>
      </c>
      <c r="AN899" s="2">
        <v>11.31</v>
      </c>
      <c r="AO899" s="2" t="s">
        <v>431</v>
      </c>
      <c r="AP899" s="2" t="s">
        <v>449</v>
      </c>
      <c r="AQ899" s="2" t="s">
        <v>80</v>
      </c>
      <c r="AR899" s="2" t="s">
        <v>81</v>
      </c>
      <c r="AS899" s="2">
        <v>403</v>
      </c>
      <c r="AT899" s="2">
        <v>18</v>
      </c>
      <c r="AU899" s="2" t="s">
        <v>869</v>
      </c>
      <c r="AV899" s="2">
        <v>129.99</v>
      </c>
      <c r="AW899" s="2">
        <v>0</v>
      </c>
      <c r="AX899" s="3">
        <v>42767.234722222223</v>
      </c>
      <c r="AY899" s="2" t="s">
        <v>83</v>
      </c>
      <c r="AZ899" s="4">
        <v>42733</v>
      </c>
      <c r="BA899" s="5">
        <v>0.23472222222222222</v>
      </c>
      <c r="BB899" s="2">
        <v>2016</v>
      </c>
      <c r="BC899" s="2" t="s">
        <v>357</v>
      </c>
      <c r="BD899" s="2">
        <v>29</v>
      </c>
      <c r="BE899" s="4">
        <v>42767</v>
      </c>
      <c r="BF899" s="5">
        <v>0.23472222222222222</v>
      </c>
      <c r="BG899" s="2" t="str" cm="1">
        <f t="array" ref="BG899">_xlfn.IFS(BF899&lt;TIMEVALUE("06:00"),"Night", BF899&gt;=TIMEVALUE("21:00"),"Night",BF899&gt;=TIMEVALUE("17:00"),"Evening",BF899&gt;=TIMEVALUE("12:00"),"Afternoon", BF899&gt;=TIMEVALUE("06:00"),"Morning")</f>
        <v>Night</v>
      </c>
      <c r="BH899" s="2">
        <v>2017</v>
      </c>
      <c r="BI899" s="2" t="s">
        <v>423</v>
      </c>
      <c r="BJ899" s="2">
        <v>1</v>
      </c>
    </row>
    <row r="900" spans="1:62" x14ac:dyDescent="0.3">
      <c r="A900" s="2" t="s">
        <v>62</v>
      </c>
      <c r="B900" s="2">
        <v>6</v>
      </c>
      <c r="C900" s="2">
        <v>4</v>
      </c>
      <c r="D900" s="2">
        <v>-6.96</v>
      </c>
      <c r="E900" s="2">
        <v>110.49</v>
      </c>
      <c r="F900" s="2" t="s">
        <v>87</v>
      </c>
      <c r="G900" s="2" t="s">
        <v>88</v>
      </c>
      <c r="H900" s="2">
        <v>18</v>
      </c>
      <c r="I900" s="2" t="s">
        <v>863</v>
      </c>
      <c r="J900" s="2" t="s">
        <v>1296</v>
      </c>
      <c r="K900" s="2" t="s">
        <v>102</v>
      </c>
      <c r="L900" s="2" t="s">
        <v>414</v>
      </c>
      <c r="M900" s="2">
        <v>11632</v>
      </c>
      <c r="N900" s="2" t="s">
        <v>425</v>
      </c>
      <c r="O900" s="2" t="s">
        <v>124</v>
      </c>
      <c r="P900" s="2" t="s">
        <v>333</v>
      </c>
      <c r="Q900" s="2" t="s">
        <v>3571</v>
      </c>
      <c r="R900" s="2">
        <v>78227</v>
      </c>
      <c r="S900" s="2">
        <v>4</v>
      </c>
      <c r="T900" s="2" t="s">
        <v>417</v>
      </c>
      <c r="U900" s="2">
        <v>29.380371100000001</v>
      </c>
      <c r="V900" s="2">
        <v>-98.642234799999997</v>
      </c>
      <c r="W900" s="2" t="s">
        <v>74</v>
      </c>
      <c r="X900" s="2" t="s">
        <v>1456</v>
      </c>
      <c r="Y900" s="2" t="s">
        <v>1457</v>
      </c>
      <c r="Z900" s="2">
        <v>11632</v>
      </c>
      <c r="AA900" s="3">
        <v>42530.98541666667</v>
      </c>
      <c r="AB900" s="2">
        <v>42130</v>
      </c>
      <c r="AC900" s="2">
        <v>403</v>
      </c>
      <c r="AD900" s="2">
        <v>19.5</v>
      </c>
      <c r="AE900" s="2">
        <v>0.15</v>
      </c>
      <c r="AF900" s="2" t="str" cm="1">
        <f t="array" ref="AF900">_xlfn.IFS(AE900=0, "No Discount ", AE900&lt;=0.08,"Low Discount", AE900&lt;=0.16,"Medium Discount", AE900&gt;0.16, "High Discount")</f>
        <v>Medium Discount</v>
      </c>
      <c r="AG900" s="2">
        <v>105187</v>
      </c>
      <c r="AH900" s="2">
        <v>129.99</v>
      </c>
      <c r="AI900" s="2">
        <v>-0.06</v>
      </c>
      <c r="AJ900" s="2" t="str" cm="1">
        <f t="array" ref="AJ900">_xlfn.IFS(AI900&lt;=0, "No Profit", AI900&lt;=0.16,"Low Profit",AI900&lt;=0.32,"Medium Profit",AI900&gt;0.32,"High Profit")</f>
        <v>No Profit</v>
      </c>
      <c r="AK900" s="2">
        <v>1</v>
      </c>
      <c r="AL900" s="2">
        <v>129.99</v>
      </c>
      <c r="AM900" s="2">
        <v>110.49</v>
      </c>
      <c r="AN900" s="2">
        <v>-6.96</v>
      </c>
      <c r="AO900" s="2" t="s">
        <v>1458</v>
      </c>
      <c r="AP900" s="2" t="s">
        <v>1459</v>
      </c>
      <c r="AQ900" s="2" t="s">
        <v>80</v>
      </c>
      <c r="AR900" s="2" t="s">
        <v>81</v>
      </c>
      <c r="AS900" s="2">
        <v>403</v>
      </c>
      <c r="AT900" s="2">
        <v>18</v>
      </c>
      <c r="AU900" s="2" t="s">
        <v>869</v>
      </c>
      <c r="AV900" s="2">
        <v>129.99</v>
      </c>
      <c r="AW900" s="2">
        <v>0</v>
      </c>
      <c r="AX900" s="3">
        <v>42713.98541666667</v>
      </c>
      <c r="AY900" s="2" t="s">
        <v>83</v>
      </c>
      <c r="AZ900" s="4">
        <v>42530</v>
      </c>
      <c r="BA900" s="5">
        <v>0.98541666666666672</v>
      </c>
      <c r="BB900" s="2">
        <v>2016</v>
      </c>
      <c r="BC900" s="2" t="s">
        <v>474</v>
      </c>
      <c r="BD900" s="2">
        <v>9</v>
      </c>
      <c r="BE900" s="4">
        <v>42713</v>
      </c>
      <c r="BF900" s="5">
        <v>0.98541666666666672</v>
      </c>
      <c r="BG900" s="2" t="str" cm="1">
        <f t="array" ref="BG900">_xlfn.IFS(BF900&lt;TIMEVALUE("06:00"),"Night", BF900&gt;=TIMEVALUE("21:00"),"Night",BF900&gt;=TIMEVALUE("17:00"),"Evening",BF900&gt;=TIMEVALUE("12:00"),"Afternoon", BF900&gt;=TIMEVALUE("06:00"),"Morning")</f>
        <v>Night</v>
      </c>
      <c r="BH900" s="2">
        <v>2016</v>
      </c>
      <c r="BI900" s="2" t="s">
        <v>357</v>
      </c>
      <c r="BJ900" s="2">
        <v>9</v>
      </c>
    </row>
    <row r="901" spans="1:62" x14ac:dyDescent="0.3">
      <c r="A901" s="2" t="s">
        <v>62</v>
      </c>
      <c r="B901" s="2">
        <v>3</v>
      </c>
      <c r="C901" s="2">
        <v>4</v>
      </c>
      <c r="D901" s="2">
        <v>12.15</v>
      </c>
      <c r="E901" s="2">
        <v>110.49</v>
      </c>
      <c r="F901" s="2" t="s">
        <v>63</v>
      </c>
      <c r="G901" s="2" t="s">
        <v>64</v>
      </c>
      <c r="H901" s="2">
        <v>18</v>
      </c>
      <c r="I901" s="2" t="s">
        <v>863</v>
      </c>
      <c r="J901" s="2" t="s">
        <v>1862</v>
      </c>
      <c r="K901" s="2" t="s">
        <v>102</v>
      </c>
      <c r="L901" s="2" t="s">
        <v>1326</v>
      </c>
      <c r="M901" s="2">
        <v>11892</v>
      </c>
      <c r="N901" s="2" t="s">
        <v>3586</v>
      </c>
      <c r="O901" s="2" t="s">
        <v>124</v>
      </c>
      <c r="P901" s="2" t="s">
        <v>105</v>
      </c>
      <c r="Q901" s="2" t="s">
        <v>3653</v>
      </c>
      <c r="R901" s="2">
        <v>95240</v>
      </c>
      <c r="S901" s="2">
        <v>4</v>
      </c>
      <c r="T901" s="2" t="s">
        <v>417</v>
      </c>
      <c r="U901" s="2">
        <v>38.116153699999998</v>
      </c>
      <c r="V901" s="2">
        <v>-121.3949966</v>
      </c>
      <c r="W901" s="2" t="s">
        <v>74</v>
      </c>
      <c r="X901" s="2" t="s">
        <v>3654</v>
      </c>
      <c r="Y901" s="2" t="s">
        <v>143</v>
      </c>
      <c r="Z901" s="2">
        <v>11892</v>
      </c>
      <c r="AA901" s="2" t="s">
        <v>3655</v>
      </c>
      <c r="AB901" s="2">
        <v>24752</v>
      </c>
      <c r="AC901" s="2">
        <v>403</v>
      </c>
      <c r="AD901" s="2">
        <v>19.5</v>
      </c>
      <c r="AE901" s="2">
        <v>0.15</v>
      </c>
      <c r="AF901" s="2" t="str" cm="1">
        <f t="array" ref="AF901">_xlfn.IFS(AE901=0, "No Discount ", AE901&lt;=0.08,"Low Discount", AE901&lt;=0.16,"Medium Discount", AE901&gt;0.16, "High Discount")</f>
        <v>Medium Discount</v>
      </c>
      <c r="AG901" s="2">
        <v>62000</v>
      </c>
      <c r="AH901" s="2">
        <v>129.99</v>
      </c>
      <c r="AI901" s="2">
        <v>0.11</v>
      </c>
      <c r="AJ901" s="2" t="str" cm="1">
        <f t="array" ref="AJ901">_xlfn.IFS(AI901&lt;=0, "No Profit", AI901&lt;=0.16,"Low Profit",AI901&lt;=0.32,"Medium Profit",AI901&gt;0.32,"High Profit")</f>
        <v>Low Profit</v>
      </c>
      <c r="AK901" s="2">
        <v>1</v>
      </c>
      <c r="AL901" s="2">
        <v>129.99</v>
      </c>
      <c r="AM901" s="2">
        <v>110.49</v>
      </c>
      <c r="AN901" s="2">
        <v>12.15</v>
      </c>
      <c r="AO901" s="2" t="s">
        <v>145</v>
      </c>
      <c r="AP901" s="2" t="s">
        <v>1566</v>
      </c>
      <c r="AQ901" s="2" t="s">
        <v>80</v>
      </c>
      <c r="AR901" s="2" t="s">
        <v>81</v>
      </c>
      <c r="AS901" s="2">
        <v>403</v>
      </c>
      <c r="AT901" s="2">
        <v>18</v>
      </c>
      <c r="AU901" s="2" t="s">
        <v>869</v>
      </c>
      <c r="AV901" s="2">
        <v>129.99</v>
      </c>
      <c r="AW901" s="2">
        <v>0</v>
      </c>
      <c r="AX901" s="2" t="s">
        <v>3656</v>
      </c>
      <c r="AY901" s="2" t="s">
        <v>83</v>
      </c>
      <c r="AZ901" s="4">
        <v>42366</v>
      </c>
      <c r="BA901" s="5">
        <v>0.30694444444444446</v>
      </c>
      <c r="BB901" s="2">
        <v>2015</v>
      </c>
      <c r="BC901" s="2" t="s">
        <v>357</v>
      </c>
      <c r="BD901" s="2">
        <v>28</v>
      </c>
      <c r="BE901" s="4">
        <v>42369</v>
      </c>
      <c r="BF901" s="5">
        <v>0.30694444444444446</v>
      </c>
      <c r="BG901" s="2" t="str" cm="1">
        <f t="array" ref="BG901">_xlfn.IFS(BF901&lt;TIMEVALUE("06:00"),"Night", BF901&gt;=TIMEVALUE("21:00"),"Night",BF901&gt;=TIMEVALUE("17:00"),"Evening",BF901&gt;=TIMEVALUE("12:00"),"Afternoon", BF901&gt;=TIMEVALUE("06:00"),"Morning")</f>
        <v>Morning</v>
      </c>
      <c r="BH901" s="2">
        <v>2015</v>
      </c>
      <c r="BI901" s="2" t="s">
        <v>357</v>
      </c>
      <c r="BJ901" s="2">
        <v>31</v>
      </c>
    </row>
    <row r="902" spans="1:62" x14ac:dyDescent="0.3">
      <c r="A902" s="2" t="s">
        <v>62</v>
      </c>
      <c r="B902" s="2">
        <v>4</v>
      </c>
      <c r="C902" s="2">
        <v>4</v>
      </c>
      <c r="D902" s="2">
        <v>6.96</v>
      </c>
      <c r="E902" s="2">
        <v>110.49</v>
      </c>
      <c r="F902" s="2" t="s">
        <v>100</v>
      </c>
      <c r="G902" s="2" t="s">
        <v>64</v>
      </c>
      <c r="H902" s="2">
        <v>18</v>
      </c>
      <c r="I902" s="2" t="s">
        <v>863</v>
      </c>
      <c r="J902" s="2" t="s">
        <v>110</v>
      </c>
      <c r="K902" s="2" t="s">
        <v>102</v>
      </c>
      <c r="L902" s="2" t="s">
        <v>1414</v>
      </c>
      <c r="M902" s="2">
        <v>6763</v>
      </c>
      <c r="N902" s="2" t="s">
        <v>3657</v>
      </c>
      <c r="O902" s="2" t="s">
        <v>124</v>
      </c>
      <c r="P902" s="2" t="s">
        <v>105</v>
      </c>
      <c r="Q902" s="2" t="s">
        <v>3658</v>
      </c>
      <c r="R902" s="2">
        <v>90063</v>
      </c>
      <c r="S902" s="2">
        <v>4</v>
      </c>
      <c r="T902" s="2" t="s">
        <v>417</v>
      </c>
      <c r="U902" s="2">
        <v>34.046215099999998</v>
      </c>
      <c r="V902" s="2">
        <v>-118.18603520000001</v>
      </c>
      <c r="W902" s="2" t="s">
        <v>74</v>
      </c>
      <c r="X902" s="2" t="s">
        <v>2207</v>
      </c>
      <c r="Y902" s="2" t="s">
        <v>215</v>
      </c>
      <c r="Z902" s="2">
        <v>6763</v>
      </c>
      <c r="AA902" s="2" t="s">
        <v>3659</v>
      </c>
      <c r="AB902" s="2">
        <v>24548</v>
      </c>
      <c r="AC902" s="2">
        <v>403</v>
      </c>
      <c r="AD902" s="2">
        <v>19.5</v>
      </c>
      <c r="AE902" s="2">
        <v>0.15</v>
      </c>
      <c r="AF902" s="2" t="str" cm="1">
        <f t="array" ref="AF902">_xlfn.IFS(AE902=0, "No Discount ", AE902&lt;=0.08,"Low Discount", AE902&lt;=0.16,"Medium Discount", AE902&gt;0.16, "High Discount")</f>
        <v>Medium Discount</v>
      </c>
      <c r="AG902" s="2">
        <v>61462</v>
      </c>
      <c r="AH902" s="2">
        <v>129.99</v>
      </c>
      <c r="AI902" s="2">
        <v>0.06</v>
      </c>
      <c r="AJ902" s="2" t="str" cm="1">
        <f t="array" ref="AJ902">_xlfn.IFS(AI902&lt;=0, "No Profit", AI902&lt;=0.16,"Low Profit",AI902&lt;=0.32,"Medium Profit",AI902&gt;0.32,"High Profit")</f>
        <v>Low Profit</v>
      </c>
      <c r="AK902" s="2">
        <v>1</v>
      </c>
      <c r="AL902" s="2">
        <v>129.99</v>
      </c>
      <c r="AM902" s="2">
        <v>110.49</v>
      </c>
      <c r="AN902" s="2">
        <v>6.96</v>
      </c>
      <c r="AO902" s="2" t="s">
        <v>145</v>
      </c>
      <c r="AP902" s="2" t="s">
        <v>2207</v>
      </c>
      <c r="AQ902" s="2" t="s">
        <v>80</v>
      </c>
      <c r="AR902" s="2" t="s">
        <v>81</v>
      </c>
      <c r="AS902" s="2">
        <v>403</v>
      </c>
      <c r="AT902" s="2">
        <v>18</v>
      </c>
      <c r="AU902" s="2" t="s">
        <v>869</v>
      </c>
      <c r="AV902" s="2">
        <v>129.99</v>
      </c>
      <c r="AW902" s="2">
        <v>0</v>
      </c>
      <c r="AX902" s="2" t="s">
        <v>3660</v>
      </c>
      <c r="AY902" s="2" t="s">
        <v>83</v>
      </c>
      <c r="AZ902" s="4">
        <v>42363</v>
      </c>
      <c r="BA902" s="5">
        <v>0.32916666666666666</v>
      </c>
      <c r="BB902" s="2">
        <v>2015</v>
      </c>
      <c r="BC902" s="2" t="s">
        <v>357</v>
      </c>
      <c r="BD902" s="2">
        <v>25</v>
      </c>
      <c r="BE902" s="4">
        <v>42367</v>
      </c>
      <c r="BF902" s="5">
        <v>0.32916666666666666</v>
      </c>
      <c r="BG902" s="2" t="str" cm="1">
        <f t="array" ref="BG902">_xlfn.IFS(BF902&lt;TIMEVALUE("06:00"),"Night", BF902&gt;=TIMEVALUE("21:00"),"Night",BF902&gt;=TIMEVALUE("17:00"),"Evening",BF902&gt;=TIMEVALUE("12:00"),"Afternoon", BF902&gt;=TIMEVALUE("06:00"),"Morning")</f>
        <v>Morning</v>
      </c>
      <c r="BH902" s="2">
        <v>2015</v>
      </c>
      <c r="BI902" s="2" t="s">
        <v>357</v>
      </c>
      <c r="BJ902" s="2">
        <v>29</v>
      </c>
    </row>
    <row r="903" spans="1:62" x14ac:dyDescent="0.3">
      <c r="A903" s="2" t="s">
        <v>62</v>
      </c>
      <c r="B903" s="2">
        <v>2</v>
      </c>
      <c r="C903" s="2">
        <v>4</v>
      </c>
      <c r="D903" s="2">
        <v>49.53</v>
      </c>
      <c r="E903" s="2">
        <v>183.45</v>
      </c>
      <c r="F903" s="2" t="s">
        <v>63</v>
      </c>
      <c r="G903" s="2" t="s">
        <v>64</v>
      </c>
      <c r="H903" s="2">
        <v>76</v>
      </c>
      <c r="I903" s="2" t="s">
        <v>1351</v>
      </c>
      <c r="J903" s="2" t="s">
        <v>3182</v>
      </c>
      <c r="K903" s="2" t="s">
        <v>102</v>
      </c>
      <c r="L903" s="2" t="s">
        <v>2234</v>
      </c>
      <c r="M903" s="2">
        <v>17459</v>
      </c>
      <c r="N903" s="2" t="s">
        <v>3661</v>
      </c>
      <c r="O903" s="2" t="s">
        <v>124</v>
      </c>
      <c r="P903" s="2" t="s">
        <v>133</v>
      </c>
      <c r="Q903" s="2" t="s">
        <v>3662</v>
      </c>
      <c r="R903" s="2">
        <v>12550</v>
      </c>
      <c r="S903" s="2">
        <v>4</v>
      </c>
      <c r="T903" s="2" t="s">
        <v>417</v>
      </c>
      <c r="U903" s="2">
        <v>41.502059899999999</v>
      </c>
      <c r="V903" s="2">
        <v>-74.011772199999996</v>
      </c>
      <c r="W903" s="2" t="s">
        <v>74</v>
      </c>
      <c r="X903" s="2" t="s">
        <v>1411</v>
      </c>
      <c r="Y903" s="2" t="s">
        <v>143</v>
      </c>
      <c r="Z903" s="2">
        <v>17459</v>
      </c>
      <c r="AA903" s="2" t="s">
        <v>3663</v>
      </c>
      <c r="AB903" s="2">
        <v>73906</v>
      </c>
      <c r="AC903" s="2">
        <v>1363</v>
      </c>
      <c r="AD903" s="2">
        <v>32.369999999999997</v>
      </c>
      <c r="AE903" s="2">
        <v>0.15</v>
      </c>
      <c r="AF903" s="2" t="str" cm="1">
        <f t="array" ref="AF903">_xlfn.IFS(AE903=0, "No Discount ", AE903&lt;=0.08,"Low Discount", AE903&lt;=0.16,"Medium Discount", AE903&gt;0.16, "High Discount")</f>
        <v>Medium Discount</v>
      </c>
      <c r="AG903" s="2">
        <v>177221</v>
      </c>
      <c r="AH903" s="2">
        <v>215.82</v>
      </c>
      <c r="AI903" s="2">
        <v>0.27</v>
      </c>
      <c r="AJ903" s="2" t="str" cm="1">
        <f t="array" ref="AJ903">_xlfn.IFS(AI903&lt;=0, "No Profit", AI903&lt;=0.16,"Low Profit",AI903&lt;=0.32,"Medium Profit",AI903&gt;0.32,"High Profit")</f>
        <v>Medium Profit</v>
      </c>
      <c r="AK903" s="2">
        <v>1</v>
      </c>
      <c r="AL903" s="2">
        <v>215.82</v>
      </c>
      <c r="AM903" s="2">
        <v>183.45</v>
      </c>
      <c r="AN903" s="2">
        <v>49.53</v>
      </c>
      <c r="AO903" s="2" t="s">
        <v>145</v>
      </c>
      <c r="AP903" s="2" t="s">
        <v>1411</v>
      </c>
      <c r="AQ903" s="2" t="s">
        <v>80</v>
      </c>
      <c r="AR903" s="2" t="s">
        <v>81</v>
      </c>
      <c r="AS903" s="2">
        <v>1363</v>
      </c>
      <c r="AT903" s="2">
        <v>76</v>
      </c>
      <c r="AU903" s="2" t="s">
        <v>1356</v>
      </c>
      <c r="AV903" s="2">
        <v>215.82</v>
      </c>
      <c r="AW903" s="2">
        <v>0</v>
      </c>
      <c r="AX903" s="2" t="s">
        <v>3664</v>
      </c>
      <c r="AY903" s="2" t="s">
        <v>83</v>
      </c>
      <c r="AZ903" s="4">
        <v>43083</v>
      </c>
      <c r="BA903" s="5">
        <v>0.84166666666666667</v>
      </c>
      <c r="BB903" s="2">
        <v>2017</v>
      </c>
      <c r="BC903" s="2" t="s">
        <v>357</v>
      </c>
      <c r="BD903" s="2">
        <v>14</v>
      </c>
      <c r="BE903" s="4">
        <v>43085</v>
      </c>
      <c r="BF903" s="5">
        <v>0.84166666666666667</v>
      </c>
      <c r="BG903" s="2" t="str" cm="1">
        <f t="array" ref="BG903">_xlfn.IFS(BF903&lt;TIMEVALUE("06:00"),"Night", BF903&gt;=TIMEVALUE("21:00"),"Night",BF903&gt;=TIMEVALUE("17:00"),"Evening",BF903&gt;=TIMEVALUE("12:00"),"Afternoon", BF903&gt;=TIMEVALUE("06:00"),"Morning")</f>
        <v>Evening</v>
      </c>
      <c r="BH903" s="2">
        <v>2017</v>
      </c>
      <c r="BI903" s="2" t="s">
        <v>357</v>
      </c>
      <c r="BJ903" s="2">
        <v>16</v>
      </c>
    </row>
    <row r="904" spans="1:62" x14ac:dyDescent="0.3">
      <c r="A904" s="2" t="s">
        <v>62</v>
      </c>
      <c r="B904" s="2">
        <v>5</v>
      </c>
      <c r="C904" s="2">
        <v>4</v>
      </c>
      <c r="D904" s="2">
        <v>5.52</v>
      </c>
      <c r="E904" s="2">
        <v>110.49</v>
      </c>
      <c r="F904" s="2" t="s">
        <v>87</v>
      </c>
      <c r="G904" s="2" t="s">
        <v>88</v>
      </c>
      <c r="H904" s="2">
        <v>18</v>
      </c>
      <c r="I904" s="2" t="s">
        <v>863</v>
      </c>
      <c r="J904" s="2" t="s">
        <v>3591</v>
      </c>
      <c r="K904" s="2" t="s">
        <v>102</v>
      </c>
      <c r="L904" s="2" t="s">
        <v>414</v>
      </c>
      <c r="M904" s="2">
        <v>6721</v>
      </c>
      <c r="N904" s="2" t="s">
        <v>3592</v>
      </c>
      <c r="O904" s="2" t="s">
        <v>124</v>
      </c>
      <c r="P904" s="2" t="s">
        <v>105</v>
      </c>
      <c r="Q904" s="2" t="s">
        <v>3593</v>
      </c>
      <c r="R904" s="2">
        <v>91343</v>
      </c>
      <c r="S904" s="2">
        <v>4</v>
      </c>
      <c r="T904" s="2" t="s">
        <v>417</v>
      </c>
      <c r="U904" s="2">
        <v>34.23563</v>
      </c>
      <c r="V904" s="2">
        <v>-118.4847031</v>
      </c>
      <c r="W904" s="2" t="s">
        <v>74</v>
      </c>
      <c r="X904" s="2" t="s">
        <v>1501</v>
      </c>
      <c r="Y904" s="2" t="s">
        <v>116</v>
      </c>
      <c r="Z904" s="2">
        <v>6721</v>
      </c>
      <c r="AA904" s="3">
        <v>42615.76458333333</v>
      </c>
      <c r="AB904" s="2">
        <v>27729</v>
      </c>
      <c r="AC904" s="2">
        <v>403</v>
      </c>
      <c r="AD904" s="2">
        <v>19.5</v>
      </c>
      <c r="AE904" s="2">
        <v>0.15</v>
      </c>
      <c r="AF904" s="2" t="str" cm="1">
        <f t="array" ref="AF904">_xlfn.IFS(AE904=0, "No Discount ", AE904&lt;=0.08,"Low Discount", AE904&lt;=0.16,"Medium Discount", AE904&gt;0.16, "High Discount")</f>
        <v>Medium Discount</v>
      </c>
      <c r="AG904" s="2">
        <v>69426</v>
      </c>
      <c r="AH904" s="2">
        <v>129.99</v>
      </c>
      <c r="AI904" s="2">
        <v>0.05</v>
      </c>
      <c r="AJ904" s="2" t="str" cm="1">
        <f t="array" ref="AJ904">_xlfn.IFS(AI904&lt;=0, "No Profit", AI904&lt;=0.16,"Low Profit",AI904&lt;=0.32,"Medium Profit",AI904&gt;0.32,"High Profit")</f>
        <v>Low Profit</v>
      </c>
      <c r="AK904" s="2">
        <v>1</v>
      </c>
      <c r="AL904" s="2">
        <v>129.99</v>
      </c>
      <c r="AM904" s="2">
        <v>110.49</v>
      </c>
      <c r="AN904" s="2">
        <v>5.52</v>
      </c>
      <c r="AO904" s="2" t="s">
        <v>118</v>
      </c>
      <c r="AP904" s="2" t="s">
        <v>441</v>
      </c>
      <c r="AQ904" s="2" t="s">
        <v>80</v>
      </c>
      <c r="AR904" s="2" t="s">
        <v>81</v>
      </c>
      <c r="AS904" s="2">
        <v>403</v>
      </c>
      <c r="AT904" s="2">
        <v>18</v>
      </c>
      <c r="AU904" s="2" t="s">
        <v>869</v>
      </c>
      <c r="AV904" s="2">
        <v>129.99</v>
      </c>
      <c r="AW904" s="2">
        <v>0</v>
      </c>
      <c r="AX904" s="2" t="s">
        <v>3594</v>
      </c>
      <c r="AY904" s="2" t="s">
        <v>83</v>
      </c>
      <c r="AZ904" s="4">
        <v>42615</v>
      </c>
      <c r="BA904" s="5">
        <v>0.76458333333333328</v>
      </c>
      <c r="BB904" s="2">
        <v>2016</v>
      </c>
      <c r="BC904" s="2" t="s">
        <v>552</v>
      </c>
      <c r="BD904" s="2">
        <v>2</v>
      </c>
      <c r="BE904" s="4">
        <v>42414</v>
      </c>
      <c r="BF904" s="5">
        <v>0.76458333333333328</v>
      </c>
      <c r="BG904" s="2" t="str" cm="1">
        <f t="array" ref="BG904">_xlfn.IFS(BF904&lt;TIMEVALUE("06:00"),"Night", BF904&gt;=TIMEVALUE("21:00"),"Night",BF904&gt;=TIMEVALUE("17:00"),"Evening",BF904&gt;=TIMEVALUE("12:00"),"Afternoon", BF904&gt;=TIMEVALUE("06:00"),"Morning")</f>
        <v>Evening</v>
      </c>
      <c r="BH904" s="2">
        <v>2016</v>
      </c>
      <c r="BI904" s="2" t="s">
        <v>423</v>
      </c>
      <c r="BJ904" s="2">
        <v>14</v>
      </c>
    </row>
    <row r="905" spans="1:62" x14ac:dyDescent="0.3">
      <c r="A905" s="2" t="s">
        <v>62</v>
      </c>
      <c r="B905" s="2">
        <v>6</v>
      </c>
      <c r="C905" s="2">
        <v>4</v>
      </c>
      <c r="D905" s="2">
        <v>-165.74</v>
      </c>
      <c r="E905" s="2">
        <v>110.49</v>
      </c>
      <c r="F905" s="2" t="s">
        <v>87</v>
      </c>
      <c r="G905" s="2" t="s">
        <v>88</v>
      </c>
      <c r="H905" s="2">
        <v>18</v>
      </c>
      <c r="I905" s="2" t="s">
        <v>863</v>
      </c>
      <c r="J905" s="2" t="s">
        <v>1561</v>
      </c>
      <c r="K905" s="2" t="s">
        <v>102</v>
      </c>
      <c r="L905" s="2" t="s">
        <v>3582</v>
      </c>
      <c r="M905" s="2">
        <v>8622</v>
      </c>
      <c r="N905" s="2" t="s">
        <v>425</v>
      </c>
      <c r="O905" s="2" t="s">
        <v>124</v>
      </c>
      <c r="P905" s="2" t="s">
        <v>152</v>
      </c>
      <c r="Q905" s="2" t="s">
        <v>3665</v>
      </c>
      <c r="R905" s="2">
        <v>33068</v>
      </c>
      <c r="S905" s="2">
        <v>4</v>
      </c>
      <c r="T905" s="2" t="s">
        <v>417</v>
      </c>
      <c r="U905" s="2">
        <v>26.214729299999998</v>
      </c>
      <c r="V905" s="2">
        <v>-80.230049100000002</v>
      </c>
      <c r="W905" s="2" t="s">
        <v>74</v>
      </c>
      <c r="X905" s="2" t="s">
        <v>3666</v>
      </c>
      <c r="Y905" s="2" t="s">
        <v>116</v>
      </c>
      <c r="Z905" s="2">
        <v>8622</v>
      </c>
      <c r="AA905" s="2" t="s">
        <v>3667</v>
      </c>
      <c r="AB905" s="2">
        <v>28355</v>
      </c>
      <c r="AC905" s="2">
        <v>403</v>
      </c>
      <c r="AD905" s="2">
        <v>19.5</v>
      </c>
      <c r="AE905" s="2">
        <v>0.15</v>
      </c>
      <c r="AF905" s="2" t="str" cm="1">
        <f t="array" ref="AF905">_xlfn.IFS(AE905=0, "No Discount ", AE905&lt;=0.08,"Low Discount", AE905&lt;=0.16,"Medium Discount", AE905&gt;0.16, "High Discount")</f>
        <v>Medium Discount</v>
      </c>
      <c r="AG905" s="2">
        <v>70947</v>
      </c>
      <c r="AH905" s="2">
        <v>129.99</v>
      </c>
      <c r="AI905" s="2">
        <v>-1.5</v>
      </c>
      <c r="AJ905" s="2" t="str" cm="1">
        <f t="array" ref="AJ905">_xlfn.IFS(AI905&lt;=0, "No Profit", AI905&lt;=0.16,"Low Profit",AI905&lt;=0.32,"Medium Profit",AI905&gt;0.32,"High Profit")</f>
        <v>No Profit</v>
      </c>
      <c r="AK905" s="2">
        <v>1</v>
      </c>
      <c r="AL905" s="2">
        <v>129.99</v>
      </c>
      <c r="AM905" s="2">
        <v>110.49</v>
      </c>
      <c r="AN905" s="2">
        <v>-165.74</v>
      </c>
      <c r="AO905" s="2" t="s">
        <v>118</v>
      </c>
      <c r="AP905" s="2" t="s">
        <v>3668</v>
      </c>
      <c r="AQ905" s="2" t="s">
        <v>80</v>
      </c>
      <c r="AR905" s="2" t="s">
        <v>81</v>
      </c>
      <c r="AS905" s="2">
        <v>403</v>
      </c>
      <c r="AT905" s="2">
        <v>18</v>
      </c>
      <c r="AU905" s="2" t="s">
        <v>869</v>
      </c>
      <c r="AV905" s="2">
        <v>129.99</v>
      </c>
      <c r="AW905" s="2">
        <v>0</v>
      </c>
      <c r="AX905" s="2" t="s">
        <v>3669</v>
      </c>
      <c r="AY905" s="2" t="s">
        <v>83</v>
      </c>
      <c r="AZ905" s="4">
        <v>42418</v>
      </c>
      <c r="BA905" s="5">
        <v>0.90277777777777779</v>
      </c>
      <c r="BB905" s="2">
        <v>2016</v>
      </c>
      <c r="BC905" s="2" t="s">
        <v>423</v>
      </c>
      <c r="BD905" s="2">
        <v>18</v>
      </c>
      <c r="BE905" s="4">
        <v>42424</v>
      </c>
      <c r="BF905" s="5">
        <v>0.90277777777777779</v>
      </c>
      <c r="BG905" s="2" t="str" cm="1">
        <f t="array" ref="BG905">_xlfn.IFS(BF905&lt;TIMEVALUE("06:00"),"Night", BF905&gt;=TIMEVALUE("21:00"),"Night",BF905&gt;=TIMEVALUE("17:00"),"Evening",BF905&gt;=TIMEVALUE("12:00"),"Afternoon", BF905&gt;=TIMEVALUE("06:00"),"Morning")</f>
        <v>Night</v>
      </c>
      <c r="BH905" s="2">
        <v>2016</v>
      </c>
      <c r="BI905" s="2" t="s">
        <v>423</v>
      </c>
      <c r="BJ905" s="2">
        <v>24</v>
      </c>
    </row>
    <row r="906" spans="1:62" x14ac:dyDescent="0.3">
      <c r="A906" s="2" t="s">
        <v>62</v>
      </c>
      <c r="B906" s="2">
        <v>2</v>
      </c>
      <c r="C906" s="2">
        <v>4</v>
      </c>
      <c r="D906" s="2">
        <v>-73.7</v>
      </c>
      <c r="E906" s="2">
        <v>110.49</v>
      </c>
      <c r="F906" s="2" t="s">
        <v>63</v>
      </c>
      <c r="G906" s="2" t="s">
        <v>64</v>
      </c>
      <c r="H906" s="2">
        <v>18</v>
      </c>
      <c r="I906" s="2" t="s">
        <v>863</v>
      </c>
      <c r="J906" s="2" t="s">
        <v>1889</v>
      </c>
      <c r="K906" s="2" t="s">
        <v>102</v>
      </c>
      <c r="L906" s="2" t="s">
        <v>815</v>
      </c>
      <c r="M906" s="2">
        <v>241</v>
      </c>
      <c r="N906" s="2" t="s">
        <v>1863</v>
      </c>
      <c r="O906" s="2" t="s">
        <v>124</v>
      </c>
      <c r="P906" s="2" t="s">
        <v>1117</v>
      </c>
      <c r="Q906" s="2" t="s">
        <v>3670</v>
      </c>
      <c r="R906" s="2">
        <v>45013</v>
      </c>
      <c r="S906" s="2">
        <v>4</v>
      </c>
      <c r="T906" s="2" t="s">
        <v>417</v>
      </c>
      <c r="U906" s="2">
        <v>36.725261699999997</v>
      </c>
      <c r="V906" s="2">
        <v>-119.7846375</v>
      </c>
      <c r="W906" s="2" t="s">
        <v>74</v>
      </c>
      <c r="X906" s="2" t="s">
        <v>2010</v>
      </c>
      <c r="Y906" s="2" t="s">
        <v>116</v>
      </c>
      <c r="Z906" s="2">
        <v>241</v>
      </c>
      <c r="AA906" s="3">
        <v>42259.388194444444</v>
      </c>
      <c r="AB906" s="2">
        <v>23456</v>
      </c>
      <c r="AC906" s="2">
        <v>403</v>
      </c>
      <c r="AD906" s="2">
        <v>19.5</v>
      </c>
      <c r="AE906" s="2">
        <v>0.15</v>
      </c>
      <c r="AF906" s="2" t="str" cm="1">
        <f t="array" ref="AF906">_xlfn.IFS(AE906=0, "No Discount ", AE906&lt;=0.08,"Low Discount", AE906&lt;=0.16,"Medium Discount", AE906&gt;0.16, "High Discount")</f>
        <v>Medium Discount</v>
      </c>
      <c r="AG906" s="2">
        <v>58688</v>
      </c>
      <c r="AH906" s="2">
        <v>129.99</v>
      </c>
      <c r="AI906" s="2">
        <v>-0.67</v>
      </c>
      <c r="AJ906" s="2" t="str" cm="1">
        <f t="array" ref="AJ906">_xlfn.IFS(AI906&lt;=0, "No Profit", AI906&lt;=0.16,"Low Profit",AI906&lt;=0.32,"Medium Profit",AI906&gt;0.32,"High Profit")</f>
        <v>No Profit</v>
      </c>
      <c r="AK906" s="2">
        <v>1</v>
      </c>
      <c r="AL906" s="2">
        <v>129.99</v>
      </c>
      <c r="AM906" s="2">
        <v>110.49</v>
      </c>
      <c r="AN906" s="2">
        <v>-73.7</v>
      </c>
      <c r="AO906" s="2" t="s">
        <v>118</v>
      </c>
      <c r="AP906" s="2" t="s">
        <v>355</v>
      </c>
      <c r="AQ906" s="2" t="s">
        <v>80</v>
      </c>
      <c r="AR906" s="2" t="s">
        <v>81</v>
      </c>
      <c r="AS906" s="2">
        <v>403</v>
      </c>
      <c r="AT906" s="2">
        <v>18</v>
      </c>
      <c r="AU906" s="2" t="s">
        <v>869</v>
      </c>
      <c r="AV906" s="2">
        <v>129.99</v>
      </c>
      <c r="AW906" s="2">
        <v>0</v>
      </c>
      <c r="AX906" s="3">
        <v>42320.388194444444</v>
      </c>
      <c r="AY906" s="2" t="s">
        <v>83</v>
      </c>
      <c r="AZ906" s="4">
        <v>42259</v>
      </c>
      <c r="BA906" s="5">
        <v>0.38819444444444445</v>
      </c>
      <c r="BB906" s="2">
        <v>2015</v>
      </c>
      <c r="BC906" s="2" t="s">
        <v>552</v>
      </c>
      <c r="BD906" s="2">
        <v>12</v>
      </c>
      <c r="BE906" s="4">
        <v>42320</v>
      </c>
      <c r="BF906" s="5">
        <v>0.38819444444444445</v>
      </c>
      <c r="BG906" s="2" t="str" cm="1">
        <f t="array" ref="BG906">_xlfn.IFS(BF906&lt;TIMEVALUE("06:00"),"Night", BF906&gt;=TIMEVALUE("21:00"),"Night",BF906&gt;=TIMEVALUE("17:00"),"Evening",BF906&gt;=TIMEVALUE("12:00"),"Afternoon", BF906&gt;=TIMEVALUE("06:00"),"Morning")</f>
        <v>Morning</v>
      </c>
      <c r="BH906" s="2">
        <v>2015</v>
      </c>
      <c r="BI906" s="2" t="s">
        <v>455</v>
      </c>
      <c r="BJ906" s="2">
        <v>12</v>
      </c>
    </row>
    <row r="907" spans="1:62" x14ac:dyDescent="0.3">
      <c r="A907" s="2" t="s">
        <v>62</v>
      </c>
      <c r="B907" s="2">
        <v>4</v>
      </c>
      <c r="C907" s="2">
        <v>4</v>
      </c>
      <c r="D907" s="2">
        <v>-38.520000000000003</v>
      </c>
      <c r="E907" s="2">
        <v>50.22</v>
      </c>
      <c r="F907" s="2" t="s">
        <v>100</v>
      </c>
      <c r="G907" s="2" t="s">
        <v>64</v>
      </c>
      <c r="H907" s="2">
        <v>60</v>
      </c>
      <c r="I907" s="2" t="s">
        <v>3611</v>
      </c>
      <c r="J907" s="2" t="s">
        <v>3671</v>
      </c>
      <c r="K907" s="2" t="s">
        <v>102</v>
      </c>
      <c r="L907" s="2" t="s">
        <v>1016</v>
      </c>
      <c r="M907" s="2">
        <v>17746</v>
      </c>
      <c r="N907" s="2" t="s">
        <v>3672</v>
      </c>
      <c r="O907" s="2" t="s">
        <v>124</v>
      </c>
      <c r="P907" s="2" t="s">
        <v>105</v>
      </c>
      <c r="Q907" s="2" t="s">
        <v>1129</v>
      </c>
      <c r="R907" s="2">
        <v>95035</v>
      </c>
      <c r="S907" s="2">
        <v>4</v>
      </c>
      <c r="T907" s="2" t="s">
        <v>417</v>
      </c>
      <c r="U907" s="2">
        <v>37.447135899999999</v>
      </c>
      <c r="V907" s="2">
        <v>-121.9091797</v>
      </c>
      <c r="W907" s="2" t="s">
        <v>74</v>
      </c>
      <c r="X907" s="2" t="s">
        <v>3615</v>
      </c>
      <c r="Y907" s="2" t="s">
        <v>93</v>
      </c>
      <c r="Z907" s="2">
        <v>17746</v>
      </c>
      <c r="AA907" s="2" t="s">
        <v>3673</v>
      </c>
      <c r="AB907" s="2">
        <v>74193</v>
      </c>
      <c r="AC907" s="2">
        <v>1347</v>
      </c>
      <c r="AD907" s="2">
        <v>8.86</v>
      </c>
      <c r="AE907" s="2">
        <v>0.15</v>
      </c>
      <c r="AF907" s="2" t="str" cm="1">
        <f t="array" ref="AF907">_xlfn.IFS(AE907=0, "No Discount ", AE907&lt;=0.08,"Low Discount", AE907&lt;=0.16,"Medium Discount", AE907&gt;0.16, "High Discount")</f>
        <v>Medium Discount</v>
      </c>
      <c r="AG907" s="2">
        <v>177508</v>
      </c>
      <c r="AH907" s="2">
        <v>59.08</v>
      </c>
      <c r="AI907" s="2">
        <v>-0.77</v>
      </c>
      <c r="AJ907" s="2" t="str" cm="1">
        <f t="array" ref="AJ907">_xlfn.IFS(AI907&lt;=0, "No Profit", AI907&lt;=0.16,"Low Profit",AI907&lt;=0.32,"Medium Profit",AI907&gt;0.32,"High Profit")</f>
        <v>No Profit</v>
      </c>
      <c r="AK907" s="2">
        <v>1</v>
      </c>
      <c r="AL907" s="2">
        <v>59.08</v>
      </c>
      <c r="AM907" s="2">
        <v>50.22</v>
      </c>
      <c r="AN907" s="2">
        <v>-38.520000000000003</v>
      </c>
      <c r="AO907" s="2" t="s">
        <v>95</v>
      </c>
      <c r="AP907" s="2" t="s">
        <v>349</v>
      </c>
      <c r="AQ907" s="2" t="s">
        <v>80</v>
      </c>
      <c r="AR907" s="2" t="s">
        <v>81</v>
      </c>
      <c r="AS907" s="2">
        <v>1347</v>
      </c>
      <c r="AT907" s="2">
        <v>60</v>
      </c>
      <c r="AU907" s="2" t="s">
        <v>3617</v>
      </c>
      <c r="AV907" s="2">
        <v>59.08</v>
      </c>
      <c r="AW907" s="2">
        <v>0</v>
      </c>
      <c r="AX907" s="2" t="s">
        <v>3674</v>
      </c>
      <c r="AY907" s="2" t="s">
        <v>83</v>
      </c>
      <c r="AZ907" s="4">
        <v>43088</v>
      </c>
      <c r="BA907" s="5">
        <v>3.125E-2</v>
      </c>
      <c r="BB907" s="2">
        <v>2017</v>
      </c>
      <c r="BC907" s="2" t="s">
        <v>357</v>
      </c>
      <c r="BD907" s="2">
        <v>19</v>
      </c>
      <c r="BE907" s="4">
        <v>43092</v>
      </c>
      <c r="BF907" s="5">
        <v>3.125E-2</v>
      </c>
      <c r="BG907" s="2" t="str" cm="1">
        <f t="array" ref="BG907">_xlfn.IFS(BF907&lt;TIMEVALUE("06:00"),"Night", BF907&gt;=TIMEVALUE("21:00"),"Night",BF907&gt;=TIMEVALUE("17:00"),"Evening",BF907&gt;=TIMEVALUE("12:00"),"Afternoon", BF907&gt;=TIMEVALUE("06:00"),"Morning")</f>
        <v>Night</v>
      </c>
      <c r="BH907" s="2">
        <v>2017</v>
      </c>
      <c r="BI907" s="2" t="s">
        <v>357</v>
      </c>
      <c r="BJ907" s="2">
        <v>23</v>
      </c>
    </row>
    <row r="908" spans="1:62" x14ac:dyDescent="0.3">
      <c r="A908" s="2" t="s">
        <v>62</v>
      </c>
      <c r="B908" s="2">
        <v>2</v>
      </c>
      <c r="C908" s="2">
        <v>4</v>
      </c>
      <c r="D908" s="2">
        <v>9.5</v>
      </c>
      <c r="E908" s="2">
        <v>110.49</v>
      </c>
      <c r="F908" s="2" t="s">
        <v>63</v>
      </c>
      <c r="G908" s="2" t="s">
        <v>64</v>
      </c>
      <c r="H908" s="2">
        <v>18</v>
      </c>
      <c r="I908" s="2" t="s">
        <v>863</v>
      </c>
      <c r="J908" s="2" t="s">
        <v>3675</v>
      </c>
      <c r="K908" s="2" t="s">
        <v>102</v>
      </c>
      <c r="L908" s="2" t="s">
        <v>1913</v>
      </c>
      <c r="M908" s="2">
        <v>822</v>
      </c>
      <c r="N908" s="2" t="s">
        <v>425</v>
      </c>
      <c r="O908" s="2" t="s">
        <v>124</v>
      </c>
      <c r="P908" s="2" t="s">
        <v>105</v>
      </c>
      <c r="Q908" s="2" t="s">
        <v>3676</v>
      </c>
      <c r="R908" s="2">
        <v>91748</v>
      </c>
      <c r="S908" s="2">
        <v>4</v>
      </c>
      <c r="T908" s="2" t="s">
        <v>417</v>
      </c>
      <c r="U908" s="2">
        <v>33.990207699999999</v>
      </c>
      <c r="V908" s="2">
        <v>-117.92623140000001</v>
      </c>
      <c r="W908" s="2" t="s">
        <v>74</v>
      </c>
      <c r="X908" s="2" t="s">
        <v>3677</v>
      </c>
      <c r="Y908" s="2" t="s">
        <v>1512</v>
      </c>
      <c r="Z908" s="2">
        <v>822</v>
      </c>
      <c r="AA908" s="3">
        <v>42887.672222222223</v>
      </c>
      <c r="AB908" s="2">
        <v>50466</v>
      </c>
      <c r="AC908" s="2">
        <v>403</v>
      </c>
      <c r="AD908" s="2">
        <v>19.5</v>
      </c>
      <c r="AE908" s="2">
        <v>0.15</v>
      </c>
      <c r="AF908" s="2" t="str" cm="1">
        <f t="array" ref="AF908">_xlfn.IFS(AE908=0, "No Discount ", AE908&lt;=0.08,"Low Discount", AE908&lt;=0.16,"Medium Discount", AE908&gt;0.16, "High Discount")</f>
        <v>Medium Discount</v>
      </c>
      <c r="AG908" s="2">
        <v>126101</v>
      </c>
      <c r="AH908" s="2">
        <v>129.99</v>
      </c>
      <c r="AI908" s="2">
        <v>0.09</v>
      </c>
      <c r="AJ908" s="2" t="str" cm="1">
        <f t="array" ref="AJ908">_xlfn.IFS(AI908&lt;=0, "No Profit", AI908&lt;=0.16,"Low Profit",AI908&lt;=0.32,"Medium Profit",AI908&gt;0.32,"High Profit")</f>
        <v>Low Profit</v>
      </c>
      <c r="AK908" s="2">
        <v>1</v>
      </c>
      <c r="AL908" s="2">
        <v>129.99</v>
      </c>
      <c r="AM908" s="2">
        <v>110.49</v>
      </c>
      <c r="AN908" s="2">
        <v>9.5</v>
      </c>
      <c r="AO908" s="2" t="s">
        <v>95</v>
      </c>
      <c r="AP908" s="2" t="s">
        <v>3678</v>
      </c>
      <c r="AQ908" s="2" t="s">
        <v>80</v>
      </c>
      <c r="AR908" s="2" t="s">
        <v>81</v>
      </c>
      <c r="AS908" s="2">
        <v>403</v>
      </c>
      <c r="AT908" s="2">
        <v>18</v>
      </c>
      <c r="AU908" s="2" t="s">
        <v>869</v>
      </c>
      <c r="AV908" s="2">
        <v>129.99</v>
      </c>
      <c r="AW908" s="2">
        <v>0</v>
      </c>
      <c r="AX908" s="3">
        <v>42948.672222222223</v>
      </c>
      <c r="AY908" s="2" t="s">
        <v>83</v>
      </c>
      <c r="AZ908" s="4">
        <v>42887</v>
      </c>
      <c r="BA908" s="5">
        <v>0.67222222222222228</v>
      </c>
      <c r="BB908" s="2">
        <v>2017</v>
      </c>
      <c r="BC908" s="2" t="s">
        <v>474</v>
      </c>
      <c r="BD908" s="2">
        <v>1</v>
      </c>
      <c r="BE908" s="4">
        <v>42948</v>
      </c>
      <c r="BF908" s="5">
        <v>0.67222222222222228</v>
      </c>
      <c r="BG908" s="2" t="str" cm="1">
        <f t="array" ref="BG908">_xlfn.IFS(BF908&lt;TIMEVALUE("06:00"),"Night", BF908&gt;=TIMEVALUE("21:00"),"Night",BF908&gt;=TIMEVALUE("17:00"),"Evening",BF908&gt;=TIMEVALUE("12:00"),"Afternoon", BF908&gt;=TIMEVALUE("06:00"),"Morning")</f>
        <v>Afternoon</v>
      </c>
      <c r="BH908" s="2">
        <v>2017</v>
      </c>
      <c r="BI908" s="2" t="s">
        <v>482</v>
      </c>
      <c r="BJ908" s="2">
        <v>1</v>
      </c>
    </row>
    <row r="909" spans="1:62" x14ac:dyDescent="0.3">
      <c r="A909" s="2" t="s">
        <v>62</v>
      </c>
      <c r="B909" s="2">
        <v>3</v>
      </c>
      <c r="C909" s="2">
        <v>4</v>
      </c>
      <c r="D909" s="2">
        <v>53.04</v>
      </c>
      <c r="E909" s="2">
        <v>110.49</v>
      </c>
      <c r="F909" s="2" t="s">
        <v>63</v>
      </c>
      <c r="G909" s="2" t="s">
        <v>64</v>
      </c>
      <c r="H909" s="2">
        <v>18</v>
      </c>
      <c r="I909" s="2" t="s">
        <v>863</v>
      </c>
      <c r="J909" s="2" t="s">
        <v>1222</v>
      </c>
      <c r="K909" s="2" t="s">
        <v>102</v>
      </c>
      <c r="L909" s="2" t="s">
        <v>3139</v>
      </c>
      <c r="M909" s="2">
        <v>6376</v>
      </c>
      <c r="N909" s="2" t="s">
        <v>571</v>
      </c>
      <c r="O909" s="2" t="s">
        <v>124</v>
      </c>
      <c r="P909" s="2" t="s">
        <v>133</v>
      </c>
      <c r="Q909" s="2" t="s">
        <v>3679</v>
      </c>
      <c r="R909" s="2">
        <v>14120</v>
      </c>
      <c r="S909" s="2">
        <v>4</v>
      </c>
      <c r="T909" s="2" t="s">
        <v>417</v>
      </c>
      <c r="U909" s="2">
        <v>43.029102299999998</v>
      </c>
      <c r="V909" s="2">
        <v>-78.873420699999997</v>
      </c>
      <c r="W909" s="2" t="s">
        <v>74</v>
      </c>
      <c r="X909" s="2" t="s">
        <v>3680</v>
      </c>
      <c r="Y909" s="2" t="s">
        <v>1512</v>
      </c>
      <c r="Z909" s="2">
        <v>6376</v>
      </c>
      <c r="AA909" s="3">
        <v>42856.372916666667</v>
      </c>
      <c r="AB909" s="2">
        <v>50377</v>
      </c>
      <c r="AC909" s="2">
        <v>403</v>
      </c>
      <c r="AD909" s="2">
        <v>19.5</v>
      </c>
      <c r="AE909" s="2">
        <v>0.15</v>
      </c>
      <c r="AF909" s="2" t="str" cm="1">
        <f t="array" ref="AF909">_xlfn.IFS(AE909=0, "No Discount ", AE909&lt;=0.08,"Low Discount", AE909&lt;=0.16,"Medium Discount", AE909&gt;0.16, "High Discount")</f>
        <v>Medium Discount</v>
      </c>
      <c r="AG909" s="2">
        <v>125882</v>
      </c>
      <c r="AH909" s="2">
        <v>129.99</v>
      </c>
      <c r="AI909" s="2">
        <v>0.48</v>
      </c>
      <c r="AJ909" s="2" t="str" cm="1">
        <f t="array" ref="AJ909">_xlfn.IFS(AI909&lt;=0, "No Profit", AI909&lt;=0.16,"Low Profit",AI909&lt;=0.32,"Medium Profit",AI909&gt;0.32,"High Profit")</f>
        <v>High Profit</v>
      </c>
      <c r="AK909" s="2">
        <v>1</v>
      </c>
      <c r="AL909" s="2">
        <v>129.99</v>
      </c>
      <c r="AM909" s="2">
        <v>110.49</v>
      </c>
      <c r="AN909" s="2">
        <v>53.04</v>
      </c>
      <c r="AO909" s="2" t="s">
        <v>95</v>
      </c>
      <c r="AP909" s="2" t="s">
        <v>3681</v>
      </c>
      <c r="AQ909" s="2" t="s">
        <v>80</v>
      </c>
      <c r="AR909" s="2" t="s">
        <v>81</v>
      </c>
      <c r="AS909" s="2">
        <v>403</v>
      </c>
      <c r="AT909" s="2">
        <v>18</v>
      </c>
      <c r="AU909" s="2" t="s">
        <v>869</v>
      </c>
      <c r="AV909" s="2">
        <v>129.99</v>
      </c>
      <c r="AW909" s="2">
        <v>0</v>
      </c>
      <c r="AX909" s="3">
        <v>42948.372916666667</v>
      </c>
      <c r="AY909" s="2" t="s">
        <v>83</v>
      </c>
      <c r="AZ909" s="4">
        <v>42856</v>
      </c>
      <c r="BA909" s="5">
        <v>0.37291666666666667</v>
      </c>
      <c r="BB909" s="2">
        <v>2017</v>
      </c>
      <c r="BC909" s="2" t="s">
        <v>443</v>
      </c>
      <c r="BD909" s="2">
        <v>1</v>
      </c>
      <c r="BE909" s="4">
        <v>42948</v>
      </c>
      <c r="BF909" s="5">
        <v>0.37291666666666667</v>
      </c>
      <c r="BG909" s="2" t="str" cm="1">
        <f t="array" ref="BG909">_xlfn.IFS(BF909&lt;TIMEVALUE("06:00"),"Night", BF909&gt;=TIMEVALUE("21:00"),"Night",BF909&gt;=TIMEVALUE("17:00"),"Evening",BF909&gt;=TIMEVALUE("12:00"),"Afternoon", BF909&gt;=TIMEVALUE("06:00"),"Morning")</f>
        <v>Morning</v>
      </c>
      <c r="BH909" s="2">
        <v>2017</v>
      </c>
      <c r="BI909" s="2" t="s">
        <v>482</v>
      </c>
      <c r="BJ909" s="2">
        <v>1</v>
      </c>
    </row>
    <row r="910" spans="1:62" x14ac:dyDescent="0.3">
      <c r="A910" s="2" t="s">
        <v>62</v>
      </c>
      <c r="B910" s="2">
        <v>6</v>
      </c>
      <c r="C910" s="2">
        <v>4</v>
      </c>
      <c r="D910" s="2">
        <v>153.77000000000001</v>
      </c>
      <c r="E910" s="2">
        <v>454.95</v>
      </c>
      <c r="F910" s="2" t="s">
        <v>87</v>
      </c>
      <c r="G910" s="2" t="s">
        <v>88</v>
      </c>
      <c r="H910" s="2">
        <v>9</v>
      </c>
      <c r="I910" s="2" t="s">
        <v>496</v>
      </c>
      <c r="J910" s="2" t="s">
        <v>3682</v>
      </c>
      <c r="K910" s="2" t="s">
        <v>102</v>
      </c>
      <c r="L910" s="2" t="s">
        <v>414</v>
      </c>
      <c r="M910" s="2">
        <v>9557</v>
      </c>
      <c r="N910" s="2" t="s">
        <v>3683</v>
      </c>
      <c r="O910" s="2" t="s">
        <v>70</v>
      </c>
      <c r="P910" s="2" t="s">
        <v>105</v>
      </c>
      <c r="Q910" s="2" t="s">
        <v>3684</v>
      </c>
      <c r="R910" s="2">
        <v>90247</v>
      </c>
      <c r="S910" s="2">
        <v>3</v>
      </c>
      <c r="T910" s="2" t="s">
        <v>466</v>
      </c>
      <c r="U910" s="2">
        <v>33.891647300000002</v>
      </c>
      <c r="V910" s="2">
        <v>-118.299408</v>
      </c>
      <c r="W910" s="2" t="s">
        <v>528</v>
      </c>
      <c r="X910" s="2" t="s">
        <v>3685</v>
      </c>
      <c r="Y910" s="2" t="s">
        <v>530</v>
      </c>
      <c r="Z910" s="2">
        <v>9557</v>
      </c>
      <c r="AA910" s="2" t="s">
        <v>3686</v>
      </c>
      <c r="AB910" s="2">
        <v>61855</v>
      </c>
      <c r="AC910" s="2">
        <v>191</v>
      </c>
      <c r="AD910" s="2">
        <v>45</v>
      </c>
      <c r="AE910" s="2">
        <v>0.09</v>
      </c>
      <c r="AF910" s="2" t="str" cm="1">
        <f t="array" ref="AF910">_xlfn.IFS(AE910=0, "No Discount ", AE910&lt;=0.08,"Low Discount", AE910&lt;=0.16,"Medium Discount", AE910&gt;0.16, "High Discount")</f>
        <v>Medium Discount</v>
      </c>
      <c r="AG910" s="2">
        <v>154619</v>
      </c>
      <c r="AH910" s="2">
        <v>99.99</v>
      </c>
      <c r="AI910" s="2">
        <v>0.34</v>
      </c>
      <c r="AJ910" s="2" t="str" cm="1">
        <f t="array" ref="AJ910">_xlfn.IFS(AI910&lt;=0, "No Profit", AI910&lt;=0.16,"Low Profit",AI910&lt;=0.32,"Medium Profit",AI910&gt;0.32,"High Profit")</f>
        <v>High Profit</v>
      </c>
      <c r="AK910" s="2">
        <v>5</v>
      </c>
      <c r="AL910" s="2">
        <v>499.95</v>
      </c>
      <c r="AM910" s="2">
        <v>454.95</v>
      </c>
      <c r="AN910" s="2">
        <v>153.77000000000001</v>
      </c>
      <c r="AO910" s="2" t="s">
        <v>531</v>
      </c>
      <c r="AP910" s="2" t="s">
        <v>532</v>
      </c>
      <c r="AQ910" s="2" t="s">
        <v>80</v>
      </c>
      <c r="AR910" s="2" t="s">
        <v>81</v>
      </c>
      <c r="AS910" s="2">
        <v>191</v>
      </c>
      <c r="AT910" s="2">
        <v>9</v>
      </c>
      <c r="AU910" s="2" t="s">
        <v>505</v>
      </c>
      <c r="AV910" s="2">
        <v>99.99</v>
      </c>
      <c r="AW910" s="2">
        <v>0</v>
      </c>
      <c r="AX910" s="2" t="s">
        <v>3687</v>
      </c>
      <c r="AY910" s="2" t="s">
        <v>83</v>
      </c>
      <c r="AZ910" s="4">
        <v>42907</v>
      </c>
      <c r="BA910" s="5">
        <v>0.92500000000000004</v>
      </c>
      <c r="BB910" s="2">
        <v>2017</v>
      </c>
      <c r="BC910" s="2" t="s">
        <v>474</v>
      </c>
      <c r="BD910" s="2">
        <v>21</v>
      </c>
      <c r="BE910" s="4">
        <v>42913</v>
      </c>
      <c r="BF910" s="5">
        <v>0.92500000000000004</v>
      </c>
      <c r="BG910" s="2" t="str" cm="1">
        <f t="array" ref="BG910">_xlfn.IFS(BF910&lt;TIMEVALUE("06:00"),"Night", BF910&gt;=TIMEVALUE("21:00"),"Night",BF910&gt;=TIMEVALUE("17:00"),"Evening",BF910&gt;=TIMEVALUE("12:00"),"Afternoon", BF910&gt;=TIMEVALUE("06:00"),"Morning")</f>
        <v>Night</v>
      </c>
      <c r="BH910" s="2">
        <v>2017</v>
      </c>
      <c r="BI910" s="2" t="s">
        <v>474</v>
      </c>
      <c r="BJ910" s="2">
        <v>27</v>
      </c>
    </row>
    <row r="911" spans="1:62" x14ac:dyDescent="0.3">
      <c r="A911" s="2" t="s">
        <v>62</v>
      </c>
      <c r="B911" s="2">
        <v>6</v>
      </c>
      <c r="C911" s="2">
        <v>4</v>
      </c>
      <c r="D911" s="2">
        <v>224.98</v>
      </c>
      <c r="E911" s="2">
        <v>449.96</v>
      </c>
      <c r="F911" s="2" t="s">
        <v>87</v>
      </c>
      <c r="G911" s="2" t="s">
        <v>88</v>
      </c>
      <c r="H911" s="2">
        <v>9</v>
      </c>
      <c r="I911" s="2" t="s">
        <v>496</v>
      </c>
      <c r="J911" s="2" t="s">
        <v>1682</v>
      </c>
      <c r="K911" s="2" t="s">
        <v>102</v>
      </c>
      <c r="L911" s="2" t="s">
        <v>414</v>
      </c>
      <c r="M911" s="2">
        <v>11397</v>
      </c>
      <c r="N911" s="2" t="s">
        <v>3688</v>
      </c>
      <c r="O911" s="2" t="s">
        <v>70</v>
      </c>
      <c r="P911" s="2" t="s">
        <v>152</v>
      </c>
      <c r="Q911" s="2" t="s">
        <v>3689</v>
      </c>
      <c r="R911" s="2">
        <v>32308</v>
      </c>
      <c r="S911" s="2">
        <v>3</v>
      </c>
      <c r="T911" s="2" t="s">
        <v>466</v>
      </c>
      <c r="U911" s="2">
        <v>30.4950619</v>
      </c>
      <c r="V911" s="2">
        <v>-84.245803800000004</v>
      </c>
      <c r="W911" s="2" t="s">
        <v>528</v>
      </c>
      <c r="X911" s="2" t="s">
        <v>946</v>
      </c>
      <c r="Y911" s="2" t="s">
        <v>557</v>
      </c>
      <c r="Z911" s="2">
        <v>11397</v>
      </c>
      <c r="AA911" s="3">
        <v>43048.088194444441</v>
      </c>
      <c r="AB911" s="2">
        <v>67415</v>
      </c>
      <c r="AC911" s="2">
        <v>191</v>
      </c>
      <c r="AD911" s="2">
        <v>50</v>
      </c>
      <c r="AE911" s="2">
        <v>0.1</v>
      </c>
      <c r="AF911" s="2" t="str" cm="1">
        <f t="array" ref="AF911">_xlfn.IFS(AE911=0, "No Discount ", AE911&lt;=0.08,"Low Discount", AE911&lt;=0.16,"Medium Discount", AE911&gt;0.16, "High Discount")</f>
        <v>Medium Discount</v>
      </c>
      <c r="AG911" s="2">
        <v>168511</v>
      </c>
      <c r="AH911" s="2">
        <v>99.99</v>
      </c>
      <c r="AI911" s="2">
        <v>0.5</v>
      </c>
      <c r="AJ911" s="2" t="str" cm="1">
        <f t="array" ref="AJ911">_xlfn.IFS(AI911&lt;=0, "No Profit", AI911&lt;=0.16,"Low Profit",AI911&lt;=0.32,"Medium Profit",AI911&gt;0.32,"High Profit")</f>
        <v>High Profit</v>
      </c>
      <c r="AK911" s="2">
        <v>5</v>
      </c>
      <c r="AL911" s="2">
        <v>499.95</v>
      </c>
      <c r="AM911" s="2">
        <v>449.96</v>
      </c>
      <c r="AN911" s="2">
        <v>224.98</v>
      </c>
      <c r="AO911" s="2" t="s">
        <v>558</v>
      </c>
      <c r="AP911" s="2" t="s">
        <v>559</v>
      </c>
      <c r="AQ911" s="2" t="s">
        <v>80</v>
      </c>
      <c r="AR911" s="2" t="s">
        <v>81</v>
      </c>
      <c r="AS911" s="2">
        <v>191</v>
      </c>
      <c r="AT911" s="2">
        <v>9</v>
      </c>
      <c r="AU911" s="2" t="s">
        <v>505</v>
      </c>
      <c r="AV911" s="2">
        <v>99.99</v>
      </c>
      <c r="AW911" s="2">
        <v>0</v>
      </c>
      <c r="AX911" s="2" t="s">
        <v>3690</v>
      </c>
      <c r="AY911" s="2" t="s">
        <v>83</v>
      </c>
      <c r="AZ911" s="4">
        <v>43048</v>
      </c>
      <c r="BA911" s="5">
        <v>8.819444444444445E-2</v>
      </c>
      <c r="BB911" s="2">
        <v>2017</v>
      </c>
      <c r="BC911" s="2" t="s">
        <v>455</v>
      </c>
      <c r="BD911" s="2">
        <v>9</v>
      </c>
      <c r="BE911" s="4">
        <v>42995</v>
      </c>
      <c r="BF911" s="5">
        <v>8.819444444444445E-2</v>
      </c>
      <c r="BG911" s="2" t="str" cm="1">
        <f t="array" ref="BG911">_xlfn.IFS(BF911&lt;TIMEVALUE("06:00"),"Night", BF911&gt;=TIMEVALUE("21:00"),"Night",BF911&gt;=TIMEVALUE("17:00"),"Evening",BF911&gt;=TIMEVALUE("12:00"),"Afternoon", BF911&gt;=TIMEVALUE("06:00"),"Morning")</f>
        <v>Night</v>
      </c>
      <c r="BH911" s="2">
        <v>2017</v>
      </c>
      <c r="BI911" s="2" t="s">
        <v>552</v>
      </c>
      <c r="BJ911" s="2">
        <v>17</v>
      </c>
    </row>
    <row r="912" spans="1:62" x14ac:dyDescent="0.3">
      <c r="A912" s="2" t="s">
        <v>62</v>
      </c>
      <c r="B912" s="2">
        <v>5</v>
      </c>
      <c r="C912" s="2">
        <v>4</v>
      </c>
      <c r="D912" s="2">
        <v>-314.97000000000003</v>
      </c>
      <c r="E912" s="2">
        <v>449.96</v>
      </c>
      <c r="F912" s="2" t="s">
        <v>87</v>
      </c>
      <c r="G912" s="2" t="s">
        <v>88</v>
      </c>
      <c r="H912" s="2">
        <v>9</v>
      </c>
      <c r="I912" s="2" t="s">
        <v>496</v>
      </c>
      <c r="J912" s="2" t="s">
        <v>3691</v>
      </c>
      <c r="K912" s="2" t="s">
        <v>102</v>
      </c>
      <c r="L912" s="2" t="s">
        <v>414</v>
      </c>
      <c r="M912" s="2">
        <v>6999</v>
      </c>
      <c r="N912" s="2" t="s">
        <v>3692</v>
      </c>
      <c r="O912" s="2" t="s">
        <v>70</v>
      </c>
      <c r="P912" s="2" t="s">
        <v>234</v>
      </c>
      <c r="Q912" s="2" t="s">
        <v>3693</v>
      </c>
      <c r="R912" s="2">
        <v>60804</v>
      </c>
      <c r="S912" s="2">
        <v>3</v>
      </c>
      <c r="T912" s="2" t="s">
        <v>466</v>
      </c>
      <c r="U912" s="2">
        <v>41.860199000000001</v>
      </c>
      <c r="V912" s="2">
        <v>-87.767471299999997</v>
      </c>
      <c r="W912" s="2" t="s">
        <v>528</v>
      </c>
      <c r="X912" s="2" t="s">
        <v>2689</v>
      </c>
      <c r="Y912" s="2" t="s">
        <v>2690</v>
      </c>
      <c r="Z912" s="2">
        <v>6999</v>
      </c>
      <c r="AA912" s="3">
        <v>42775.022916666669</v>
      </c>
      <c r="AB912" s="2">
        <v>66794</v>
      </c>
      <c r="AC912" s="2">
        <v>191</v>
      </c>
      <c r="AD912" s="2">
        <v>50</v>
      </c>
      <c r="AE912" s="2">
        <v>0.1</v>
      </c>
      <c r="AF912" s="2" t="str" cm="1">
        <f t="array" ref="AF912">_xlfn.IFS(AE912=0, "No Discount ", AE912&lt;=0.08,"Low Discount", AE912&lt;=0.16,"Medium Discount", AE912&gt;0.16, "High Discount")</f>
        <v>Medium Discount</v>
      </c>
      <c r="AG912" s="2">
        <v>166962</v>
      </c>
      <c r="AH912" s="2">
        <v>99.99</v>
      </c>
      <c r="AI912" s="2">
        <v>-0.7</v>
      </c>
      <c r="AJ912" s="2" t="str" cm="1">
        <f t="array" ref="AJ912">_xlfn.IFS(AI912&lt;=0, "No Profit", AI912&lt;=0.16,"Low Profit",AI912&lt;=0.32,"Medium Profit",AI912&gt;0.32,"High Profit")</f>
        <v>No Profit</v>
      </c>
      <c r="AK912" s="2">
        <v>5</v>
      </c>
      <c r="AL912" s="2">
        <v>499.95</v>
      </c>
      <c r="AM912" s="2">
        <v>449.96</v>
      </c>
      <c r="AN912" s="2">
        <v>-314.97000000000003</v>
      </c>
      <c r="AO912" s="2" t="s">
        <v>558</v>
      </c>
      <c r="AP912" s="2" t="s">
        <v>2689</v>
      </c>
      <c r="AQ912" s="2" t="s">
        <v>80</v>
      </c>
      <c r="AR912" s="2" t="s">
        <v>81</v>
      </c>
      <c r="AS912" s="2">
        <v>191</v>
      </c>
      <c r="AT912" s="2">
        <v>9</v>
      </c>
      <c r="AU912" s="2" t="s">
        <v>505</v>
      </c>
      <c r="AV912" s="2">
        <v>99.99</v>
      </c>
      <c r="AW912" s="2">
        <v>0</v>
      </c>
      <c r="AX912" s="3">
        <v>42925.022916666669</v>
      </c>
      <c r="AY912" s="2" t="s">
        <v>83</v>
      </c>
      <c r="AZ912" s="4">
        <v>42775</v>
      </c>
      <c r="BA912" s="5">
        <v>2.2916666666666665E-2</v>
      </c>
      <c r="BB912" s="2">
        <v>2017</v>
      </c>
      <c r="BC912" s="2" t="s">
        <v>423</v>
      </c>
      <c r="BD912" s="2">
        <v>9</v>
      </c>
      <c r="BE912" s="4">
        <v>42925</v>
      </c>
      <c r="BF912" s="5">
        <v>2.2916666666666665E-2</v>
      </c>
      <c r="BG912" s="2" t="str" cm="1">
        <f t="array" ref="BG912">_xlfn.IFS(BF912&lt;TIMEVALUE("06:00"),"Night", BF912&gt;=TIMEVALUE("21:00"),"Night",BF912&gt;=TIMEVALUE("17:00"),"Evening",BF912&gt;=TIMEVALUE("12:00"),"Afternoon", BF912&gt;=TIMEVALUE("06:00"),"Morning")</f>
        <v>Night</v>
      </c>
      <c r="BH912" s="2">
        <v>2017</v>
      </c>
      <c r="BI912" s="2" t="s">
        <v>533</v>
      </c>
      <c r="BJ912" s="2">
        <v>9</v>
      </c>
    </row>
    <row r="913" spans="1:62" x14ac:dyDescent="0.3">
      <c r="A913" s="2" t="s">
        <v>62</v>
      </c>
      <c r="B913" s="2">
        <v>3</v>
      </c>
      <c r="C913" s="2">
        <v>4</v>
      </c>
      <c r="D913" s="2">
        <v>101.24</v>
      </c>
      <c r="E913" s="2">
        <v>449.96</v>
      </c>
      <c r="F913" s="2" t="s">
        <v>63</v>
      </c>
      <c r="G913" s="2" t="s">
        <v>64</v>
      </c>
      <c r="H913" s="2">
        <v>9</v>
      </c>
      <c r="I913" s="2" t="s">
        <v>496</v>
      </c>
      <c r="J913" s="2" t="s">
        <v>782</v>
      </c>
      <c r="K913" s="2" t="s">
        <v>102</v>
      </c>
      <c r="L913" s="2" t="s">
        <v>414</v>
      </c>
      <c r="M913" s="2">
        <v>10534</v>
      </c>
      <c r="N913" s="2" t="s">
        <v>1145</v>
      </c>
      <c r="O913" s="2" t="s">
        <v>70</v>
      </c>
      <c r="P913" s="2" t="s">
        <v>1365</v>
      </c>
      <c r="Q913" s="2" t="s">
        <v>3694</v>
      </c>
      <c r="R913" s="2">
        <v>97405</v>
      </c>
      <c r="S913" s="2">
        <v>3</v>
      </c>
      <c r="T913" s="2" t="s">
        <v>466</v>
      </c>
      <c r="U913" s="2">
        <v>44.026344299999998</v>
      </c>
      <c r="V913" s="2">
        <v>-123.09352869999999</v>
      </c>
      <c r="W913" s="2" t="s">
        <v>528</v>
      </c>
      <c r="X913" s="2" t="s">
        <v>1077</v>
      </c>
      <c r="Y913" s="2" t="s">
        <v>557</v>
      </c>
      <c r="Z913" s="2">
        <v>10534</v>
      </c>
      <c r="AA913" s="3">
        <v>42347.963194444441</v>
      </c>
      <c r="AB913" s="2">
        <v>17467</v>
      </c>
      <c r="AC913" s="2">
        <v>191</v>
      </c>
      <c r="AD913" s="2">
        <v>50</v>
      </c>
      <c r="AE913" s="2">
        <v>0.1</v>
      </c>
      <c r="AF913" s="2" t="str" cm="1">
        <f t="array" ref="AF913">_xlfn.IFS(AE913=0, "No Discount ", AE913&lt;=0.08,"Low Discount", AE913&lt;=0.16,"Medium Discount", AE913&gt;0.16, "High Discount")</f>
        <v>Medium Discount</v>
      </c>
      <c r="AG913" s="2">
        <v>43664</v>
      </c>
      <c r="AH913" s="2">
        <v>99.99</v>
      </c>
      <c r="AI913" s="2">
        <v>0.23</v>
      </c>
      <c r="AJ913" s="2" t="str" cm="1">
        <f t="array" ref="AJ913">_xlfn.IFS(AI913&lt;=0, "No Profit", AI913&lt;=0.16,"Low Profit",AI913&lt;=0.32,"Medium Profit",AI913&gt;0.32,"High Profit")</f>
        <v>Medium Profit</v>
      </c>
      <c r="AK913" s="2">
        <v>5</v>
      </c>
      <c r="AL913" s="2">
        <v>499.95</v>
      </c>
      <c r="AM913" s="2">
        <v>449.96</v>
      </c>
      <c r="AN913" s="2">
        <v>101.24</v>
      </c>
      <c r="AO913" s="2" t="s">
        <v>558</v>
      </c>
      <c r="AP913" s="2" t="s">
        <v>559</v>
      </c>
      <c r="AQ913" s="2" t="s">
        <v>80</v>
      </c>
      <c r="AR913" s="2" t="s">
        <v>81</v>
      </c>
      <c r="AS913" s="2">
        <v>191</v>
      </c>
      <c r="AT913" s="2">
        <v>9</v>
      </c>
      <c r="AU913" s="2" t="s">
        <v>505</v>
      </c>
      <c r="AV913" s="2">
        <v>99.99</v>
      </c>
      <c r="AW913" s="2">
        <v>0</v>
      </c>
      <c r="AX913" s="2" t="s">
        <v>3695</v>
      </c>
      <c r="AY913" s="2" t="s">
        <v>83</v>
      </c>
      <c r="AZ913" s="4">
        <v>42347</v>
      </c>
      <c r="BA913" s="5">
        <v>0.96319444444444446</v>
      </c>
      <c r="BB913" s="2">
        <v>2015</v>
      </c>
      <c r="BC913" s="2" t="s">
        <v>357</v>
      </c>
      <c r="BD913" s="2">
        <v>9</v>
      </c>
      <c r="BE913" s="4">
        <v>42262</v>
      </c>
      <c r="BF913" s="5">
        <v>0.96319444444444446</v>
      </c>
      <c r="BG913" s="2" t="str" cm="1">
        <f t="array" ref="BG913">_xlfn.IFS(BF913&lt;TIMEVALUE("06:00"),"Night", BF913&gt;=TIMEVALUE("21:00"),"Night",BF913&gt;=TIMEVALUE("17:00"),"Evening",BF913&gt;=TIMEVALUE("12:00"),"Afternoon", BF913&gt;=TIMEVALUE("06:00"),"Morning")</f>
        <v>Night</v>
      </c>
      <c r="BH913" s="2">
        <v>2015</v>
      </c>
      <c r="BI913" s="2" t="s">
        <v>552</v>
      </c>
      <c r="BJ913" s="2">
        <v>15</v>
      </c>
    </row>
    <row r="914" spans="1:62" x14ac:dyDescent="0.3">
      <c r="A914" s="2" t="s">
        <v>62</v>
      </c>
      <c r="B914" s="2">
        <v>5</v>
      </c>
      <c r="C914" s="2">
        <v>4</v>
      </c>
      <c r="D914" s="2">
        <v>121.49</v>
      </c>
      <c r="E914" s="2">
        <v>449.96</v>
      </c>
      <c r="F914" s="2" t="s">
        <v>87</v>
      </c>
      <c r="G914" s="2" t="s">
        <v>88</v>
      </c>
      <c r="H914" s="2">
        <v>9</v>
      </c>
      <c r="I914" s="2" t="s">
        <v>496</v>
      </c>
      <c r="J914" s="2" t="s">
        <v>110</v>
      </c>
      <c r="K914" s="2" t="s">
        <v>102</v>
      </c>
      <c r="L914" s="2" t="s">
        <v>1094</v>
      </c>
      <c r="M914" s="2">
        <v>6815</v>
      </c>
      <c r="N914" s="2" t="s">
        <v>3696</v>
      </c>
      <c r="O914" s="2" t="s">
        <v>70</v>
      </c>
      <c r="P914" s="2" t="s">
        <v>105</v>
      </c>
      <c r="Q914" s="2" t="s">
        <v>3697</v>
      </c>
      <c r="R914" s="2">
        <v>90024</v>
      </c>
      <c r="S914" s="2">
        <v>3</v>
      </c>
      <c r="T914" s="2" t="s">
        <v>466</v>
      </c>
      <c r="U914" s="2">
        <v>34.064350099999999</v>
      </c>
      <c r="V914" s="2">
        <v>-118.437088</v>
      </c>
      <c r="W914" s="2" t="s">
        <v>528</v>
      </c>
      <c r="X914" s="2" t="s">
        <v>3698</v>
      </c>
      <c r="Y914" s="2" t="s">
        <v>904</v>
      </c>
      <c r="Z914" s="2">
        <v>6815</v>
      </c>
      <c r="AA914" s="2" t="s">
        <v>3699</v>
      </c>
      <c r="AB914" s="2">
        <v>16419</v>
      </c>
      <c r="AC914" s="2">
        <v>191</v>
      </c>
      <c r="AD914" s="2">
        <v>50</v>
      </c>
      <c r="AE914" s="2">
        <v>0.1</v>
      </c>
      <c r="AF914" s="2" t="str" cm="1">
        <f t="array" ref="AF914">_xlfn.IFS(AE914=0, "No Discount ", AE914&lt;=0.08,"Low Discount", AE914&lt;=0.16,"Medium Discount", AE914&gt;0.16, "High Discount")</f>
        <v>Medium Discount</v>
      </c>
      <c r="AG914" s="2">
        <v>40995</v>
      </c>
      <c r="AH914" s="2">
        <v>99.99</v>
      </c>
      <c r="AI914" s="2">
        <v>0.27</v>
      </c>
      <c r="AJ914" s="2" t="str" cm="1">
        <f t="array" ref="AJ914">_xlfn.IFS(AI914&lt;=0, "No Profit", AI914&lt;=0.16,"Low Profit",AI914&lt;=0.32,"Medium Profit",AI914&gt;0.32,"High Profit")</f>
        <v>Medium Profit</v>
      </c>
      <c r="AK914" s="2">
        <v>5</v>
      </c>
      <c r="AL914" s="2">
        <v>499.95</v>
      </c>
      <c r="AM914" s="2">
        <v>449.96</v>
      </c>
      <c r="AN914" s="2">
        <v>121.49</v>
      </c>
      <c r="AO914" s="2" t="s">
        <v>905</v>
      </c>
      <c r="AP914" s="2" t="s">
        <v>3700</v>
      </c>
      <c r="AQ914" s="2" t="s">
        <v>80</v>
      </c>
      <c r="AR914" s="2" t="s">
        <v>81</v>
      </c>
      <c r="AS914" s="2">
        <v>191</v>
      </c>
      <c r="AT914" s="2">
        <v>9</v>
      </c>
      <c r="AU914" s="2" t="s">
        <v>505</v>
      </c>
      <c r="AV914" s="2">
        <v>99.99</v>
      </c>
      <c r="AW914" s="2">
        <v>0</v>
      </c>
      <c r="AX914" s="3">
        <v>42044.664583333331</v>
      </c>
      <c r="AY914" s="2" t="s">
        <v>83</v>
      </c>
      <c r="AZ914" s="4">
        <v>42244</v>
      </c>
      <c r="BA914" s="5">
        <v>0.6645833333333333</v>
      </c>
      <c r="BB914" s="2">
        <v>2015</v>
      </c>
      <c r="BC914" s="2" t="s">
        <v>482</v>
      </c>
      <c r="BD914" s="2">
        <v>28</v>
      </c>
      <c r="BE914" s="4">
        <v>42044</v>
      </c>
      <c r="BF914" s="5">
        <v>0.6645833333333333</v>
      </c>
      <c r="BG914" s="2" t="str" cm="1">
        <f t="array" ref="BG914">_xlfn.IFS(BF914&lt;TIMEVALUE("06:00"),"Night", BF914&gt;=TIMEVALUE("21:00"),"Night",BF914&gt;=TIMEVALUE("17:00"),"Evening",BF914&gt;=TIMEVALUE("12:00"),"Afternoon", BF914&gt;=TIMEVALUE("06:00"),"Morning")</f>
        <v>Afternoon</v>
      </c>
      <c r="BH914" s="2">
        <v>2015</v>
      </c>
      <c r="BI914" s="2" t="s">
        <v>423</v>
      </c>
      <c r="BJ914" s="2">
        <v>9</v>
      </c>
    </row>
    <row r="915" spans="1:62" x14ac:dyDescent="0.3">
      <c r="A915" s="2" t="s">
        <v>62</v>
      </c>
      <c r="B915" s="2">
        <v>5</v>
      </c>
      <c r="C915" s="2">
        <v>4</v>
      </c>
      <c r="D915" s="2">
        <v>118.79</v>
      </c>
      <c r="E915" s="2">
        <v>439.96</v>
      </c>
      <c r="F915" s="2" t="s">
        <v>87</v>
      </c>
      <c r="G915" s="2" t="s">
        <v>88</v>
      </c>
      <c r="H915" s="2">
        <v>9</v>
      </c>
      <c r="I915" s="2" t="s">
        <v>496</v>
      </c>
      <c r="J915" s="2" t="s">
        <v>2347</v>
      </c>
      <c r="K915" s="2" t="s">
        <v>102</v>
      </c>
      <c r="L915" s="2" t="s">
        <v>2372</v>
      </c>
      <c r="M915" s="2">
        <v>2269</v>
      </c>
      <c r="N915" s="2" t="s">
        <v>3701</v>
      </c>
      <c r="O915" s="2" t="s">
        <v>70</v>
      </c>
      <c r="P915" s="2" t="s">
        <v>105</v>
      </c>
      <c r="Q915" s="2" t="s">
        <v>3702</v>
      </c>
      <c r="R915" s="2">
        <v>92504</v>
      </c>
      <c r="S915" s="2">
        <v>3</v>
      </c>
      <c r="T915" s="2" t="s">
        <v>466</v>
      </c>
      <c r="U915" s="2">
        <v>33.936424299999999</v>
      </c>
      <c r="V915" s="2">
        <v>-117.4205856</v>
      </c>
      <c r="W915" s="2" t="s">
        <v>528</v>
      </c>
      <c r="X915" s="2" t="s">
        <v>3703</v>
      </c>
      <c r="Y915" s="2" t="s">
        <v>536</v>
      </c>
      <c r="Z915" s="2">
        <v>2269</v>
      </c>
      <c r="AA915" s="3">
        <v>43016.469444444447</v>
      </c>
      <c r="AB915" s="2">
        <v>65249</v>
      </c>
      <c r="AC915" s="2">
        <v>191</v>
      </c>
      <c r="AD915" s="2">
        <v>59.99</v>
      </c>
      <c r="AE915" s="2">
        <v>0.12</v>
      </c>
      <c r="AF915" s="2" t="str" cm="1">
        <f t="array" ref="AF915">_xlfn.IFS(AE915=0, "No Discount ", AE915&lt;=0.08,"Low Discount", AE915&lt;=0.16,"Medium Discount", AE915&gt;0.16, "High Discount")</f>
        <v>Medium Discount</v>
      </c>
      <c r="AG915" s="2">
        <v>163057</v>
      </c>
      <c r="AH915" s="2">
        <v>99.99</v>
      </c>
      <c r="AI915" s="2">
        <v>0.27</v>
      </c>
      <c r="AJ915" s="2" t="str" cm="1">
        <f t="array" ref="AJ915">_xlfn.IFS(AI915&lt;=0, "No Profit", AI915&lt;=0.16,"Low Profit",AI915&lt;=0.32,"Medium Profit",AI915&gt;0.32,"High Profit")</f>
        <v>Medium Profit</v>
      </c>
      <c r="AK915" s="2">
        <v>5</v>
      </c>
      <c r="AL915" s="2">
        <v>499.95</v>
      </c>
      <c r="AM915" s="2">
        <v>439.96</v>
      </c>
      <c r="AN915" s="2">
        <v>118.79</v>
      </c>
      <c r="AO915" s="2" t="s">
        <v>531</v>
      </c>
      <c r="AP915" s="2" t="s">
        <v>1708</v>
      </c>
      <c r="AQ915" s="2" t="s">
        <v>80</v>
      </c>
      <c r="AR915" s="2" t="s">
        <v>81</v>
      </c>
      <c r="AS915" s="2">
        <v>191</v>
      </c>
      <c r="AT915" s="2">
        <v>9</v>
      </c>
      <c r="AU915" s="2" t="s">
        <v>505</v>
      </c>
      <c r="AV915" s="2">
        <v>99.99</v>
      </c>
      <c r="AW915" s="2">
        <v>0</v>
      </c>
      <c r="AX915" s="2" t="s">
        <v>3704</v>
      </c>
      <c r="AY915" s="2" t="s">
        <v>83</v>
      </c>
      <c r="AZ915" s="4">
        <v>43016</v>
      </c>
      <c r="BA915" s="5">
        <v>0.46944444444444444</v>
      </c>
      <c r="BB915" s="2">
        <v>2017</v>
      </c>
      <c r="BC915" s="2" t="s">
        <v>434</v>
      </c>
      <c r="BD915" s="2">
        <v>8</v>
      </c>
      <c r="BE915" s="4">
        <v>42962</v>
      </c>
      <c r="BF915" s="5">
        <v>0.46944444444444444</v>
      </c>
      <c r="BG915" s="2" t="str" cm="1">
        <f t="array" ref="BG915">_xlfn.IFS(BF915&lt;TIMEVALUE("06:00"),"Night", BF915&gt;=TIMEVALUE("21:00"),"Night",BF915&gt;=TIMEVALUE("17:00"),"Evening",BF915&gt;=TIMEVALUE("12:00"),"Afternoon", BF915&gt;=TIMEVALUE("06:00"),"Morning")</f>
        <v>Morning</v>
      </c>
      <c r="BH915" s="2">
        <v>2017</v>
      </c>
      <c r="BI915" s="2" t="s">
        <v>482</v>
      </c>
      <c r="BJ915" s="2">
        <v>15</v>
      </c>
    </row>
    <row r="916" spans="1:62" x14ac:dyDescent="0.3">
      <c r="A916" s="2" t="s">
        <v>62</v>
      </c>
      <c r="B916" s="2">
        <v>5</v>
      </c>
      <c r="C916" s="2">
        <v>4</v>
      </c>
      <c r="D916" s="2">
        <v>49.15</v>
      </c>
      <c r="E916" s="2">
        <v>434.96</v>
      </c>
      <c r="F916" s="2" t="s">
        <v>87</v>
      </c>
      <c r="G916" s="2" t="s">
        <v>88</v>
      </c>
      <c r="H916" s="2">
        <v>9</v>
      </c>
      <c r="I916" s="2" t="s">
        <v>496</v>
      </c>
      <c r="J916" s="2" t="s">
        <v>3705</v>
      </c>
      <c r="K916" s="2" t="s">
        <v>102</v>
      </c>
      <c r="L916" s="2" t="s">
        <v>1326</v>
      </c>
      <c r="M916" s="2">
        <v>10708</v>
      </c>
      <c r="N916" s="2" t="s">
        <v>425</v>
      </c>
      <c r="O916" s="2" t="s">
        <v>70</v>
      </c>
      <c r="P916" s="2" t="s">
        <v>1322</v>
      </c>
      <c r="Q916" s="2" t="s">
        <v>3706</v>
      </c>
      <c r="R916" s="2">
        <v>27203</v>
      </c>
      <c r="S916" s="2">
        <v>3</v>
      </c>
      <c r="T916" s="2" t="s">
        <v>466</v>
      </c>
      <c r="U916" s="2">
        <v>35.701114699999998</v>
      </c>
      <c r="V916" s="2">
        <v>-79.820251499999998</v>
      </c>
      <c r="W916" s="2" t="s">
        <v>528</v>
      </c>
      <c r="X916" s="2" t="s">
        <v>1081</v>
      </c>
      <c r="Y916" s="2" t="s">
        <v>549</v>
      </c>
      <c r="Z916" s="2">
        <v>10708</v>
      </c>
      <c r="AA916" s="3">
        <v>42347.7</v>
      </c>
      <c r="AB916" s="2">
        <v>17449</v>
      </c>
      <c r="AC916" s="2">
        <v>191</v>
      </c>
      <c r="AD916" s="2">
        <v>64.989999999999995</v>
      </c>
      <c r="AE916" s="2">
        <v>0.13</v>
      </c>
      <c r="AF916" s="2" t="str" cm="1">
        <f t="array" ref="AF916">_xlfn.IFS(AE916=0, "No Discount ", AE916&lt;=0.08,"Low Discount", AE916&lt;=0.16,"Medium Discount", AE916&gt;0.16, "High Discount")</f>
        <v>Medium Discount</v>
      </c>
      <c r="AG916" s="2">
        <v>43614</v>
      </c>
      <c r="AH916" s="2">
        <v>99.99</v>
      </c>
      <c r="AI916" s="2">
        <v>0.11</v>
      </c>
      <c r="AJ916" s="2" t="str" cm="1">
        <f t="array" ref="AJ916">_xlfn.IFS(AI916&lt;=0, "No Profit", AI916&lt;=0.16,"Low Profit",AI916&lt;=0.32,"Medium Profit",AI916&gt;0.32,"High Profit")</f>
        <v>Low Profit</v>
      </c>
      <c r="AK916" s="2">
        <v>5</v>
      </c>
      <c r="AL916" s="2">
        <v>499.95</v>
      </c>
      <c r="AM916" s="2">
        <v>434.96</v>
      </c>
      <c r="AN916" s="2">
        <v>49.15</v>
      </c>
      <c r="AO916" s="2" t="s">
        <v>531</v>
      </c>
      <c r="AP916" s="2" t="s">
        <v>1083</v>
      </c>
      <c r="AQ916" s="2" t="s">
        <v>80</v>
      </c>
      <c r="AR916" s="2" t="s">
        <v>81</v>
      </c>
      <c r="AS916" s="2">
        <v>191</v>
      </c>
      <c r="AT916" s="2">
        <v>9</v>
      </c>
      <c r="AU916" s="2" t="s">
        <v>505</v>
      </c>
      <c r="AV916" s="2">
        <v>99.99</v>
      </c>
      <c r="AW916" s="2">
        <v>0</v>
      </c>
      <c r="AX916" s="2" t="s">
        <v>3707</v>
      </c>
      <c r="AY916" s="2" t="s">
        <v>83</v>
      </c>
      <c r="AZ916" s="4">
        <v>42347</v>
      </c>
      <c r="BA916" s="5">
        <v>0.7</v>
      </c>
      <c r="BB916" s="2">
        <v>2015</v>
      </c>
      <c r="BC916" s="2" t="s">
        <v>357</v>
      </c>
      <c r="BD916" s="2">
        <v>9</v>
      </c>
      <c r="BE916" s="4">
        <v>42264</v>
      </c>
      <c r="BF916" s="5">
        <v>0.7</v>
      </c>
      <c r="BG916" s="2" t="str" cm="1">
        <f t="array" ref="BG916">_xlfn.IFS(BF916&lt;TIMEVALUE("06:00"),"Night", BF916&gt;=TIMEVALUE("21:00"),"Night",BF916&gt;=TIMEVALUE("17:00"),"Evening",BF916&gt;=TIMEVALUE("12:00"),"Afternoon", BF916&gt;=TIMEVALUE("06:00"),"Morning")</f>
        <v>Afternoon</v>
      </c>
      <c r="BH916" s="2">
        <v>2015</v>
      </c>
      <c r="BI916" s="2" t="s">
        <v>552</v>
      </c>
      <c r="BJ916" s="2">
        <v>17</v>
      </c>
    </row>
    <row r="917" spans="1:62" x14ac:dyDescent="0.3">
      <c r="A917" s="2" t="s">
        <v>62</v>
      </c>
      <c r="B917" s="2">
        <v>4</v>
      </c>
      <c r="C917" s="2">
        <v>4</v>
      </c>
      <c r="D917" s="2">
        <v>195.73</v>
      </c>
      <c r="E917" s="2">
        <v>434.96</v>
      </c>
      <c r="F917" s="2" t="s">
        <v>100</v>
      </c>
      <c r="G917" s="2" t="s">
        <v>64</v>
      </c>
      <c r="H917" s="2">
        <v>9</v>
      </c>
      <c r="I917" s="2" t="s">
        <v>496</v>
      </c>
      <c r="J917" s="2" t="s">
        <v>3708</v>
      </c>
      <c r="K917" s="2" t="s">
        <v>102</v>
      </c>
      <c r="L917" s="2" t="s">
        <v>414</v>
      </c>
      <c r="M917" s="2">
        <v>9119</v>
      </c>
      <c r="N917" s="2" t="s">
        <v>425</v>
      </c>
      <c r="O917" s="2" t="s">
        <v>70</v>
      </c>
      <c r="P917" s="2" t="s">
        <v>1187</v>
      </c>
      <c r="Q917" s="2" t="s">
        <v>3709</v>
      </c>
      <c r="R917" s="2">
        <v>54601</v>
      </c>
      <c r="S917" s="2">
        <v>3</v>
      </c>
      <c r="T917" s="2" t="s">
        <v>466</v>
      </c>
      <c r="U917" s="2">
        <v>43.812240600000003</v>
      </c>
      <c r="V917" s="2">
        <v>-91.244857800000005</v>
      </c>
      <c r="W917" s="2" t="s">
        <v>528</v>
      </c>
      <c r="X917" s="2" t="s">
        <v>3703</v>
      </c>
      <c r="Y917" s="2" t="s">
        <v>536</v>
      </c>
      <c r="Z917" s="2">
        <v>9119</v>
      </c>
      <c r="AA917" s="2" t="s">
        <v>3710</v>
      </c>
      <c r="AB917" s="2">
        <v>63803</v>
      </c>
      <c r="AC917" s="2">
        <v>191</v>
      </c>
      <c r="AD917" s="2">
        <v>64.989999999999995</v>
      </c>
      <c r="AE917" s="2">
        <v>0.13</v>
      </c>
      <c r="AF917" s="2" t="str" cm="1">
        <f t="array" ref="AF917">_xlfn.IFS(AE917=0, "No Discount ", AE917&lt;=0.08,"Low Discount", AE917&lt;=0.16,"Medium Discount", AE917&gt;0.16, "High Discount")</f>
        <v>Medium Discount</v>
      </c>
      <c r="AG917" s="2">
        <v>159475</v>
      </c>
      <c r="AH917" s="2">
        <v>99.99</v>
      </c>
      <c r="AI917" s="2">
        <v>0.45</v>
      </c>
      <c r="AJ917" s="2" t="str" cm="1">
        <f t="array" ref="AJ917">_xlfn.IFS(AI917&lt;=0, "No Profit", AI917&lt;=0.16,"Low Profit",AI917&lt;=0.32,"Medium Profit",AI917&gt;0.32,"High Profit")</f>
        <v>High Profit</v>
      </c>
      <c r="AK917" s="2">
        <v>5</v>
      </c>
      <c r="AL917" s="2">
        <v>499.95</v>
      </c>
      <c r="AM917" s="2">
        <v>434.96</v>
      </c>
      <c r="AN917" s="2">
        <v>195.73</v>
      </c>
      <c r="AO917" s="2" t="s">
        <v>531</v>
      </c>
      <c r="AP917" s="2" t="s">
        <v>1708</v>
      </c>
      <c r="AQ917" s="2" t="s">
        <v>80</v>
      </c>
      <c r="AR917" s="2" t="s">
        <v>81</v>
      </c>
      <c r="AS917" s="2">
        <v>191</v>
      </c>
      <c r="AT917" s="2">
        <v>9</v>
      </c>
      <c r="AU917" s="2" t="s">
        <v>505</v>
      </c>
      <c r="AV917" s="2">
        <v>99.99</v>
      </c>
      <c r="AW917" s="2">
        <v>0</v>
      </c>
      <c r="AX917" s="2" t="s">
        <v>3711</v>
      </c>
      <c r="AY917" s="2" t="s">
        <v>83</v>
      </c>
      <c r="AZ917" s="4">
        <v>42936</v>
      </c>
      <c r="BA917" s="5">
        <v>0.3611111111111111</v>
      </c>
      <c r="BB917" s="2">
        <v>2017</v>
      </c>
      <c r="BC917" s="2" t="s">
        <v>533</v>
      </c>
      <c r="BD917" s="2">
        <v>20</v>
      </c>
      <c r="BE917" s="4">
        <v>42940</v>
      </c>
      <c r="BF917" s="5">
        <v>0.3611111111111111</v>
      </c>
      <c r="BG917" s="2" t="str" cm="1">
        <f t="array" ref="BG917">_xlfn.IFS(BF917&lt;TIMEVALUE("06:00"),"Night", BF917&gt;=TIMEVALUE("21:00"),"Night",BF917&gt;=TIMEVALUE("17:00"),"Evening",BF917&gt;=TIMEVALUE("12:00"),"Afternoon", BF917&gt;=TIMEVALUE("06:00"),"Morning")</f>
        <v>Morning</v>
      </c>
      <c r="BH917" s="2">
        <v>2017</v>
      </c>
      <c r="BI917" s="2" t="s">
        <v>533</v>
      </c>
      <c r="BJ917" s="2">
        <v>24</v>
      </c>
    </row>
    <row r="918" spans="1:62" x14ac:dyDescent="0.3">
      <c r="A918" s="2" t="s">
        <v>62</v>
      </c>
      <c r="B918" s="2">
        <v>5</v>
      </c>
      <c r="C918" s="2">
        <v>4</v>
      </c>
      <c r="D918" s="2">
        <v>36.979999999999997</v>
      </c>
      <c r="E918" s="2">
        <v>127.5</v>
      </c>
      <c r="F918" s="2" t="s">
        <v>87</v>
      </c>
      <c r="G918" s="2" t="s">
        <v>88</v>
      </c>
      <c r="H918" s="2">
        <v>9</v>
      </c>
      <c r="I918" s="2" t="s">
        <v>496</v>
      </c>
      <c r="J918" s="2" t="s">
        <v>3712</v>
      </c>
      <c r="K918" s="2" t="s">
        <v>102</v>
      </c>
      <c r="L918" s="2" t="s">
        <v>414</v>
      </c>
      <c r="M918" s="2">
        <v>9500</v>
      </c>
      <c r="N918" s="2" t="s">
        <v>264</v>
      </c>
      <c r="O918" s="2" t="s">
        <v>70</v>
      </c>
      <c r="P918" s="2" t="s">
        <v>2160</v>
      </c>
      <c r="Q918" s="2" t="s">
        <v>3713</v>
      </c>
      <c r="R918" s="2">
        <v>63031</v>
      </c>
      <c r="S918" s="2">
        <v>3</v>
      </c>
      <c r="T918" s="2" t="s">
        <v>466</v>
      </c>
      <c r="U918" s="2">
        <v>38.796600300000001</v>
      </c>
      <c r="V918" s="2">
        <v>-90.346405000000004</v>
      </c>
      <c r="W918" s="2" t="s">
        <v>528</v>
      </c>
      <c r="X918" s="2" t="s">
        <v>3714</v>
      </c>
      <c r="Y918" s="2" t="s">
        <v>557</v>
      </c>
      <c r="Z918" s="2">
        <v>9500</v>
      </c>
      <c r="AA918" s="3">
        <v>42133.693055555559</v>
      </c>
      <c r="AB918" s="2">
        <v>16969</v>
      </c>
      <c r="AC918" s="2">
        <v>172</v>
      </c>
      <c r="AD918" s="2">
        <v>22.5</v>
      </c>
      <c r="AE918" s="2">
        <v>0.15</v>
      </c>
      <c r="AF918" s="2" t="str" cm="1">
        <f t="array" ref="AF918">_xlfn.IFS(AE918=0, "No Discount ", AE918&lt;=0.08,"Low Discount", AE918&lt;=0.16,"Medium Discount", AE918&gt;0.16, "High Discount")</f>
        <v>Medium Discount</v>
      </c>
      <c r="AG918" s="2">
        <v>42427</v>
      </c>
      <c r="AH918" s="2">
        <v>30</v>
      </c>
      <c r="AI918" s="2">
        <v>0.28999999999999998</v>
      </c>
      <c r="AJ918" s="2" t="str" cm="1">
        <f t="array" ref="AJ918">_xlfn.IFS(AI918&lt;=0, "No Profit", AI918&lt;=0.16,"Low Profit",AI918&lt;=0.32,"Medium Profit",AI918&gt;0.32,"High Profit")</f>
        <v>Medium Profit</v>
      </c>
      <c r="AK918" s="2">
        <v>5</v>
      </c>
      <c r="AL918" s="2">
        <v>150</v>
      </c>
      <c r="AM918" s="2">
        <v>127.5</v>
      </c>
      <c r="AN918" s="2">
        <v>36.979999999999997</v>
      </c>
      <c r="AO918" s="2" t="s">
        <v>558</v>
      </c>
      <c r="AP918" s="2" t="s">
        <v>559</v>
      </c>
      <c r="AQ918" s="2" t="s">
        <v>80</v>
      </c>
      <c r="AR918" s="2" t="s">
        <v>81</v>
      </c>
      <c r="AS918" s="2">
        <v>172</v>
      </c>
      <c r="AT918" s="2">
        <v>9</v>
      </c>
      <c r="AU918" s="2" t="s">
        <v>3031</v>
      </c>
      <c r="AV918" s="2">
        <v>30</v>
      </c>
      <c r="AW918" s="2">
        <v>0</v>
      </c>
      <c r="AX918" s="3">
        <v>42286.693055555559</v>
      </c>
      <c r="AY918" s="2" t="s">
        <v>83</v>
      </c>
      <c r="AZ918" s="4">
        <v>42133</v>
      </c>
      <c r="BA918" s="5">
        <v>0.69305555555555554</v>
      </c>
      <c r="BB918" s="2">
        <v>2015</v>
      </c>
      <c r="BC918" s="2" t="s">
        <v>443</v>
      </c>
      <c r="BD918" s="2">
        <v>9</v>
      </c>
      <c r="BE918" s="4">
        <v>42286</v>
      </c>
      <c r="BF918" s="5">
        <v>0.69305555555555554</v>
      </c>
      <c r="BG918" s="2" t="str" cm="1">
        <f t="array" ref="BG918">_xlfn.IFS(BF918&lt;TIMEVALUE("06:00"),"Night", BF918&gt;=TIMEVALUE("21:00"),"Night",BF918&gt;=TIMEVALUE("17:00"),"Evening",BF918&gt;=TIMEVALUE("12:00"),"Afternoon", BF918&gt;=TIMEVALUE("06:00"),"Morning")</f>
        <v>Afternoon</v>
      </c>
      <c r="BH918" s="2">
        <v>2015</v>
      </c>
      <c r="BI918" s="2" t="s">
        <v>434</v>
      </c>
      <c r="BJ918" s="2">
        <v>9</v>
      </c>
    </row>
    <row r="919" spans="1:62" x14ac:dyDescent="0.3">
      <c r="A919" s="2" t="s">
        <v>62</v>
      </c>
      <c r="B919" s="2">
        <v>5</v>
      </c>
      <c r="C919" s="2">
        <v>4</v>
      </c>
      <c r="D919" s="2">
        <v>133.01</v>
      </c>
      <c r="E919" s="2">
        <v>424.96</v>
      </c>
      <c r="F919" s="2" t="s">
        <v>87</v>
      </c>
      <c r="G919" s="2" t="s">
        <v>88</v>
      </c>
      <c r="H919" s="2">
        <v>9</v>
      </c>
      <c r="I919" s="2" t="s">
        <v>496</v>
      </c>
      <c r="J919" s="2" t="s">
        <v>3260</v>
      </c>
      <c r="K919" s="2" t="s">
        <v>102</v>
      </c>
      <c r="L919" s="2" t="s">
        <v>2644</v>
      </c>
      <c r="M919" s="2">
        <v>9910</v>
      </c>
      <c r="N919" s="2" t="s">
        <v>1267</v>
      </c>
      <c r="O919" s="2" t="s">
        <v>70</v>
      </c>
      <c r="P919" s="2" t="s">
        <v>105</v>
      </c>
      <c r="Q919" s="2" t="s">
        <v>3715</v>
      </c>
      <c r="R919" s="2">
        <v>92024</v>
      </c>
      <c r="S919" s="2">
        <v>3</v>
      </c>
      <c r="T919" s="2" t="s">
        <v>466</v>
      </c>
      <c r="U919" s="2">
        <v>33.046470599999999</v>
      </c>
      <c r="V919" s="2">
        <v>-117.2896729</v>
      </c>
      <c r="W919" s="2" t="s">
        <v>528</v>
      </c>
      <c r="X919" s="2" t="s">
        <v>3269</v>
      </c>
      <c r="Y919" s="2" t="s">
        <v>530</v>
      </c>
      <c r="Z919" s="2">
        <v>9910</v>
      </c>
      <c r="AA919" s="2" t="s">
        <v>3716</v>
      </c>
      <c r="AB919" s="2">
        <v>16369</v>
      </c>
      <c r="AC919" s="2">
        <v>191</v>
      </c>
      <c r="AD919" s="2">
        <v>74.989999999999995</v>
      </c>
      <c r="AE919" s="2">
        <v>0.15</v>
      </c>
      <c r="AF919" s="2" t="str" cm="1">
        <f t="array" ref="AF919">_xlfn.IFS(AE919=0, "No Discount ", AE919&lt;=0.08,"Low Discount", AE919&lt;=0.16,"Medium Discount", AE919&gt;0.16, "High Discount")</f>
        <v>Medium Discount</v>
      </c>
      <c r="AG919" s="2">
        <v>40860</v>
      </c>
      <c r="AH919" s="2">
        <v>99.99</v>
      </c>
      <c r="AI919" s="2">
        <v>0.31</v>
      </c>
      <c r="AJ919" s="2" t="str" cm="1">
        <f t="array" ref="AJ919">_xlfn.IFS(AI919&lt;=0, "No Profit", AI919&lt;=0.16,"Low Profit",AI919&lt;=0.32,"Medium Profit",AI919&gt;0.32,"High Profit")</f>
        <v>Medium Profit</v>
      </c>
      <c r="AK919" s="2">
        <v>5</v>
      </c>
      <c r="AL919" s="2">
        <v>499.95</v>
      </c>
      <c r="AM919" s="2">
        <v>424.96</v>
      </c>
      <c r="AN919" s="2">
        <v>133.01</v>
      </c>
      <c r="AO919" s="2" t="s">
        <v>531</v>
      </c>
      <c r="AP919" s="2" t="s">
        <v>3269</v>
      </c>
      <c r="AQ919" s="2" t="s">
        <v>80</v>
      </c>
      <c r="AR919" s="2" t="s">
        <v>81</v>
      </c>
      <c r="AS919" s="2">
        <v>191</v>
      </c>
      <c r="AT919" s="2">
        <v>9</v>
      </c>
      <c r="AU919" s="2" t="s">
        <v>505</v>
      </c>
      <c r="AV919" s="2">
        <v>99.99</v>
      </c>
      <c r="AW919" s="2">
        <v>0</v>
      </c>
      <c r="AX919" s="3">
        <v>42013.93472222222</v>
      </c>
      <c r="AY919" s="2" t="s">
        <v>83</v>
      </c>
      <c r="AZ919" s="4">
        <v>42243</v>
      </c>
      <c r="BA919" s="5">
        <v>0.93472222222222223</v>
      </c>
      <c r="BB919" s="2">
        <v>2015</v>
      </c>
      <c r="BC919" s="2" t="s">
        <v>482</v>
      </c>
      <c r="BD919" s="2">
        <v>27</v>
      </c>
      <c r="BE919" s="4">
        <v>42013</v>
      </c>
      <c r="BF919" s="5">
        <v>0.93472222222222223</v>
      </c>
      <c r="BG919" s="2" t="str" cm="1">
        <f t="array" ref="BG919">_xlfn.IFS(BF919&lt;TIMEVALUE("06:00"),"Night", BF919&gt;=TIMEVALUE("21:00"),"Night",BF919&gt;=TIMEVALUE("17:00"),"Evening",BF919&gt;=TIMEVALUE("12:00"),"Afternoon", BF919&gt;=TIMEVALUE("06:00"),"Morning")</f>
        <v>Night</v>
      </c>
      <c r="BH919" s="2">
        <v>2015</v>
      </c>
      <c r="BI919" s="2" t="s">
        <v>84</v>
      </c>
      <c r="BJ919" s="2">
        <v>9</v>
      </c>
    </row>
    <row r="920" spans="1:62" x14ac:dyDescent="0.3">
      <c r="A920" s="2" t="s">
        <v>62</v>
      </c>
      <c r="B920" s="2">
        <v>3</v>
      </c>
      <c r="C920" s="2">
        <v>4</v>
      </c>
      <c r="D920" s="2">
        <v>172.18</v>
      </c>
      <c r="E920" s="2">
        <v>419.96</v>
      </c>
      <c r="F920" s="2" t="s">
        <v>63</v>
      </c>
      <c r="G920" s="2" t="s">
        <v>64</v>
      </c>
      <c r="H920" s="2">
        <v>9</v>
      </c>
      <c r="I920" s="2" t="s">
        <v>496</v>
      </c>
      <c r="J920" s="2" t="s">
        <v>3717</v>
      </c>
      <c r="K920" s="2" t="s">
        <v>102</v>
      </c>
      <c r="L920" s="2" t="s">
        <v>1747</v>
      </c>
      <c r="M920" s="2">
        <v>5036</v>
      </c>
      <c r="N920" s="2" t="s">
        <v>425</v>
      </c>
      <c r="O920" s="2" t="s">
        <v>70</v>
      </c>
      <c r="P920" s="2" t="s">
        <v>105</v>
      </c>
      <c r="Q920" s="2" t="s">
        <v>3718</v>
      </c>
      <c r="R920" s="2">
        <v>91351</v>
      </c>
      <c r="S920" s="2">
        <v>3</v>
      </c>
      <c r="T920" s="2" t="s">
        <v>466</v>
      </c>
      <c r="U920" s="2">
        <v>35.304614999999998</v>
      </c>
      <c r="V920" s="2">
        <v>-119.0659714</v>
      </c>
      <c r="W920" s="2" t="s">
        <v>528</v>
      </c>
      <c r="X920" s="2" t="s">
        <v>3719</v>
      </c>
      <c r="Y920" s="2" t="s">
        <v>530</v>
      </c>
      <c r="Z920" s="2">
        <v>5036</v>
      </c>
      <c r="AA920" s="2" t="s">
        <v>3720</v>
      </c>
      <c r="AB920" s="2">
        <v>66702</v>
      </c>
      <c r="AC920" s="2">
        <v>191</v>
      </c>
      <c r="AD920" s="2">
        <v>79.989999999999995</v>
      </c>
      <c r="AE920" s="2">
        <v>0.16</v>
      </c>
      <c r="AF920" s="2" t="str" cm="1">
        <f t="array" ref="AF920">_xlfn.IFS(AE920=0, "No Discount ", AE920&lt;=0.08,"Low Discount", AE920&lt;=0.16,"Medium Discount", AE920&gt;0.16, "High Discount")</f>
        <v>Medium Discount</v>
      </c>
      <c r="AG920" s="2">
        <v>166720</v>
      </c>
      <c r="AH920" s="2">
        <v>99.99</v>
      </c>
      <c r="AI920" s="2">
        <v>0.41</v>
      </c>
      <c r="AJ920" s="2" t="str" cm="1">
        <f t="array" ref="AJ920">_xlfn.IFS(AI920&lt;=0, "No Profit", AI920&lt;=0.16,"Low Profit",AI920&lt;=0.32,"Medium Profit",AI920&gt;0.32,"High Profit")</f>
        <v>High Profit</v>
      </c>
      <c r="AK920" s="2">
        <v>5</v>
      </c>
      <c r="AL920" s="2">
        <v>499.95</v>
      </c>
      <c r="AM920" s="2">
        <v>419.96</v>
      </c>
      <c r="AN920" s="2">
        <v>172.18</v>
      </c>
      <c r="AO920" s="2" t="s">
        <v>531</v>
      </c>
      <c r="AP920" s="2" t="s">
        <v>3721</v>
      </c>
      <c r="AQ920" s="2" t="s">
        <v>80</v>
      </c>
      <c r="AR920" s="2" t="s">
        <v>81</v>
      </c>
      <c r="AS920" s="2">
        <v>191</v>
      </c>
      <c r="AT920" s="2">
        <v>9</v>
      </c>
      <c r="AU920" s="2" t="s">
        <v>505</v>
      </c>
      <c r="AV920" s="2">
        <v>99.99</v>
      </c>
      <c r="AW920" s="2">
        <v>0</v>
      </c>
      <c r="AX920" s="3">
        <v>42803.679861111108</v>
      </c>
      <c r="AY920" s="2" t="s">
        <v>83</v>
      </c>
      <c r="AZ920" s="4">
        <v>42978</v>
      </c>
      <c r="BA920" s="5">
        <v>0.67986111111111114</v>
      </c>
      <c r="BB920" s="2">
        <v>2017</v>
      </c>
      <c r="BC920" s="2" t="s">
        <v>482</v>
      </c>
      <c r="BD920" s="2">
        <v>31</v>
      </c>
      <c r="BE920" s="4">
        <v>42803</v>
      </c>
      <c r="BF920" s="5">
        <v>0.67986111111111114</v>
      </c>
      <c r="BG920" s="2" t="str" cm="1">
        <f t="array" ref="BG920">_xlfn.IFS(BF920&lt;TIMEVALUE("06:00"),"Night", BF920&gt;=TIMEVALUE("21:00"),"Night",BF920&gt;=TIMEVALUE("17:00"),"Evening",BF920&gt;=TIMEVALUE("12:00"),"Afternoon", BF920&gt;=TIMEVALUE("06:00"),"Morning")</f>
        <v>Afternoon</v>
      </c>
      <c r="BH920" s="2">
        <v>2017</v>
      </c>
      <c r="BI920" s="2" t="s">
        <v>85</v>
      </c>
      <c r="BJ920" s="2">
        <v>9</v>
      </c>
    </row>
    <row r="921" spans="1:62" x14ac:dyDescent="0.3">
      <c r="A921" s="2" t="s">
        <v>62</v>
      </c>
      <c r="B921" s="2">
        <v>5</v>
      </c>
      <c r="C921" s="2">
        <v>4</v>
      </c>
      <c r="D921" s="2">
        <v>94.49</v>
      </c>
      <c r="E921" s="2">
        <v>419.96</v>
      </c>
      <c r="F921" s="2" t="s">
        <v>87</v>
      </c>
      <c r="G921" s="2" t="s">
        <v>88</v>
      </c>
      <c r="H921" s="2">
        <v>9</v>
      </c>
      <c r="I921" s="2" t="s">
        <v>496</v>
      </c>
      <c r="J921" s="2" t="s">
        <v>1245</v>
      </c>
      <c r="K921" s="2" t="s">
        <v>102</v>
      </c>
      <c r="L921" s="2" t="s">
        <v>414</v>
      </c>
      <c r="M921" s="2">
        <v>2698</v>
      </c>
      <c r="N921" s="2" t="s">
        <v>3189</v>
      </c>
      <c r="O921" s="2" t="s">
        <v>70</v>
      </c>
      <c r="P921" s="2" t="s">
        <v>105</v>
      </c>
      <c r="Q921" s="2" t="s">
        <v>3722</v>
      </c>
      <c r="R921" s="2">
        <v>91766</v>
      </c>
      <c r="S921" s="2">
        <v>3</v>
      </c>
      <c r="T921" s="2" t="s">
        <v>466</v>
      </c>
      <c r="U921" s="2">
        <v>34.280666400000001</v>
      </c>
      <c r="V921" s="2">
        <v>-119.2400665</v>
      </c>
      <c r="W921" s="2" t="s">
        <v>528</v>
      </c>
      <c r="X921" s="2" t="s">
        <v>535</v>
      </c>
      <c r="Y921" s="2" t="s">
        <v>536</v>
      </c>
      <c r="Z921" s="2">
        <v>2698</v>
      </c>
      <c r="AA921" s="3">
        <v>42100.486805555556</v>
      </c>
      <c r="AB921" s="2">
        <v>10584</v>
      </c>
      <c r="AC921" s="2">
        <v>191</v>
      </c>
      <c r="AD921" s="2">
        <v>79.989999999999995</v>
      </c>
      <c r="AE921" s="2">
        <v>0.16</v>
      </c>
      <c r="AF921" s="2" t="str" cm="1">
        <f t="array" ref="AF921">_xlfn.IFS(AE921=0, "No Discount ", AE921&lt;=0.08,"Low Discount", AE921&lt;=0.16,"Medium Discount", AE921&gt;0.16, "High Discount")</f>
        <v>Medium Discount</v>
      </c>
      <c r="AG921" s="2">
        <v>26510</v>
      </c>
      <c r="AH921" s="2">
        <v>99.99</v>
      </c>
      <c r="AI921" s="2">
        <v>0.23</v>
      </c>
      <c r="AJ921" s="2" t="str" cm="1">
        <f t="array" ref="AJ921">_xlfn.IFS(AI921&lt;=0, "No Profit", AI921&lt;=0.16,"Low Profit",AI921&lt;=0.32,"Medium Profit",AI921&gt;0.32,"High Profit")</f>
        <v>Medium Profit</v>
      </c>
      <c r="AK921" s="2">
        <v>5</v>
      </c>
      <c r="AL921" s="2">
        <v>499.95</v>
      </c>
      <c r="AM921" s="2">
        <v>419.96</v>
      </c>
      <c r="AN921" s="2">
        <v>94.49</v>
      </c>
      <c r="AO921" s="2" t="s">
        <v>531</v>
      </c>
      <c r="AP921" s="2" t="s">
        <v>538</v>
      </c>
      <c r="AQ921" s="2" t="s">
        <v>80</v>
      </c>
      <c r="AR921" s="2" t="s">
        <v>81</v>
      </c>
      <c r="AS921" s="2">
        <v>191</v>
      </c>
      <c r="AT921" s="2">
        <v>9</v>
      </c>
      <c r="AU921" s="2" t="s">
        <v>505</v>
      </c>
      <c r="AV921" s="2">
        <v>99.99</v>
      </c>
      <c r="AW921" s="2">
        <v>0</v>
      </c>
      <c r="AX921" s="3">
        <v>42253.486805555556</v>
      </c>
      <c r="AY921" s="2" t="s">
        <v>83</v>
      </c>
      <c r="AZ921" s="4">
        <v>42100</v>
      </c>
      <c r="BA921" s="5">
        <v>0.48680555555555555</v>
      </c>
      <c r="BB921" s="2">
        <v>2015</v>
      </c>
      <c r="BC921" s="2" t="s">
        <v>487</v>
      </c>
      <c r="BD921" s="2">
        <v>6</v>
      </c>
      <c r="BE921" s="4">
        <v>42253</v>
      </c>
      <c r="BF921" s="5">
        <v>0.48680555555555555</v>
      </c>
      <c r="BG921" s="2" t="str" cm="1">
        <f t="array" ref="BG921">_xlfn.IFS(BF921&lt;TIMEVALUE("06:00"),"Night", BF921&gt;=TIMEVALUE("21:00"),"Night",BF921&gt;=TIMEVALUE("17:00"),"Evening",BF921&gt;=TIMEVALUE("12:00"),"Afternoon", BF921&gt;=TIMEVALUE("06:00"),"Morning")</f>
        <v>Morning</v>
      </c>
      <c r="BH921" s="2">
        <v>2015</v>
      </c>
      <c r="BI921" s="2" t="s">
        <v>552</v>
      </c>
      <c r="BJ921" s="2">
        <v>6</v>
      </c>
    </row>
    <row r="922" spans="1:62" x14ac:dyDescent="0.3">
      <c r="A922" s="2" t="s">
        <v>62</v>
      </c>
      <c r="B922" s="2">
        <v>4</v>
      </c>
      <c r="C922" s="2">
        <v>4</v>
      </c>
      <c r="D922" s="2">
        <v>109.19</v>
      </c>
      <c r="E922" s="2">
        <v>419.96</v>
      </c>
      <c r="F922" s="2" t="s">
        <v>100</v>
      </c>
      <c r="G922" s="2" t="s">
        <v>64</v>
      </c>
      <c r="H922" s="2">
        <v>9</v>
      </c>
      <c r="I922" s="2" t="s">
        <v>496</v>
      </c>
      <c r="J922" s="2" t="s">
        <v>3723</v>
      </c>
      <c r="K922" s="2" t="s">
        <v>102</v>
      </c>
      <c r="L922" s="2" t="s">
        <v>414</v>
      </c>
      <c r="M922" s="2">
        <v>6220</v>
      </c>
      <c r="N922" s="2" t="s">
        <v>425</v>
      </c>
      <c r="O922" s="2" t="s">
        <v>70</v>
      </c>
      <c r="P922" s="2" t="s">
        <v>133</v>
      </c>
      <c r="Q922" s="2" t="s">
        <v>3724</v>
      </c>
      <c r="R922" s="2">
        <v>14850</v>
      </c>
      <c r="S922" s="2">
        <v>3</v>
      </c>
      <c r="T922" s="2" t="s">
        <v>466</v>
      </c>
      <c r="U922" s="2">
        <v>42.437080399999999</v>
      </c>
      <c r="V922" s="2">
        <v>-76.481689500000002</v>
      </c>
      <c r="W922" s="2" t="s">
        <v>528</v>
      </c>
      <c r="X922" s="2" t="s">
        <v>2446</v>
      </c>
      <c r="Y922" s="2" t="s">
        <v>530</v>
      </c>
      <c r="Z922" s="2">
        <v>6220</v>
      </c>
      <c r="AA922" s="3">
        <v>42317.518055555556</v>
      </c>
      <c r="AB922" s="2">
        <v>17368</v>
      </c>
      <c r="AC922" s="2">
        <v>191</v>
      </c>
      <c r="AD922" s="2">
        <v>79.989999999999995</v>
      </c>
      <c r="AE922" s="2">
        <v>0.16</v>
      </c>
      <c r="AF922" s="2" t="str" cm="1">
        <f t="array" ref="AF922">_xlfn.IFS(AE922=0, "No Discount ", AE922&lt;=0.08,"Low Discount", AE922&lt;=0.16,"Medium Discount", AE922&gt;0.16, "High Discount")</f>
        <v>Medium Discount</v>
      </c>
      <c r="AG922" s="2">
        <v>43402</v>
      </c>
      <c r="AH922" s="2">
        <v>99.99</v>
      </c>
      <c r="AI922" s="2">
        <v>0.26</v>
      </c>
      <c r="AJ922" s="2" t="str" cm="1">
        <f t="array" ref="AJ922">_xlfn.IFS(AI922&lt;=0, "No Profit", AI922&lt;=0.16,"Low Profit",AI922&lt;=0.32,"Medium Profit",AI922&gt;0.32,"High Profit")</f>
        <v>Medium Profit</v>
      </c>
      <c r="AK922" s="2">
        <v>5</v>
      </c>
      <c r="AL922" s="2">
        <v>499.95</v>
      </c>
      <c r="AM922" s="2">
        <v>419.96</v>
      </c>
      <c r="AN922" s="2">
        <v>109.19</v>
      </c>
      <c r="AO922" s="2" t="s">
        <v>531</v>
      </c>
      <c r="AP922" s="2" t="s">
        <v>914</v>
      </c>
      <c r="AQ922" s="2" t="s">
        <v>80</v>
      </c>
      <c r="AR922" s="2" t="s">
        <v>81</v>
      </c>
      <c r="AS922" s="2">
        <v>191</v>
      </c>
      <c r="AT922" s="2">
        <v>9</v>
      </c>
      <c r="AU922" s="2" t="s">
        <v>505</v>
      </c>
      <c r="AV922" s="2">
        <v>99.99</v>
      </c>
      <c r="AW922" s="2">
        <v>0</v>
      </c>
      <c r="AX922" s="2" t="s">
        <v>3725</v>
      </c>
      <c r="AY922" s="2" t="s">
        <v>83</v>
      </c>
      <c r="AZ922" s="4">
        <v>42317</v>
      </c>
      <c r="BA922" s="5">
        <v>0.5180555555555556</v>
      </c>
      <c r="BB922" s="2">
        <v>2015</v>
      </c>
      <c r="BC922" s="2" t="s">
        <v>455</v>
      </c>
      <c r="BD922" s="2">
        <v>9</v>
      </c>
      <c r="BE922" s="4">
        <v>42262</v>
      </c>
      <c r="BF922" s="5">
        <v>0.5180555555555556</v>
      </c>
      <c r="BG922" s="2" t="str" cm="1">
        <f t="array" ref="BG922">_xlfn.IFS(BF922&lt;TIMEVALUE("06:00"),"Night", BF922&gt;=TIMEVALUE("21:00"),"Night",BF922&gt;=TIMEVALUE("17:00"),"Evening",BF922&gt;=TIMEVALUE("12:00"),"Afternoon", BF922&gt;=TIMEVALUE("06:00"),"Morning")</f>
        <v>Afternoon</v>
      </c>
      <c r="BH922" s="2">
        <v>2015</v>
      </c>
      <c r="BI922" s="2" t="s">
        <v>552</v>
      </c>
      <c r="BJ922" s="2">
        <v>15</v>
      </c>
    </row>
    <row r="923" spans="1:62" x14ac:dyDescent="0.3">
      <c r="A923" s="2" t="s">
        <v>62</v>
      </c>
      <c r="B923" s="2">
        <v>2</v>
      </c>
      <c r="C923" s="2">
        <v>4</v>
      </c>
      <c r="D923" s="2">
        <v>22.84</v>
      </c>
      <c r="E923" s="2">
        <v>134.36000000000001</v>
      </c>
      <c r="F923" s="2" t="s">
        <v>63</v>
      </c>
      <c r="G923" s="2" t="s">
        <v>64</v>
      </c>
      <c r="H923" s="2">
        <v>13</v>
      </c>
      <c r="I923" s="2" t="s">
        <v>464</v>
      </c>
      <c r="J923" s="2" t="s">
        <v>1628</v>
      </c>
      <c r="K923" s="2" t="s">
        <v>102</v>
      </c>
      <c r="L923" s="2" t="s">
        <v>1629</v>
      </c>
      <c r="M923" s="2">
        <v>1555</v>
      </c>
      <c r="N923" s="2" t="s">
        <v>425</v>
      </c>
      <c r="O923" s="2" t="s">
        <v>70</v>
      </c>
      <c r="P923" s="2" t="s">
        <v>133</v>
      </c>
      <c r="Q923" s="2" t="s">
        <v>1630</v>
      </c>
      <c r="R923" s="2">
        <v>10314</v>
      </c>
      <c r="S923" s="2">
        <v>3</v>
      </c>
      <c r="T923" s="2" t="s">
        <v>466</v>
      </c>
      <c r="U923" s="2">
        <v>40.584415399999997</v>
      </c>
      <c r="V923" s="2">
        <v>-74.159919700000003</v>
      </c>
      <c r="W923" s="2" t="s">
        <v>528</v>
      </c>
      <c r="X923" s="2" t="s">
        <v>2545</v>
      </c>
      <c r="Y923" s="2" t="s">
        <v>530</v>
      </c>
      <c r="Z923" s="2">
        <v>1555</v>
      </c>
      <c r="AA923" s="2" t="s">
        <v>3726</v>
      </c>
      <c r="AB923" s="2">
        <v>20291</v>
      </c>
      <c r="AC923" s="2">
        <v>282</v>
      </c>
      <c r="AD923" s="2">
        <v>25.59</v>
      </c>
      <c r="AE923" s="2">
        <v>0.16</v>
      </c>
      <c r="AF923" s="2" t="str" cm="1">
        <f t="array" ref="AF923">_xlfn.IFS(AE923=0, "No Discount ", AE923&lt;=0.08,"Low Discount", AE923&lt;=0.16,"Medium Discount", AE923&gt;0.16, "High Discount")</f>
        <v>Medium Discount</v>
      </c>
      <c r="AG923" s="2">
        <v>50678</v>
      </c>
      <c r="AH923" s="2">
        <v>31.99</v>
      </c>
      <c r="AI923" s="2">
        <v>0.17</v>
      </c>
      <c r="AJ923" s="2" t="str" cm="1">
        <f t="array" ref="AJ923">_xlfn.IFS(AI923&lt;=0, "No Profit", AI923&lt;=0.16,"Low Profit",AI923&lt;=0.32,"Medium Profit",AI923&gt;0.32,"High Profit")</f>
        <v>Medium Profit</v>
      </c>
      <c r="AK923" s="2">
        <v>5</v>
      </c>
      <c r="AL923" s="2">
        <v>159.94999999999999</v>
      </c>
      <c r="AM923" s="2">
        <v>134.36000000000001</v>
      </c>
      <c r="AN923" s="2">
        <v>22.84</v>
      </c>
      <c r="AO923" s="2" t="s">
        <v>531</v>
      </c>
      <c r="AP923" s="2" t="s">
        <v>2545</v>
      </c>
      <c r="AQ923" s="2" t="s">
        <v>80</v>
      </c>
      <c r="AR923" s="2" t="s">
        <v>81</v>
      </c>
      <c r="AS923" s="2">
        <v>282</v>
      </c>
      <c r="AT923" s="2">
        <v>13</v>
      </c>
      <c r="AU923" s="2" t="s">
        <v>1757</v>
      </c>
      <c r="AV923" s="2">
        <v>31.99</v>
      </c>
      <c r="AW923" s="2">
        <v>0</v>
      </c>
      <c r="AX923" s="2" t="s">
        <v>3727</v>
      </c>
      <c r="AY923" s="2" t="s">
        <v>83</v>
      </c>
      <c r="AZ923" s="4">
        <v>42301</v>
      </c>
      <c r="BA923" s="5">
        <v>0.18680555555555556</v>
      </c>
      <c r="BB923" s="2">
        <v>2015</v>
      </c>
      <c r="BC923" s="2" t="s">
        <v>434</v>
      </c>
      <c r="BD923" s="2">
        <v>24</v>
      </c>
      <c r="BE923" s="4">
        <v>42303</v>
      </c>
      <c r="BF923" s="5">
        <v>0.18680555555555556</v>
      </c>
      <c r="BG923" s="2" t="str" cm="1">
        <f t="array" ref="BG923">_xlfn.IFS(BF923&lt;TIMEVALUE("06:00"),"Night", BF923&gt;=TIMEVALUE("21:00"),"Night",BF923&gt;=TIMEVALUE("17:00"),"Evening",BF923&gt;=TIMEVALUE("12:00"),"Afternoon", BF923&gt;=TIMEVALUE("06:00"),"Morning")</f>
        <v>Night</v>
      </c>
      <c r="BH923" s="2">
        <v>2015</v>
      </c>
      <c r="BI923" s="2" t="s">
        <v>434</v>
      </c>
      <c r="BJ923" s="2">
        <v>26</v>
      </c>
    </row>
    <row r="924" spans="1:62" x14ac:dyDescent="0.3">
      <c r="A924" s="2" t="s">
        <v>62</v>
      </c>
      <c r="B924" s="2">
        <v>5</v>
      </c>
      <c r="C924" s="2">
        <v>4</v>
      </c>
      <c r="D924" s="2">
        <v>-643.19000000000005</v>
      </c>
      <c r="E924" s="2">
        <v>414.96</v>
      </c>
      <c r="F924" s="2" t="s">
        <v>87</v>
      </c>
      <c r="G924" s="2" t="s">
        <v>88</v>
      </c>
      <c r="H924" s="2">
        <v>9</v>
      </c>
      <c r="I924" s="2" t="s">
        <v>496</v>
      </c>
      <c r="J924" s="2" t="s">
        <v>110</v>
      </c>
      <c r="K924" s="2" t="s">
        <v>102</v>
      </c>
      <c r="L924" s="2" t="s">
        <v>476</v>
      </c>
      <c r="M924" s="2">
        <v>6947</v>
      </c>
      <c r="N924" s="2" t="s">
        <v>1995</v>
      </c>
      <c r="O924" s="2" t="s">
        <v>70</v>
      </c>
      <c r="P924" s="2" t="s">
        <v>105</v>
      </c>
      <c r="Q924" s="2" t="s">
        <v>3728</v>
      </c>
      <c r="R924" s="2">
        <v>90046</v>
      </c>
      <c r="S924" s="2">
        <v>3</v>
      </c>
      <c r="T924" s="2" t="s">
        <v>466</v>
      </c>
      <c r="U924" s="2">
        <v>34.099609399999999</v>
      </c>
      <c r="V924" s="2">
        <v>-118.35073850000001</v>
      </c>
      <c r="W924" s="2" t="s">
        <v>528</v>
      </c>
      <c r="X924" s="2" t="s">
        <v>3729</v>
      </c>
      <c r="Y924" s="2" t="s">
        <v>536</v>
      </c>
      <c r="Z924" s="2">
        <v>6947</v>
      </c>
      <c r="AA924" s="2" t="s">
        <v>3730</v>
      </c>
      <c r="AB924" s="2">
        <v>14384</v>
      </c>
      <c r="AC924" s="2">
        <v>191</v>
      </c>
      <c r="AD924" s="2">
        <v>84.99</v>
      </c>
      <c r="AE924" s="2">
        <v>0.17</v>
      </c>
      <c r="AF924" s="2" t="str" cm="1">
        <f t="array" ref="AF924">_xlfn.IFS(AE924=0, "No Discount ", AE924&lt;=0.08,"Low Discount", AE924&lt;=0.16,"Medium Discount", AE924&gt;0.16, "High Discount")</f>
        <v>High Discount</v>
      </c>
      <c r="AG924" s="2">
        <v>36000</v>
      </c>
      <c r="AH924" s="2">
        <v>99.99</v>
      </c>
      <c r="AI924" s="2">
        <v>-1.55</v>
      </c>
      <c r="AJ924" s="2" t="str" cm="1">
        <f t="array" ref="AJ924">_xlfn.IFS(AI924&lt;=0, "No Profit", AI924&lt;=0.16,"Low Profit",AI924&lt;=0.32,"Medium Profit",AI924&gt;0.32,"High Profit")</f>
        <v>No Profit</v>
      </c>
      <c r="AK924" s="2">
        <v>5</v>
      </c>
      <c r="AL924" s="2">
        <v>499.95</v>
      </c>
      <c r="AM924" s="2">
        <v>414.96</v>
      </c>
      <c r="AN924" s="2">
        <v>-643.19000000000005</v>
      </c>
      <c r="AO924" s="2" t="s">
        <v>531</v>
      </c>
      <c r="AP924" s="2" t="s">
        <v>538</v>
      </c>
      <c r="AQ924" s="2" t="s">
        <v>80</v>
      </c>
      <c r="AR924" s="2" t="s">
        <v>81</v>
      </c>
      <c r="AS924" s="2">
        <v>191</v>
      </c>
      <c r="AT924" s="2">
        <v>9</v>
      </c>
      <c r="AU924" s="2" t="s">
        <v>505</v>
      </c>
      <c r="AV924" s="2">
        <v>99.99</v>
      </c>
      <c r="AW924" s="2">
        <v>0</v>
      </c>
      <c r="AX924" s="3">
        <v>42071.958333333336</v>
      </c>
      <c r="AY924" s="2" t="s">
        <v>83</v>
      </c>
      <c r="AZ924" s="4">
        <v>42214</v>
      </c>
      <c r="BA924" s="5">
        <v>0.95833333333333337</v>
      </c>
      <c r="BB924" s="2">
        <v>2015</v>
      </c>
      <c r="BC924" s="2" t="s">
        <v>533</v>
      </c>
      <c r="BD924" s="2">
        <v>29</v>
      </c>
      <c r="BE924" s="4">
        <v>42071</v>
      </c>
      <c r="BF924" s="5">
        <v>0.95833333333333337</v>
      </c>
      <c r="BG924" s="2" t="str" cm="1">
        <f t="array" ref="BG924">_xlfn.IFS(BF924&lt;TIMEVALUE("06:00"),"Night", BF924&gt;=TIMEVALUE("21:00"),"Night",BF924&gt;=TIMEVALUE("17:00"),"Evening",BF924&gt;=TIMEVALUE("12:00"),"Afternoon", BF924&gt;=TIMEVALUE("06:00"),"Morning")</f>
        <v>Night</v>
      </c>
      <c r="BH924" s="2">
        <v>2015</v>
      </c>
      <c r="BI924" s="2" t="s">
        <v>85</v>
      </c>
      <c r="BJ924" s="2">
        <v>8</v>
      </c>
    </row>
    <row r="925" spans="1:62" x14ac:dyDescent="0.3">
      <c r="A925" s="2" t="s">
        <v>62</v>
      </c>
      <c r="B925" s="2">
        <v>2</v>
      </c>
      <c r="C925" s="2">
        <v>4</v>
      </c>
      <c r="D925" s="2">
        <v>114.79</v>
      </c>
      <c r="E925" s="2">
        <v>409.96</v>
      </c>
      <c r="F925" s="2" t="s">
        <v>63</v>
      </c>
      <c r="G925" s="2" t="s">
        <v>64</v>
      </c>
      <c r="H925" s="2">
        <v>9</v>
      </c>
      <c r="I925" s="2" t="s">
        <v>496</v>
      </c>
      <c r="J925" s="2" t="s">
        <v>3731</v>
      </c>
      <c r="K925" s="2" t="s">
        <v>102</v>
      </c>
      <c r="L925" s="2" t="s">
        <v>414</v>
      </c>
      <c r="M925" s="2">
        <v>442</v>
      </c>
      <c r="N925" s="2" t="s">
        <v>425</v>
      </c>
      <c r="O925" s="2" t="s">
        <v>70</v>
      </c>
      <c r="P925" s="2" t="s">
        <v>280</v>
      </c>
      <c r="Q925" s="2" t="s">
        <v>3732</v>
      </c>
      <c r="R925" s="2">
        <v>18103</v>
      </c>
      <c r="S925" s="2">
        <v>3</v>
      </c>
      <c r="T925" s="2" t="s">
        <v>466</v>
      </c>
      <c r="U925" s="2">
        <v>40.603492699999997</v>
      </c>
      <c r="V925" s="2">
        <v>-75.472435000000004</v>
      </c>
      <c r="W925" s="2" t="s">
        <v>528</v>
      </c>
      <c r="X925" s="2" t="s">
        <v>982</v>
      </c>
      <c r="Y925" s="2" t="s">
        <v>983</v>
      </c>
      <c r="Z925" s="2">
        <v>442</v>
      </c>
      <c r="AA925" s="2" t="s">
        <v>3733</v>
      </c>
      <c r="AB925" s="2">
        <v>64066</v>
      </c>
      <c r="AC925" s="2">
        <v>191</v>
      </c>
      <c r="AD925" s="2">
        <v>89.99</v>
      </c>
      <c r="AE925" s="2">
        <v>0.18</v>
      </c>
      <c r="AF925" s="2" t="str" cm="1">
        <f t="array" ref="AF925">_xlfn.IFS(AE925=0, "No Discount ", AE925&lt;=0.08,"Low Discount", AE925&lt;=0.16,"Medium Discount", AE925&gt;0.16, "High Discount")</f>
        <v>High Discount</v>
      </c>
      <c r="AG925" s="2">
        <v>160184</v>
      </c>
      <c r="AH925" s="2">
        <v>99.99</v>
      </c>
      <c r="AI925" s="2">
        <v>0.28000000000000003</v>
      </c>
      <c r="AJ925" s="2" t="str" cm="1">
        <f t="array" ref="AJ925">_xlfn.IFS(AI925&lt;=0, "No Profit", AI925&lt;=0.16,"Low Profit",AI925&lt;=0.32,"Medium Profit",AI925&gt;0.32,"High Profit")</f>
        <v>Medium Profit</v>
      </c>
      <c r="AK925" s="2">
        <v>5</v>
      </c>
      <c r="AL925" s="2">
        <v>499.95</v>
      </c>
      <c r="AM925" s="2">
        <v>409.96</v>
      </c>
      <c r="AN925" s="2">
        <v>114.79</v>
      </c>
      <c r="AO925" s="2" t="s">
        <v>905</v>
      </c>
      <c r="AP925" s="2" t="s">
        <v>982</v>
      </c>
      <c r="AQ925" s="2" t="s">
        <v>80</v>
      </c>
      <c r="AR925" s="2" t="s">
        <v>81</v>
      </c>
      <c r="AS925" s="2">
        <v>191</v>
      </c>
      <c r="AT925" s="2">
        <v>9</v>
      </c>
      <c r="AU925" s="2" t="s">
        <v>505</v>
      </c>
      <c r="AV925" s="2">
        <v>99.99</v>
      </c>
      <c r="AW925" s="2">
        <v>0</v>
      </c>
      <c r="AX925" s="2" t="s">
        <v>3734</v>
      </c>
      <c r="AY925" s="2" t="s">
        <v>83</v>
      </c>
      <c r="AZ925" s="4">
        <v>42940</v>
      </c>
      <c r="BA925" s="5">
        <v>0.20069444444444445</v>
      </c>
      <c r="BB925" s="2">
        <v>2017</v>
      </c>
      <c r="BC925" s="2" t="s">
        <v>533</v>
      </c>
      <c r="BD925" s="2">
        <v>24</v>
      </c>
      <c r="BE925" s="4">
        <v>42942</v>
      </c>
      <c r="BF925" s="5">
        <v>0.20069444444444445</v>
      </c>
      <c r="BG925" s="2" t="str" cm="1">
        <f t="array" ref="BG925">_xlfn.IFS(BF925&lt;TIMEVALUE("06:00"),"Night", BF925&gt;=TIMEVALUE("21:00"),"Night",BF925&gt;=TIMEVALUE("17:00"),"Evening",BF925&gt;=TIMEVALUE("12:00"),"Afternoon", BF925&gt;=TIMEVALUE("06:00"),"Morning")</f>
        <v>Night</v>
      </c>
      <c r="BH925" s="2">
        <v>2017</v>
      </c>
      <c r="BI925" s="2" t="s">
        <v>533</v>
      </c>
      <c r="BJ925" s="2">
        <v>26</v>
      </c>
    </row>
    <row r="926" spans="1:62" x14ac:dyDescent="0.3">
      <c r="A926" s="2" t="s">
        <v>62</v>
      </c>
      <c r="B926" s="2">
        <v>3</v>
      </c>
      <c r="C926" s="2">
        <v>4</v>
      </c>
      <c r="D926" s="2">
        <v>-215.23</v>
      </c>
      <c r="E926" s="2">
        <v>409.96</v>
      </c>
      <c r="F926" s="2" t="s">
        <v>63</v>
      </c>
      <c r="G926" s="2" t="s">
        <v>64</v>
      </c>
      <c r="H926" s="2">
        <v>9</v>
      </c>
      <c r="I926" s="2" t="s">
        <v>496</v>
      </c>
      <c r="J926" s="2" t="s">
        <v>3320</v>
      </c>
      <c r="K926" s="2" t="s">
        <v>102</v>
      </c>
      <c r="L926" s="2" t="s">
        <v>917</v>
      </c>
      <c r="M926" s="2">
        <v>9671</v>
      </c>
      <c r="N926" s="2" t="s">
        <v>425</v>
      </c>
      <c r="O926" s="2" t="s">
        <v>70</v>
      </c>
      <c r="P926" s="2" t="s">
        <v>105</v>
      </c>
      <c r="Q926" s="2" t="s">
        <v>3735</v>
      </c>
      <c r="R926" s="2">
        <v>93436</v>
      </c>
      <c r="S926" s="2">
        <v>3</v>
      </c>
      <c r="T926" s="2" t="s">
        <v>466</v>
      </c>
      <c r="U926" s="2">
        <v>34.646381400000003</v>
      </c>
      <c r="V926" s="2">
        <v>-120.4619675</v>
      </c>
      <c r="W926" s="2" t="s">
        <v>528</v>
      </c>
      <c r="X926" s="2" t="s">
        <v>3736</v>
      </c>
      <c r="Y926" s="2" t="s">
        <v>536</v>
      </c>
      <c r="Z926" s="2">
        <v>9671</v>
      </c>
      <c r="AA926" s="3">
        <v>42987.293055555558</v>
      </c>
      <c r="AB926" s="2">
        <v>67292</v>
      </c>
      <c r="AC926" s="2">
        <v>191</v>
      </c>
      <c r="AD926" s="2">
        <v>89.99</v>
      </c>
      <c r="AE926" s="2">
        <v>0.18</v>
      </c>
      <c r="AF926" s="2" t="str" cm="1">
        <f t="array" ref="AF926">_xlfn.IFS(AE926=0, "No Discount ", AE926&lt;=0.08,"Low Discount", AE926&lt;=0.16,"Medium Discount", AE926&gt;0.16, "High Discount")</f>
        <v>High Discount</v>
      </c>
      <c r="AG926" s="2">
        <v>168171</v>
      </c>
      <c r="AH926" s="2">
        <v>99.99</v>
      </c>
      <c r="AI926" s="2">
        <v>-0.53</v>
      </c>
      <c r="AJ926" s="2" t="str" cm="1">
        <f t="array" ref="AJ926">_xlfn.IFS(AI926&lt;=0, "No Profit", AI926&lt;=0.16,"Low Profit",AI926&lt;=0.32,"Medium Profit",AI926&gt;0.32,"High Profit")</f>
        <v>No Profit</v>
      </c>
      <c r="AK926" s="2">
        <v>5</v>
      </c>
      <c r="AL926" s="2">
        <v>499.95</v>
      </c>
      <c r="AM926" s="2">
        <v>409.96</v>
      </c>
      <c r="AN926" s="2">
        <v>-215.23</v>
      </c>
      <c r="AO926" s="2" t="s">
        <v>531</v>
      </c>
      <c r="AP926" s="2" t="s">
        <v>3737</v>
      </c>
      <c r="AQ926" s="2" t="s">
        <v>80</v>
      </c>
      <c r="AR926" s="2" t="s">
        <v>81</v>
      </c>
      <c r="AS926" s="2">
        <v>191</v>
      </c>
      <c r="AT926" s="2">
        <v>9</v>
      </c>
      <c r="AU926" s="2" t="s">
        <v>505</v>
      </c>
      <c r="AV926" s="2">
        <v>99.99</v>
      </c>
      <c r="AW926" s="2">
        <v>0</v>
      </c>
      <c r="AX926" s="3">
        <v>43078.293055555558</v>
      </c>
      <c r="AY926" s="2" t="s">
        <v>83</v>
      </c>
      <c r="AZ926" s="4">
        <v>42987</v>
      </c>
      <c r="BA926" s="5">
        <v>0.29305555555555557</v>
      </c>
      <c r="BB926" s="2">
        <v>2017</v>
      </c>
      <c r="BC926" s="2" t="s">
        <v>552</v>
      </c>
      <c r="BD926" s="2">
        <v>9</v>
      </c>
      <c r="BE926" s="4">
        <v>43078</v>
      </c>
      <c r="BF926" s="5">
        <v>0.29305555555555557</v>
      </c>
      <c r="BG926" s="2" t="str" cm="1">
        <f t="array" ref="BG926">_xlfn.IFS(BF926&lt;TIMEVALUE("06:00"),"Night", BF926&gt;=TIMEVALUE("21:00"),"Night",BF926&gt;=TIMEVALUE("17:00"),"Evening",BF926&gt;=TIMEVALUE("12:00"),"Afternoon", BF926&gt;=TIMEVALUE("06:00"),"Morning")</f>
        <v>Morning</v>
      </c>
      <c r="BH926" s="2">
        <v>2017</v>
      </c>
      <c r="BI926" s="2" t="s">
        <v>357</v>
      </c>
      <c r="BJ926" s="2">
        <v>9</v>
      </c>
    </row>
    <row r="927" spans="1:62" x14ac:dyDescent="0.3">
      <c r="A927" s="2" t="s">
        <v>62</v>
      </c>
      <c r="B927" s="2">
        <v>6</v>
      </c>
      <c r="C927" s="2">
        <v>4</v>
      </c>
      <c r="D927" s="2">
        <v>-286.97000000000003</v>
      </c>
      <c r="E927" s="2">
        <v>409.96</v>
      </c>
      <c r="F927" s="2" t="s">
        <v>87</v>
      </c>
      <c r="G927" s="2" t="s">
        <v>88</v>
      </c>
      <c r="H927" s="2">
        <v>9</v>
      </c>
      <c r="I927" s="2" t="s">
        <v>496</v>
      </c>
      <c r="J927" s="2" t="s">
        <v>3738</v>
      </c>
      <c r="K927" s="2" t="s">
        <v>102</v>
      </c>
      <c r="L927" s="2" t="s">
        <v>3739</v>
      </c>
      <c r="M927" s="2">
        <v>5283</v>
      </c>
      <c r="N927" s="2" t="s">
        <v>3740</v>
      </c>
      <c r="O927" s="2" t="s">
        <v>70</v>
      </c>
      <c r="P927" s="2" t="s">
        <v>105</v>
      </c>
      <c r="Q927" s="2" t="s">
        <v>3741</v>
      </c>
      <c r="R927" s="2">
        <v>92026</v>
      </c>
      <c r="S927" s="2">
        <v>3</v>
      </c>
      <c r="T927" s="2" t="s">
        <v>466</v>
      </c>
      <c r="U927" s="2">
        <v>33.139018999999998</v>
      </c>
      <c r="V927" s="2">
        <v>-117.09281919999999</v>
      </c>
      <c r="W927" s="2" t="s">
        <v>528</v>
      </c>
      <c r="X927" s="2" t="s">
        <v>930</v>
      </c>
      <c r="Y927" s="2" t="s">
        <v>530</v>
      </c>
      <c r="Z927" s="2">
        <v>5283</v>
      </c>
      <c r="AA927" s="2" t="s">
        <v>3742</v>
      </c>
      <c r="AB927" s="2">
        <v>65855</v>
      </c>
      <c r="AC927" s="2">
        <v>191</v>
      </c>
      <c r="AD927" s="2">
        <v>89.99</v>
      </c>
      <c r="AE927" s="2">
        <v>0.18</v>
      </c>
      <c r="AF927" s="2" t="str" cm="1">
        <f t="array" ref="AF927">_xlfn.IFS(AE927=0, "No Discount ", AE927&lt;=0.08,"Low Discount", AE927&lt;=0.16,"Medium Discount", AE927&gt;0.16, "High Discount")</f>
        <v>High Discount</v>
      </c>
      <c r="AG927" s="2">
        <v>164575</v>
      </c>
      <c r="AH927" s="2">
        <v>99.99</v>
      </c>
      <c r="AI927" s="2">
        <v>-0.7</v>
      </c>
      <c r="AJ927" s="2" t="str" cm="1">
        <f t="array" ref="AJ927">_xlfn.IFS(AI927&lt;=0, "No Profit", AI927&lt;=0.16,"Low Profit",AI927&lt;=0.32,"Medium Profit",AI927&gt;0.32,"High Profit")</f>
        <v>No Profit</v>
      </c>
      <c r="AK927" s="2">
        <v>5</v>
      </c>
      <c r="AL927" s="2">
        <v>499.95</v>
      </c>
      <c r="AM927" s="2">
        <v>409.96</v>
      </c>
      <c r="AN927" s="2">
        <v>-286.97000000000003</v>
      </c>
      <c r="AO927" s="2" t="s">
        <v>531</v>
      </c>
      <c r="AP927" s="2" t="s">
        <v>931</v>
      </c>
      <c r="AQ927" s="2" t="s">
        <v>80</v>
      </c>
      <c r="AR927" s="2" t="s">
        <v>81</v>
      </c>
      <c r="AS927" s="2">
        <v>191</v>
      </c>
      <c r="AT927" s="2">
        <v>9</v>
      </c>
      <c r="AU927" s="2" t="s">
        <v>505</v>
      </c>
      <c r="AV927" s="2">
        <v>99.99</v>
      </c>
      <c r="AW927" s="2">
        <v>0</v>
      </c>
      <c r="AX927" s="2" t="s">
        <v>3743</v>
      </c>
      <c r="AY927" s="2" t="s">
        <v>83</v>
      </c>
      <c r="AZ927" s="4">
        <v>42966</v>
      </c>
      <c r="BA927" s="5">
        <v>0.31597222222222221</v>
      </c>
      <c r="BB927" s="2">
        <v>2017</v>
      </c>
      <c r="BC927" s="2" t="s">
        <v>482</v>
      </c>
      <c r="BD927" s="2">
        <v>19</v>
      </c>
      <c r="BE927" s="4">
        <v>42972</v>
      </c>
      <c r="BF927" s="5">
        <v>0.31597222222222221</v>
      </c>
      <c r="BG927" s="2" t="str" cm="1">
        <f t="array" ref="BG927">_xlfn.IFS(BF927&lt;TIMEVALUE("06:00"),"Night", BF927&gt;=TIMEVALUE("21:00"),"Night",BF927&gt;=TIMEVALUE("17:00"),"Evening",BF927&gt;=TIMEVALUE("12:00"),"Afternoon", BF927&gt;=TIMEVALUE("06:00"),"Morning")</f>
        <v>Morning</v>
      </c>
      <c r="BH927" s="2">
        <v>2017</v>
      </c>
      <c r="BI927" s="2" t="s">
        <v>482</v>
      </c>
      <c r="BJ927" s="2">
        <v>25</v>
      </c>
    </row>
    <row r="928" spans="1:62" x14ac:dyDescent="0.3">
      <c r="A928" s="2" t="s">
        <v>62</v>
      </c>
      <c r="B928" s="2">
        <v>2</v>
      </c>
      <c r="C928" s="2">
        <v>4</v>
      </c>
      <c r="D928" s="2">
        <v>36.08</v>
      </c>
      <c r="E928" s="2">
        <v>409.96</v>
      </c>
      <c r="F928" s="2" t="s">
        <v>63</v>
      </c>
      <c r="G928" s="2" t="s">
        <v>64</v>
      </c>
      <c r="H928" s="2">
        <v>9</v>
      </c>
      <c r="I928" s="2" t="s">
        <v>496</v>
      </c>
      <c r="J928" s="2" t="s">
        <v>2634</v>
      </c>
      <c r="K928" s="2" t="s">
        <v>102</v>
      </c>
      <c r="L928" s="2" t="s">
        <v>414</v>
      </c>
      <c r="M928" s="2">
        <v>3364</v>
      </c>
      <c r="N928" s="2" t="s">
        <v>1556</v>
      </c>
      <c r="O928" s="2" t="s">
        <v>70</v>
      </c>
      <c r="P928" s="2" t="s">
        <v>105</v>
      </c>
      <c r="Q928" s="2" t="s">
        <v>2197</v>
      </c>
      <c r="R928" s="2">
        <v>94553</v>
      </c>
      <c r="S928" s="2">
        <v>3</v>
      </c>
      <c r="T928" s="2" t="s">
        <v>466</v>
      </c>
      <c r="U928" s="2">
        <v>38.011993400000001</v>
      </c>
      <c r="V928" s="2">
        <v>-122.1196899</v>
      </c>
      <c r="W928" s="2" t="s">
        <v>528</v>
      </c>
      <c r="X928" s="2" t="s">
        <v>1087</v>
      </c>
      <c r="Y928" s="2" t="s">
        <v>1088</v>
      </c>
      <c r="Z928" s="2">
        <v>3364</v>
      </c>
      <c r="AA928" s="2" t="s">
        <v>3744</v>
      </c>
      <c r="AB928" s="2">
        <v>64531</v>
      </c>
      <c r="AC928" s="2">
        <v>191</v>
      </c>
      <c r="AD928" s="2">
        <v>89.99</v>
      </c>
      <c r="AE928" s="2">
        <v>0.18</v>
      </c>
      <c r="AF928" s="2" t="str" cm="1">
        <f t="array" ref="AF928">_xlfn.IFS(AE928=0, "No Discount ", AE928&lt;=0.08,"Low Discount", AE928&lt;=0.16,"Medium Discount", AE928&gt;0.16, "High Discount")</f>
        <v>High Discount</v>
      </c>
      <c r="AG928" s="2">
        <v>161304</v>
      </c>
      <c r="AH928" s="2">
        <v>99.99</v>
      </c>
      <c r="AI928" s="2">
        <v>0.09</v>
      </c>
      <c r="AJ928" s="2" t="str" cm="1">
        <f t="array" ref="AJ928">_xlfn.IFS(AI928&lt;=0, "No Profit", AI928&lt;=0.16,"Low Profit",AI928&lt;=0.32,"Medium Profit",AI928&gt;0.32,"High Profit")</f>
        <v>Low Profit</v>
      </c>
      <c r="AK928" s="2">
        <v>5</v>
      </c>
      <c r="AL928" s="2">
        <v>499.95</v>
      </c>
      <c r="AM928" s="2">
        <v>409.96</v>
      </c>
      <c r="AN928" s="2">
        <v>36.08</v>
      </c>
      <c r="AO928" s="2" t="s">
        <v>531</v>
      </c>
      <c r="AP928" s="2" t="s">
        <v>1087</v>
      </c>
      <c r="AQ928" s="2" t="s">
        <v>80</v>
      </c>
      <c r="AR928" s="2" t="s">
        <v>81</v>
      </c>
      <c r="AS928" s="2">
        <v>191</v>
      </c>
      <c r="AT928" s="2">
        <v>9</v>
      </c>
      <c r="AU928" s="2" t="s">
        <v>505</v>
      </c>
      <c r="AV928" s="2">
        <v>99.99</v>
      </c>
      <c r="AW928" s="2">
        <v>0</v>
      </c>
      <c r="AX928" s="3">
        <v>42743.988888888889</v>
      </c>
      <c r="AY928" s="2" t="s">
        <v>83</v>
      </c>
      <c r="AZ928" s="4">
        <v>42946</v>
      </c>
      <c r="BA928" s="5">
        <v>0.98888888888888893</v>
      </c>
      <c r="BB928" s="2">
        <v>2017</v>
      </c>
      <c r="BC928" s="2" t="s">
        <v>533</v>
      </c>
      <c r="BD928" s="2">
        <v>30</v>
      </c>
      <c r="BE928" s="4">
        <v>42743</v>
      </c>
      <c r="BF928" s="5">
        <v>0.98888888888888893</v>
      </c>
      <c r="BG928" s="2" t="str" cm="1">
        <f t="array" ref="BG928">_xlfn.IFS(BF928&lt;TIMEVALUE("06:00"),"Night", BF928&gt;=TIMEVALUE("21:00"),"Night",BF928&gt;=TIMEVALUE("17:00"),"Evening",BF928&gt;=TIMEVALUE("12:00"),"Afternoon", BF928&gt;=TIMEVALUE("06:00"),"Morning")</f>
        <v>Night</v>
      </c>
      <c r="BH928" s="2">
        <v>2017</v>
      </c>
      <c r="BI928" s="2" t="s">
        <v>84</v>
      </c>
      <c r="BJ928" s="2">
        <v>8</v>
      </c>
    </row>
    <row r="929" spans="1:62" x14ac:dyDescent="0.3">
      <c r="A929" s="2" t="s">
        <v>62</v>
      </c>
      <c r="B929" s="2">
        <v>4</v>
      </c>
      <c r="C929" s="2">
        <v>4</v>
      </c>
      <c r="D929" s="2">
        <v>184.48</v>
      </c>
      <c r="E929" s="2">
        <v>409.96</v>
      </c>
      <c r="F929" s="2" t="s">
        <v>100</v>
      </c>
      <c r="G929" s="2" t="s">
        <v>64</v>
      </c>
      <c r="H929" s="2">
        <v>9</v>
      </c>
      <c r="I929" s="2" t="s">
        <v>496</v>
      </c>
      <c r="J929" s="2" t="s">
        <v>3745</v>
      </c>
      <c r="K929" s="2" t="s">
        <v>102</v>
      </c>
      <c r="L929" s="2" t="s">
        <v>1711</v>
      </c>
      <c r="M929" s="2">
        <v>2170</v>
      </c>
      <c r="N929" s="2" t="s">
        <v>425</v>
      </c>
      <c r="O929" s="2" t="s">
        <v>70</v>
      </c>
      <c r="P929" s="2" t="s">
        <v>294</v>
      </c>
      <c r="Q929" s="2" t="s">
        <v>3746</v>
      </c>
      <c r="R929" s="2">
        <v>48098</v>
      </c>
      <c r="S929" s="2">
        <v>3</v>
      </c>
      <c r="T929" s="2" t="s">
        <v>466</v>
      </c>
      <c r="U929" s="2">
        <v>42.580459599999998</v>
      </c>
      <c r="V929" s="2">
        <v>-83.1560135</v>
      </c>
      <c r="W929" s="2" t="s">
        <v>528</v>
      </c>
      <c r="X929" s="2" t="s">
        <v>3747</v>
      </c>
      <c r="Y929" s="2" t="s">
        <v>536</v>
      </c>
      <c r="Z929" s="2">
        <v>2170</v>
      </c>
      <c r="AA929" s="3">
        <v>42195.793749999997</v>
      </c>
      <c r="AB929" s="2">
        <v>19168</v>
      </c>
      <c r="AC929" s="2">
        <v>191</v>
      </c>
      <c r="AD929" s="2">
        <v>89.99</v>
      </c>
      <c r="AE929" s="2">
        <v>0.18</v>
      </c>
      <c r="AF929" s="2" t="str" cm="1">
        <f t="array" ref="AF929">_xlfn.IFS(AE929=0, "No Discount ", AE929&lt;=0.08,"Low Discount", AE929&lt;=0.16,"Medium Discount", AE929&gt;0.16, "High Discount")</f>
        <v>High Discount</v>
      </c>
      <c r="AG929" s="2">
        <v>47903</v>
      </c>
      <c r="AH929" s="2">
        <v>99.99</v>
      </c>
      <c r="AI929" s="2">
        <v>0.45</v>
      </c>
      <c r="AJ929" s="2" t="str" cm="1">
        <f t="array" ref="AJ929">_xlfn.IFS(AI929&lt;=0, "No Profit", AI929&lt;=0.16,"Low Profit",AI929&lt;=0.32,"Medium Profit",AI929&gt;0.32,"High Profit")</f>
        <v>High Profit</v>
      </c>
      <c r="AK929" s="2">
        <v>5</v>
      </c>
      <c r="AL929" s="2">
        <v>499.95</v>
      </c>
      <c r="AM929" s="2">
        <v>409.96</v>
      </c>
      <c r="AN929" s="2">
        <v>184.48</v>
      </c>
      <c r="AO929" s="2" t="s">
        <v>531</v>
      </c>
      <c r="AP929" s="2" t="s">
        <v>568</v>
      </c>
      <c r="AQ929" s="2" t="s">
        <v>80</v>
      </c>
      <c r="AR929" s="2" t="s">
        <v>81</v>
      </c>
      <c r="AS929" s="2">
        <v>191</v>
      </c>
      <c r="AT929" s="2">
        <v>9</v>
      </c>
      <c r="AU929" s="2" t="s">
        <v>505</v>
      </c>
      <c r="AV929" s="2">
        <v>99.99</v>
      </c>
      <c r="AW929" s="2">
        <v>0</v>
      </c>
      <c r="AX929" s="3">
        <v>42318.793749999997</v>
      </c>
      <c r="AY929" s="2" t="s">
        <v>83</v>
      </c>
      <c r="AZ929" s="4">
        <v>42195</v>
      </c>
      <c r="BA929" s="5">
        <v>0.79374999999999996</v>
      </c>
      <c r="BB929" s="2">
        <v>2015</v>
      </c>
      <c r="BC929" s="2" t="s">
        <v>533</v>
      </c>
      <c r="BD929" s="2">
        <v>10</v>
      </c>
      <c r="BE929" s="4">
        <v>42318</v>
      </c>
      <c r="BF929" s="5">
        <v>0.79374999999999996</v>
      </c>
      <c r="BG929" s="2" t="str" cm="1">
        <f t="array" ref="BG929">_xlfn.IFS(BF929&lt;TIMEVALUE("06:00"),"Night", BF929&gt;=TIMEVALUE("21:00"),"Night",BF929&gt;=TIMEVALUE("17:00"),"Evening",BF929&gt;=TIMEVALUE("12:00"),"Afternoon", BF929&gt;=TIMEVALUE("06:00"),"Morning")</f>
        <v>Evening</v>
      </c>
      <c r="BH929" s="2">
        <v>2015</v>
      </c>
      <c r="BI929" s="2" t="s">
        <v>455</v>
      </c>
      <c r="BJ929" s="2">
        <v>10</v>
      </c>
    </row>
    <row r="930" spans="1:62" x14ac:dyDescent="0.3">
      <c r="A930" s="2" t="s">
        <v>62</v>
      </c>
      <c r="B930" s="2">
        <v>5</v>
      </c>
      <c r="C930" s="2">
        <v>4</v>
      </c>
      <c r="D930" s="2">
        <v>-51.59</v>
      </c>
      <c r="E930" s="2">
        <v>399.96</v>
      </c>
      <c r="F930" s="2" t="s">
        <v>87</v>
      </c>
      <c r="G930" s="2" t="s">
        <v>88</v>
      </c>
      <c r="H930" s="2">
        <v>9</v>
      </c>
      <c r="I930" s="2" t="s">
        <v>496</v>
      </c>
      <c r="J930" s="2" t="s">
        <v>1234</v>
      </c>
      <c r="K930" s="2" t="s">
        <v>102</v>
      </c>
      <c r="L930" s="2" t="s">
        <v>2089</v>
      </c>
      <c r="M930" s="2">
        <v>11348</v>
      </c>
      <c r="N930" s="2" t="s">
        <v>3748</v>
      </c>
      <c r="O930" s="2" t="s">
        <v>70</v>
      </c>
      <c r="P930" s="2" t="s">
        <v>234</v>
      </c>
      <c r="Q930" s="2" t="s">
        <v>3749</v>
      </c>
      <c r="R930" s="2">
        <v>62040</v>
      </c>
      <c r="S930" s="2">
        <v>3</v>
      </c>
      <c r="T930" s="2" t="s">
        <v>466</v>
      </c>
      <c r="U930" s="2">
        <v>38.723236100000001</v>
      </c>
      <c r="V930" s="2">
        <v>-90.0668182</v>
      </c>
      <c r="W930" s="2" t="s">
        <v>528</v>
      </c>
      <c r="X930" s="2" t="s">
        <v>2814</v>
      </c>
      <c r="Y930" s="2" t="s">
        <v>557</v>
      </c>
      <c r="Z930" s="2">
        <v>11348</v>
      </c>
      <c r="AA930" s="2" t="s">
        <v>3750</v>
      </c>
      <c r="AB930" s="2">
        <v>16299</v>
      </c>
      <c r="AC930" s="2">
        <v>191</v>
      </c>
      <c r="AD930" s="2">
        <v>99.99</v>
      </c>
      <c r="AE930" s="2">
        <v>0.2</v>
      </c>
      <c r="AF930" s="2" t="str" cm="1">
        <f t="array" ref="AF930">_xlfn.IFS(AE930=0, "No Discount ", AE930&lt;=0.08,"Low Discount", AE930&lt;=0.16,"Medium Discount", AE930&gt;0.16, "High Discount")</f>
        <v>High Discount</v>
      </c>
      <c r="AG930" s="2">
        <v>40696</v>
      </c>
      <c r="AH930" s="2">
        <v>99.99</v>
      </c>
      <c r="AI930" s="2">
        <v>-0.13</v>
      </c>
      <c r="AJ930" s="2" t="str" cm="1">
        <f t="array" ref="AJ930">_xlfn.IFS(AI930&lt;=0, "No Profit", AI930&lt;=0.16,"Low Profit",AI930&lt;=0.32,"Medium Profit",AI930&gt;0.32,"High Profit")</f>
        <v>No Profit</v>
      </c>
      <c r="AK930" s="2">
        <v>5</v>
      </c>
      <c r="AL930" s="2">
        <v>499.95</v>
      </c>
      <c r="AM930" s="2">
        <v>399.96</v>
      </c>
      <c r="AN930" s="2">
        <v>-51.59</v>
      </c>
      <c r="AO930" s="2" t="s">
        <v>558</v>
      </c>
      <c r="AP930" s="2" t="s">
        <v>559</v>
      </c>
      <c r="AQ930" s="2" t="s">
        <v>80</v>
      </c>
      <c r="AR930" s="2" t="s">
        <v>81</v>
      </c>
      <c r="AS930" s="2">
        <v>191</v>
      </c>
      <c r="AT930" s="2">
        <v>9</v>
      </c>
      <c r="AU930" s="2" t="s">
        <v>505</v>
      </c>
      <c r="AV930" s="2">
        <v>99.99</v>
      </c>
      <c r="AW930" s="2">
        <v>0</v>
      </c>
      <c r="AX930" s="2" t="s">
        <v>3751</v>
      </c>
      <c r="AY930" s="2" t="s">
        <v>83</v>
      </c>
      <c r="AZ930" s="4">
        <v>42242</v>
      </c>
      <c r="BA930" s="5">
        <v>0.91249999999999998</v>
      </c>
      <c r="BB930" s="2">
        <v>2015</v>
      </c>
      <c r="BC930" s="2" t="s">
        <v>482</v>
      </c>
      <c r="BD930" s="2">
        <v>26</v>
      </c>
      <c r="BE930" s="4">
        <v>42247</v>
      </c>
      <c r="BF930" s="5">
        <v>0.91249999999999998</v>
      </c>
      <c r="BG930" s="2" t="str" cm="1">
        <f t="array" ref="BG930">_xlfn.IFS(BF930&lt;TIMEVALUE("06:00"),"Night", BF930&gt;=TIMEVALUE("21:00"),"Night",BF930&gt;=TIMEVALUE("17:00"),"Evening",BF930&gt;=TIMEVALUE("12:00"),"Afternoon", BF930&gt;=TIMEVALUE("06:00"),"Morning")</f>
        <v>Night</v>
      </c>
      <c r="BH930" s="2">
        <v>2015</v>
      </c>
      <c r="BI930" s="2" t="s">
        <v>482</v>
      </c>
      <c r="BJ930" s="2">
        <v>31</v>
      </c>
    </row>
    <row r="931" spans="1:62" x14ac:dyDescent="0.3">
      <c r="A931" s="2" t="s">
        <v>62</v>
      </c>
      <c r="B931" s="2">
        <v>4</v>
      </c>
      <c r="C931" s="2">
        <v>4</v>
      </c>
      <c r="D931" s="2">
        <v>135.19</v>
      </c>
      <c r="E931" s="2">
        <v>399.96</v>
      </c>
      <c r="F931" s="2" t="s">
        <v>100</v>
      </c>
      <c r="G931" s="2" t="s">
        <v>64</v>
      </c>
      <c r="H931" s="2">
        <v>9</v>
      </c>
      <c r="I931" s="2" t="s">
        <v>496</v>
      </c>
      <c r="J931" s="2" t="s">
        <v>3465</v>
      </c>
      <c r="K931" s="2" t="s">
        <v>102</v>
      </c>
      <c r="L931" s="2" t="s">
        <v>1240</v>
      </c>
      <c r="M931" s="2">
        <v>10224</v>
      </c>
      <c r="N931" s="2" t="s">
        <v>787</v>
      </c>
      <c r="O931" s="2" t="s">
        <v>70</v>
      </c>
      <c r="P931" s="2" t="s">
        <v>3468</v>
      </c>
      <c r="Q931" s="2" t="s">
        <v>2982</v>
      </c>
      <c r="R931" s="2">
        <v>89030</v>
      </c>
      <c r="S931" s="2">
        <v>3</v>
      </c>
      <c r="T931" s="2" t="s">
        <v>466</v>
      </c>
      <c r="U931" s="2">
        <v>36.199466700000002</v>
      </c>
      <c r="V931" s="2">
        <v>-115.10886379999999</v>
      </c>
      <c r="W931" s="2" t="s">
        <v>528</v>
      </c>
      <c r="X931" s="2" t="s">
        <v>529</v>
      </c>
      <c r="Y931" s="2" t="s">
        <v>530</v>
      </c>
      <c r="Z931" s="2">
        <v>10224</v>
      </c>
      <c r="AA931" s="3">
        <v>42256.474305555559</v>
      </c>
      <c r="AB931" s="2">
        <v>17228</v>
      </c>
      <c r="AC931" s="2">
        <v>191</v>
      </c>
      <c r="AD931" s="2">
        <v>99.99</v>
      </c>
      <c r="AE931" s="2">
        <v>0.2</v>
      </c>
      <c r="AF931" s="2" t="str" cm="1">
        <f t="array" ref="AF931">_xlfn.IFS(AE931=0, "No Discount ", AE931&lt;=0.08,"Low Discount", AE931&lt;=0.16,"Medium Discount", AE931&gt;0.16, "High Discount")</f>
        <v>High Discount</v>
      </c>
      <c r="AG931" s="2">
        <v>43087</v>
      </c>
      <c r="AH931" s="2">
        <v>99.99</v>
      </c>
      <c r="AI931" s="2">
        <v>0.34</v>
      </c>
      <c r="AJ931" s="2" t="str" cm="1">
        <f t="array" ref="AJ931">_xlfn.IFS(AI931&lt;=0, "No Profit", AI931&lt;=0.16,"Low Profit",AI931&lt;=0.32,"Medium Profit",AI931&gt;0.32,"High Profit")</f>
        <v>High Profit</v>
      </c>
      <c r="AK931" s="2">
        <v>5</v>
      </c>
      <c r="AL931" s="2">
        <v>499.95</v>
      </c>
      <c r="AM931" s="2">
        <v>399.96</v>
      </c>
      <c r="AN931" s="2">
        <v>135.19</v>
      </c>
      <c r="AO931" s="2" t="s">
        <v>531</v>
      </c>
      <c r="AP931" s="2" t="s">
        <v>532</v>
      </c>
      <c r="AQ931" s="2" t="s">
        <v>80</v>
      </c>
      <c r="AR931" s="2" t="s">
        <v>81</v>
      </c>
      <c r="AS931" s="2">
        <v>191</v>
      </c>
      <c r="AT931" s="2">
        <v>9</v>
      </c>
      <c r="AU931" s="2" t="s">
        <v>505</v>
      </c>
      <c r="AV931" s="2">
        <v>99.99</v>
      </c>
      <c r="AW931" s="2">
        <v>0</v>
      </c>
      <c r="AX931" s="2" t="s">
        <v>3752</v>
      </c>
      <c r="AY931" s="2" t="s">
        <v>83</v>
      </c>
      <c r="AZ931" s="4">
        <v>42256</v>
      </c>
      <c r="BA931" s="5">
        <v>0.47430555555555554</v>
      </c>
      <c r="BB931" s="2">
        <v>2015</v>
      </c>
      <c r="BC931" s="2" t="s">
        <v>552</v>
      </c>
      <c r="BD931" s="2">
        <v>9</v>
      </c>
      <c r="BE931" s="4">
        <v>42260</v>
      </c>
      <c r="BF931" s="5">
        <v>0.47430555555555554</v>
      </c>
      <c r="BG931" s="2" t="str" cm="1">
        <f t="array" ref="BG931">_xlfn.IFS(BF931&lt;TIMEVALUE("06:00"),"Night", BF931&gt;=TIMEVALUE("21:00"),"Night",BF931&gt;=TIMEVALUE("17:00"),"Evening",BF931&gt;=TIMEVALUE("12:00"),"Afternoon", BF931&gt;=TIMEVALUE("06:00"),"Morning")</f>
        <v>Morning</v>
      </c>
      <c r="BH931" s="2">
        <v>2015</v>
      </c>
      <c r="BI931" s="2" t="s">
        <v>552</v>
      </c>
      <c r="BJ931" s="2">
        <v>13</v>
      </c>
    </row>
    <row r="932" spans="1:62" x14ac:dyDescent="0.3">
      <c r="A932" s="2" t="s">
        <v>62</v>
      </c>
      <c r="B932" s="2">
        <v>5</v>
      </c>
      <c r="C932" s="2">
        <v>4</v>
      </c>
      <c r="D932" s="2">
        <v>145.19</v>
      </c>
      <c r="E932" s="2">
        <v>399.96</v>
      </c>
      <c r="F932" s="2" t="s">
        <v>87</v>
      </c>
      <c r="G932" s="2" t="s">
        <v>88</v>
      </c>
      <c r="H932" s="2">
        <v>9</v>
      </c>
      <c r="I932" s="2" t="s">
        <v>496</v>
      </c>
      <c r="J932" s="2" t="s">
        <v>3753</v>
      </c>
      <c r="K932" s="2" t="s">
        <v>102</v>
      </c>
      <c r="L932" s="2" t="s">
        <v>1304</v>
      </c>
      <c r="M932" s="2">
        <v>7006</v>
      </c>
      <c r="N932" s="2" t="s">
        <v>425</v>
      </c>
      <c r="O932" s="2" t="s">
        <v>70</v>
      </c>
      <c r="P932" s="2" t="s">
        <v>1394</v>
      </c>
      <c r="Q932" s="2" t="s">
        <v>3754</v>
      </c>
      <c r="R932" s="2">
        <v>22204</v>
      </c>
      <c r="S932" s="2">
        <v>3</v>
      </c>
      <c r="T932" s="2" t="s">
        <v>466</v>
      </c>
      <c r="U932" s="2">
        <v>38.865959199999999</v>
      </c>
      <c r="V932" s="2">
        <v>-77.133255000000005</v>
      </c>
      <c r="W932" s="2" t="s">
        <v>528</v>
      </c>
      <c r="X932" s="2" t="s">
        <v>2545</v>
      </c>
      <c r="Y932" s="2" t="s">
        <v>530</v>
      </c>
      <c r="Z932" s="2">
        <v>7006</v>
      </c>
      <c r="AA932" s="2" t="s">
        <v>3755</v>
      </c>
      <c r="AB932" s="2">
        <v>68289</v>
      </c>
      <c r="AC932" s="2">
        <v>191</v>
      </c>
      <c r="AD932" s="2">
        <v>99.99</v>
      </c>
      <c r="AE932" s="2">
        <v>0.2</v>
      </c>
      <c r="AF932" s="2" t="str" cm="1">
        <f t="array" ref="AF932">_xlfn.IFS(AE932=0, "No Discount ", AE932&lt;=0.08,"Low Discount", AE932&lt;=0.16,"Medium Discount", AE932&gt;0.16, "High Discount")</f>
        <v>High Discount</v>
      </c>
      <c r="AG932" s="2">
        <v>170721</v>
      </c>
      <c r="AH932" s="2">
        <v>99.99</v>
      </c>
      <c r="AI932" s="2">
        <v>0.36</v>
      </c>
      <c r="AJ932" s="2" t="str" cm="1">
        <f t="array" ref="AJ932">_xlfn.IFS(AI932&lt;=0, "No Profit", AI932&lt;=0.16,"Low Profit",AI932&lt;=0.32,"Medium Profit",AI932&gt;0.32,"High Profit")</f>
        <v>High Profit</v>
      </c>
      <c r="AK932" s="2">
        <v>5</v>
      </c>
      <c r="AL932" s="2">
        <v>499.95</v>
      </c>
      <c r="AM932" s="2">
        <v>399.96</v>
      </c>
      <c r="AN932" s="2">
        <v>145.19</v>
      </c>
      <c r="AO932" s="2" t="s">
        <v>531</v>
      </c>
      <c r="AP932" s="2" t="s">
        <v>2545</v>
      </c>
      <c r="AQ932" s="2" t="s">
        <v>80</v>
      </c>
      <c r="AR932" s="2" t="s">
        <v>81</v>
      </c>
      <c r="AS932" s="2">
        <v>191</v>
      </c>
      <c r="AT932" s="2">
        <v>9</v>
      </c>
      <c r="AU932" s="2" t="s">
        <v>505</v>
      </c>
      <c r="AV932" s="2">
        <v>99.99</v>
      </c>
      <c r="AW932" s="2">
        <v>0</v>
      </c>
      <c r="AX932" s="2" t="s">
        <v>3756</v>
      </c>
      <c r="AY932" s="2" t="s">
        <v>83</v>
      </c>
      <c r="AZ932" s="4">
        <v>43001</v>
      </c>
      <c r="BA932" s="5">
        <v>0.84652777777777777</v>
      </c>
      <c r="BB932" s="2">
        <v>2017</v>
      </c>
      <c r="BC932" s="2" t="s">
        <v>552</v>
      </c>
      <c r="BD932" s="2">
        <v>23</v>
      </c>
      <c r="BE932" s="4">
        <v>43006</v>
      </c>
      <c r="BF932" s="5">
        <v>0.84652777777777777</v>
      </c>
      <c r="BG932" s="2" t="str" cm="1">
        <f t="array" ref="BG932">_xlfn.IFS(BF932&lt;TIMEVALUE("06:00"),"Night", BF932&gt;=TIMEVALUE("21:00"),"Night",BF932&gt;=TIMEVALUE("17:00"),"Evening",BF932&gt;=TIMEVALUE("12:00"),"Afternoon", BF932&gt;=TIMEVALUE("06:00"),"Morning")</f>
        <v>Evening</v>
      </c>
      <c r="BH932" s="2">
        <v>2017</v>
      </c>
      <c r="BI932" s="2" t="s">
        <v>552</v>
      </c>
      <c r="BJ932" s="2">
        <v>28</v>
      </c>
    </row>
    <row r="933" spans="1:62" x14ac:dyDescent="0.3">
      <c r="A933" s="2" t="s">
        <v>62</v>
      </c>
      <c r="B933" s="2">
        <v>5</v>
      </c>
      <c r="C933" s="2">
        <v>4</v>
      </c>
      <c r="D933" s="2">
        <v>140.61000000000001</v>
      </c>
      <c r="E933" s="2">
        <v>374.96</v>
      </c>
      <c r="F933" s="2" t="s">
        <v>87</v>
      </c>
      <c r="G933" s="2" t="s">
        <v>88</v>
      </c>
      <c r="H933" s="2">
        <v>9</v>
      </c>
      <c r="I933" s="2" t="s">
        <v>496</v>
      </c>
      <c r="J933" s="2" t="s">
        <v>130</v>
      </c>
      <c r="K933" s="2" t="s">
        <v>102</v>
      </c>
      <c r="L933" s="2" t="s">
        <v>414</v>
      </c>
      <c r="M933" s="2">
        <v>7363</v>
      </c>
      <c r="N933" s="2" t="s">
        <v>3757</v>
      </c>
      <c r="O933" s="2" t="s">
        <v>70</v>
      </c>
      <c r="P933" s="2" t="s">
        <v>133</v>
      </c>
      <c r="Q933" s="2" t="s">
        <v>3758</v>
      </c>
      <c r="R933" s="2">
        <v>14150</v>
      </c>
      <c r="S933" s="2">
        <v>3</v>
      </c>
      <c r="T933" s="2" t="s">
        <v>466</v>
      </c>
      <c r="U933" s="2">
        <v>43.013969400000001</v>
      </c>
      <c r="V933" s="2">
        <v>-78.879066499999993</v>
      </c>
      <c r="W933" s="2" t="s">
        <v>528</v>
      </c>
      <c r="X933" s="2" t="s">
        <v>2467</v>
      </c>
      <c r="Y933" s="2" t="s">
        <v>1715</v>
      </c>
      <c r="Z933" s="2">
        <v>7363</v>
      </c>
      <c r="AA933" s="2" t="s">
        <v>3759</v>
      </c>
      <c r="AB933" s="2">
        <v>47509</v>
      </c>
      <c r="AC933" s="2">
        <v>191</v>
      </c>
      <c r="AD933" s="2">
        <v>124.99</v>
      </c>
      <c r="AE933" s="2">
        <v>0.25</v>
      </c>
      <c r="AF933" s="2" t="str" cm="1">
        <f t="array" ref="AF933">_xlfn.IFS(AE933=0, "No Discount ", AE933&lt;=0.08,"Low Discount", AE933&lt;=0.16,"Medium Discount", AE933&gt;0.16, "High Discount")</f>
        <v>High Discount</v>
      </c>
      <c r="AG933" s="2">
        <v>118768</v>
      </c>
      <c r="AH933" s="2">
        <v>99.99</v>
      </c>
      <c r="AI933" s="2">
        <v>0.38</v>
      </c>
      <c r="AJ933" s="2" t="str" cm="1">
        <f t="array" ref="AJ933">_xlfn.IFS(AI933&lt;=0, "No Profit", AI933&lt;=0.16,"Low Profit",AI933&lt;=0.32,"Medium Profit",AI933&gt;0.32,"High Profit")</f>
        <v>High Profit</v>
      </c>
      <c r="AK933" s="2">
        <v>5</v>
      </c>
      <c r="AL933" s="2">
        <v>499.95</v>
      </c>
      <c r="AM933" s="2">
        <v>374.96</v>
      </c>
      <c r="AN933" s="2">
        <v>140.61000000000001</v>
      </c>
      <c r="AO933" s="2" t="s">
        <v>1717</v>
      </c>
      <c r="AP933" s="2" t="s">
        <v>2467</v>
      </c>
      <c r="AQ933" s="2" t="s">
        <v>80</v>
      </c>
      <c r="AR933" s="2" t="s">
        <v>81</v>
      </c>
      <c r="AS933" s="2">
        <v>191</v>
      </c>
      <c r="AT933" s="2">
        <v>9</v>
      </c>
      <c r="AU933" s="2" t="s">
        <v>505</v>
      </c>
      <c r="AV933" s="2">
        <v>99.99</v>
      </c>
      <c r="AW933" s="2">
        <v>0</v>
      </c>
      <c r="AX933" s="2" t="s">
        <v>3760</v>
      </c>
      <c r="AY933" s="2" t="s">
        <v>83</v>
      </c>
      <c r="AZ933" s="4">
        <v>42698</v>
      </c>
      <c r="BA933" s="5">
        <v>0.50694444444444442</v>
      </c>
      <c r="BB933" s="2">
        <v>2016</v>
      </c>
      <c r="BC933" s="2" t="s">
        <v>455</v>
      </c>
      <c r="BD933" s="2">
        <v>24</v>
      </c>
      <c r="BE933" s="4">
        <v>42703</v>
      </c>
      <c r="BF933" s="5">
        <v>0.50694444444444442</v>
      </c>
      <c r="BG933" s="2" t="str" cm="1">
        <f t="array" ref="BG933">_xlfn.IFS(BF933&lt;TIMEVALUE("06:00"),"Night", BF933&gt;=TIMEVALUE("21:00"),"Night",BF933&gt;=TIMEVALUE("17:00"),"Evening",BF933&gt;=TIMEVALUE("12:00"),"Afternoon", BF933&gt;=TIMEVALUE("06:00"),"Morning")</f>
        <v>Afternoon</v>
      </c>
      <c r="BH933" s="2">
        <v>2016</v>
      </c>
      <c r="BI933" s="2" t="s">
        <v>455</v>
      </c>
      <c r="BJ933" s="2">
        <v>29</v>
      </c>
    </row>
    <row r="934" spans="1:62" x14ac:dyDescent="0.3">
      <c r="A934" s="2" t="s">
        <v>62</v>
      </c>
      <c r="B934" s="2">
        <v>2</v>
      </c>
      <c r="C934" s="2">
        <v>4</v>
      </c>
      <c r="D934" s="2">
        <v>179.98</v>
      </c>
      <c r="E934" s="2">
        <v>374.96</v>
      </c>
      <c r="F934" s="2" t="s">
        <v>63</v>
      </c>
      <c r="G934" s="2" t="s">
        <v>64</v>
      </c>
      <c r="H934" s="2">
        <v>9</v>
      </c>
      <c r="I934" s="2" t="s">
        <v>496</v>
      </c>
      <c r="J934" s="2" t="s">
        <v>3745</v>
      </c>
      <c r="K934" s="2" t="s">
        <v>102</v>
      </c>
      <c r="L934" s="2" t="s">
        <v>414</v>
      </c>
      <c r="M934" s="2">
        <v>1595</v>
      </c>
      <c r="N934" s="2" t="s">
        <v>425</v>
      </c>
      <c r="O934" s="2" t="s">
        <v>70</v>
      </c>
      <c r="P934" s="2" t="s">
        <v>294</v>
      </c>
      <c r="Q934" s="2" t="s">
        <v>3761</v>
      </c>
      <c r="R934" s="2">
        <v>48098</v>
      </c>
      <c r="S934" s="2">
        <v>3</v>
      </c>
      <c r="T934" s="2" t="s">
        <v>466</v>
      </c>
      <c r="U934" s="2">
        <v>42.6096687</v>
      </c>
      <c r="V934" s="2">
        <v>-83.163787799999994</v>
      </c>
      <c r="W934" s="2" t="s">
        <v>528</v>
      </c>
      <c r="X934" s="2" t="s">
        <v>3762</v>
      </c>
      <c r="Y934" s="2" t="s">
        <v>557</v>
      </c>
      <c r="Z934" s="2">
        <v>1595</v>
      </c>
      <c r="AA934" s="3">
        <v>42256.225694444445</v>
      </c>
      <c r="AB934" s="2">
        <v>17211</v>
      </c>
      <c r="AC934" s="2">
        <v>191</v>
      </c>
      <c r="AD934" s="2">
        <v>124.99</v>
      </c>
      <c r="AE934" s="2">
        <v>0.25</v>
      </c>
      <c r="AF934" s="2" t="str" cm="1">
        <f t="array" ref="AF934">_xlfn.IFS(AE934=0, "No Discount ", AE934&lt;=0.08,"Low Discount", AE934&lt;=0.16,"Medium Discount", AE934&gt;0.16, "High Discount")</f>
        <v>High Discount</v>
      </c>
      <c r="AG934" s="2">
        <v>43053</v>
      </c>
      <c r="AH934" s="2">
        <v>99.99</v>
      </c>
      <c r="AI934" s="2">
        <v>0.48</v>
      </c>
      <c r="AJ934" s="2" t="str" cm="1">
        <f t="array" ref="AJ934">_xlfn.IFS(AI934&lt;=0, "No Profit", AI934&lt;=0.16,"Low Profit",AI934&lt;=0.32,"Medium Profit",AI934&gt;0.32,"High Profit")</f>
        <v>High Profit</v>
      </c>
      <c r="AK934" s="2">
        <v>5</v>
      </c>
      <c r="AL934" s="2">
        <v>499.95</v>
      </c>
      <c r="AM934" s="2">
        <v>374.96</v>
      </c>
      <c r="AN934" s="2">
        <v>179.98</v>
      </c>
      <c r="AO934" s="2" t="s">
        <v>558</v>
      </c>
      <c r="AP934" s="2" t="s">
        <v>559</v>
      </c>
      <c r="AQ934" s="2" t="s">
        <v>80</v>
      </c>
      <c r="AR934" s="2" t="s">
        <v>81</v>
      </c>
      <c r="AS934" s="2">
        <v>191</v>
      </c>
      <c r="AT934" s="2">
        <v>9</v>
      </c>
      <c r="AU934" s="2" t="s">
        <v>505</v>
      </c>
      <c r="AV934" s="2">
        <v>99.99</v>
      </c>
      <c r="AW934" s="2">
        <v>0</v>
      </c>
      <c r="AX934" s="3">
        <v>42317.225694444445</v>
      </c>
      <c r="AY934" s="2" t="s">
        <v>83</v>
      </c>
      <c r="AZ934" s="4">
        <v>42256</v>
      </c>
      <c r="BA934" s="5">
        <v>0.22569444444444445</v>
      </c>
      <c r="BB934" s="2">
        <v>2015</v>
      </c>
      <c r="BC934" s="2" t="s">
        <v>552</v>
      </c>
      <c r="BD934" s="2">
        <v>9</v>
      </c>
      <c r="BE934" s="4">
        <v>42317</v>
      </c>
      <c r="BF934" s="5">
        <v>0.22569444444444445</v>
      </c>
      <c r="BG934" s="2" t="str" cm="1">
        <f t="array" ref="BG934">_xlfn.IFS(BF934&lt;TIMEVALUE("06:00"),"Night", BF934&gt;=TIMEVALUE("21:00"),"Night",BF934&gt;=TIMEVALUE("17:00"),"Evening",BF934&gt;=TIMEVALUE("12:00"),"Afternoon", BF934&gt;=TIMEVALUE("06:00"),"Morning")</f>
        <v>Night</v>
      </c>
      <c r="BH934" s="2">
        <v>2015</v>
      </c>
      <c r="BI934" s="2" t="s">
        <v>455</v>
      </c>
      <c r="BJ934" s="2">
        <v>9</v>
      </c>
    </row>
    <row r="935" spans="1:62" x14ac:dyDescent="0.3">
      <c r="A935" s="2" t="s">
        <v>62</v>
      </c>
      <c r="B935" s="2">
        <v>5</v>
      </c>
      <c r="C935" s="2">
        <v>4</v>
      </c>
      <c r="D935" s="2">
        <v>168.73</v>
      </c>
      <c r="E935" s="2">
        <v>374.96</v>
      </c>
      <c r="F935" s="2" t="s">
        <v>87</v>
      </c>
      <c r="G935" s="2" t="s">
        <v>88</v>
      </c>
      <c r="H935" s="2">
        <v>9</v>
      </c>
      <c r="I935" s="2" t="s">
        <v>496</v>
      </c>
      <c r="J935" s="2" t="s">
        <v>1274</v>
      </c>
      <c r="K935" s="2" t="s">
        <v>102</v>
      </c>
      <c r="L935" s="2" t="s">
        <v>563</v>
      </c>
      <c r="M935" s="2">
        <v>7492</v>
      </c>
      <c r="N935" s="2" t="s">
        <v>425</v>
      </c>
      <c r="O935" s="2" t="s">
        <v>70</v>
      </c>
      <c r="P935" s="2" t="s">
        <v>105</v>
      </c>
      <c r="Q935" s="2" t="s">
        <v>3763</v>
      </c>
      <c r="R935" s="2">
        <v>93063</v>
      </c>
      <c r="S935" s="2">
        <v>3</v>
      </c>
      <c r="T935" s="2" t="s">
        <v>466</v>
      </c>
      <c r="U935" s="2">
        <v>34.267913800000002</v>
      </c>
      <c r="V935" s="2">
        <v>-118.6712112</v>
      </c>
      <c r="W935" s="2" t="s">
        <v>528</v>
      </c>
      <c r="X935" s="2" t="s">
        <v>3332</v>
      </c>
      <c r="Y935" s="2" t="s">
        <v>530</v>
      </c>
      <c r="Z935" s="2">
        <v>7492</v>
      </c>
      <c r="AA935" s="3">
        <v>42863.287499999999</v>
      </c>
      <c r="AB935" s="2">
        <v>64894</v>
      </c>
      <c r="AC935" s="2">
        <v>191</v>
      </c>
      <c r="AD935" s="2">
        <v>124.99</v>
      </c>
      <c r="AE935" s="2">
        <v>0.25</v>
      </c>
      <c r="AF935" s="2" t="str" cm="1">
        <f t="array" ref="AF935">_xlfn.IFS(AE935=0, "No Discount ", AE935&lt;=0.08,"Low Discount", AE935&lt;=0.16,"Medium Discount", AE935&gt;0.16, "High Discount")</f>
        <v>High Discount</v>
      </c>
      <c r="AG935" s="2">
        <v>162221</v>
      </c>
      <c r="AH935" s="2">
        <v>99.99</v>
      </c>
      <c r="AI935" s="2">
        <v>0.45</v>
      </c>
      <c r="AJ935" s="2" t="str" cm="1">
        <f t="array" ref="AJ935">_xlfn.IFS(AI935&lt;=0, "No Profit", AI935&lt;=0.16,"Low Profit",AI935&lt;=0.32,"Medium Profit",AI935&gt;0.32,"High Profit")</f>
        <v>High Profit</v>
      </c>
      <c r="AK935" s="2">
        <v>5</v>
      </c>
      <c r="AL935" s="2">
        <v>499.95</v>
      </c>
      <c r="AM935" s="2">
        <v>374.96</v>
      </c>
      <c r="AN935" s="2">
        <v>168.73</v>
      </c>
      <c r="AO935" s="2" t="s">
        <v>531</v>
      </c>
      <c r="AP935" s="2" t="s">
        <v>2704</v>
      </c>
      <c r="AQ935" s="2" t="s">
        <v>80</v>
      </c>
      <c r="AR935" s="2" t="s">
        <v>81</v>
      </c>
      <c r="AS935" s="2">
        <v>191</v>
      </c>
      <c r="AT935" s="2">
        <v>9</v>
      </c>
      <c r="AU935" s="2" t="s">
        <v>505</v>
      </c>
      <c r="AV935" s="2">
        <v>99.99</v>
      </c>
      <c r="AW935" s="2">
        <v>0</v>
      </c>
      <c r="AX935" s="3">
        <v>43016.287499999999</v>
      </c>
      <c r="AY935" s="2" t="s">
        <v>83</v>
      </c>
      <c r="AZ935" s="4">
        <v>42863</v>
      </c>
      <c r="BA935" s="5">
        <v>0.28749999999999998</v>
      </c>
      <c r="BB935" s="2">
        <v>2017</v>
      </c>
      <c r="BC935" s="2" t="s">
        <v>443</v>
      </c>
      <c r="BD935" s="2">
        <v>8</v>
      </c>
      <c r="BE935" s="4">
        <v>43016</v>
      </c>
      <c r="BF935" s="5">
        <v>0.28749999999999998</v>
      </c>
      <c r="BG935" s="2" t="str" cm="1">
        <f t="array" ref="BG935">_xlfn.IFS(BF935&lt;TIMEVALUE("06:00"),"Night", BF935&gt;=TIMEVALUE("21:00"),"Night",BF935&gt;=TIMEVALUE("17:00"),"Evening",BF935&gt;=TIMEVALUE("12:00"),"Afternoon", BF935&gt;=TIMEVALUE("06:00"),"Morning")</f>
        <v>Morning</v>
      </c>
      <c r="BH935" s="2">
        <v>2017</v>
      </c>
      <c r="BI935" s="2" t="s">
        <v>434</v>
      </c>
      <c r="BJ935" s="2">
        <v>8</v>
      </c>
    </row>
    <row r="936" spans="1:62" x14ac:dyDescent="0.3">
      <c r="A936" s="2" t="s">
        <v>62</v>
      </c>
      <c r="B936" s="2">
        <v>4</v>
      </c>
      <c r="C936" s="2">
        <v>4</v>
      </c>
      <c r="D936" s="2">
        <v>-61.12</v>
      </c>
      <c r="E936" s="2">
        <v>374.96</v>
      </c>
      <c r="F936" s="2" t="s">
        <v>100</v>
      </c>
      <c r="G936" s="2" t="s">
        <v>64</v>
      </c>
      <c r="H936" s="2">
        <v>9</v>
      </c>
      <c r="I936" s="2" t="s">
        <v>496</v>
      </c>
      <c r="J936" s="2" t="s">
        <v>3180</v>
      </c>
      <c r="K936" s="2" t="s">
        <v>102</v>
      </c>
      <c r="L936" s="2" t="s">
        <v>1613</v>
      </c>
      <c r="M936" s="2">
        <v>9821</v>
      </c>
      <c r="N936" s="2" t="s">
        <v>425</v>
      </c>
      <c r="O936" s="2" t="s">
        <v>70</v>
      </c>
      <c r="P936" s="2" t="s">
        <v>201</v>
      </c>
      <c r="Q936" s="2" t="s">
        <v>3764</v>
      </c>
      <c r="R936" s="2">
        <v>2740</v>
      </c>
      <c r="S936" s="2">
        <v>3</v>
      </c>
      <c r="T936" s="2" t="s">
        <v>466</v>
      </c>
      <c r="U936" s="2">
        <v>41.6280365</v>
      </c>
      <c r="V936" s="2">
        <v>-70.927017199999995</v>
      </c>
      <c r="W936" s="2" t="s">
        <v>528</v>
      </c>
      <c r="X936" s="2" t="s">
        <v>3765</v>
      </c>
      <c r="Y936" s="2" t="s">
        <v>536</v>
      </c>
      <c r="Z936" s="2">
        <v>9821</v>
      </c>
      <c r="AA936" s="2" t="s">
        <v>3766</v>
      </c>
      <c r="AB936" s="2">
        <v>67818</v>
      </c>
      <c r="AC936" s="2">
        <v>191</v>
      </c>
      <c r="AD936" s="2">
        <v>124.99</v>
      </c>
      <c r="AE936" s="2">
        <v>0.25</v>
      </c>
      <c r="AF936" s="2" t="str" cm="1">
        <f t="array" ref="AF936">_xlfn.IFS(AE936=0, "No Discount ", AE936&lt;=0.08,"Low Discount", AE936&lt;=0.16,"Medium Discount", AE936&gt;0.16, "High Discount")</f>
        <v>High Discount</v>
      </c>
      <c r="AG936" s="2">
        <v>169554</v>
      </c>
      <c r="AH936" s="2">
        <v>99.99</v>
      </c>
      <c r="AI936" s="2">
        <v>-0.16</v>
      </c>
      <c r="AJ936" s="2" t="str" cm="1">
        <f t="array" ref="AJ936">_xlfn.IFS(AI936&lt;=0, "No Profit", AI936&lt;=0.16,"Low Profit",AI936&lt;=0.32,"Medium Profit",AI936&gt;0.32,"High Profit")</f>
        <v>No Profit</v>
      </c>
      <c r="AK936" s="2">
        <v>5</v>
      </c>
      <c r="AL936" s="2">
        <v>499.95</v>
      </c>
      <c r="AM936" s="2">
        <v>374.96</v>
      </c>
      <c r="AN936" s="2">
        <v>-61.12</v>
      </c>
      <c r="AO936" s="2" t="s">
        <v>531</v>
      </c>
      <c r="AP936" s="2" t="s">
        <v>538</v>
      </c>
      <c r="AQ936" s="2" t="s">
        <v>80</v>
      </c>
      <c r="AR936" s="2" t="s">
        <v>81</v>
      </c>
      <c r="AS936" s="2">
        <v>191</v>
      </c>
      <c r="AT936" s="2">
        <v>9</v>
      </c>
      <c r="AU936" s="2" t="s">
        <v>505</v>
      </c>
      <c r="AV936" s="2">
        <v>99.99</v>
      </c>
      <c r="AW936" s="2">
        <v>0</v>
      </c>
      <c r="AX936" s="2" t="s">
        <v>3767</v>
      </c>
      <c r="AY936" s="2" t="s">
        <v>83</v>
      </c>
      <c r="AZ936" s="4">
        <v>42994</v>
      </c>
      <c r="BA936" s="5">
        <v>0.97083333333333333</v>
      </c>
      <c r="BB936" s="2">
        <v>2017</v>
      </c>
      <c r="BC936" s="2" t="s">
        <v>552</v>
      </c>
      <c r="BD936" s="2">
        <v>16</v>
      </c>
      <c r="BE936" s="4">
        <v>42998</v>
      </c>
      <c r="BF936" s="5">
        <v>0.97083333333333333</v>
      </c>
      <c r="BG936" s="2" t="str" cm="1">
        <f t="array" ref="BG936">_xlfn.IFS(BF936&lt;TIMEVALUE("06:00"),"Night", BF936&gt;=TIMEVALUE("21:00"),"Night",BF936&gt;=TIMEVALUE("17:00"),"Evening",BF936&gt;=TIMEVALUE("12:00"),"Afternoon", BF936&gt;=TIMEVALUE("06:00"),"Morning")</f>
        <v>Night</v>
      </c>
      <c r="BH936" s="2">
        <v>2017</v>
      </c>
      <c r="BI936" s="2" t="s">
        <v>552</v>
      </c>
      <c r="BJ936" s="2">
        <v>20</v>
      </c>
    </row>
    <row r="937" spans="1:62" x14ac:dyDescent="0.3">
      <c r="A937" s="2" t="s">
        <v>62</v>
      </c>
      <c r="B937" s="2">
        <v>4</v>
      </c>
      <c r="C937" s="2">
        <v>4</v>
      </c>
      <c r="D937" s="2">
        <v>122.98</v>
      </c>
      <c r="E937" s="2">
        <v>299.95</v>
      </c>
      <c r="F937" s="2" t="s">
        <v>100</v>
      </c>
      <c r="G937" s="2" t="s">
        <v>64</v>
      </c>
      <c r="H937" s="2">
        <v>17</v>
      </c>
      <c r="I937" s="2" t="s">
        <v>412</v>
      </c>
      <c r="J937" s="2" t="s">
        <v>1252</v>
      </c>
      <c r="K937" s="2" t="s">
        <v>102</v>
      </c>
      <c r="L937" s="2" t="s">
        <v>2606</v>
      </c>
      <c r="M937" s="2">
        <v>5246</v>
      </c>
      <c r="N937" s="2" t="s">
        <v>425</v>
      </c>
      <c r="O937" s="2" t="s">
        <v>70</v>
      </c>
      <c r="P937" s="2" t="s">
        <v>1254</v>
      </c>
      <c r="Q937" s="2" t="s">
        <v>3768</v>
      </c>
      <c r="R937" s="2">
        <v>85281</v>
      </c>
      <c r="S937" s="2">
        <v>4</v>
      </c>
      <c r="T937" s="2" t="s">
        <v>417</v>
      </c>
      <c r="U937" s="2">
        <v>33.415199299999998</v>
      </c>
      <c r="V937" s="2">
        <v>-111.9199905</v>
      </c>
      <c r="W937" s="2" t="s">
        <v>528</v>
      </c>
      <c r="X937" s="2" t="s">
        <v>3769</v>
      </c>
      <c r="Y937" s="2" t="s">
        <v>983</v>
      </c>
      <c r="Z937" s="2">
        <v>5246</v>
      </c>
      <c r="AA937" s="2" t="s">
        <v>3770</v>
      </c>
      <c r="AB937" s="2">
        <v>16218</v>
      </c>
      <c r="AC937" s="2">
        <v>365</v>
      </c>
      <c r="AD937" s="2">
        <v>0</v>
      </c>
      <c r="AE937" s="2">
        <v>0</v>
      </c>
      <c r="AF937" s="2" t="str" cm="1">
        <f t="array" ref="AF937">_xlfn.IFS(AE937=0, "No Discount ", AE937&lt;=0.08,"Low Discount", AE937&lt;=0.16,"Medium Discount", AE937&gt;0.16, "High Discount")</f>
        <v xml:space="preserve">No Discount </v>
      </c>
      <c r="AG937" s="2">
        <v>40487</v>
      </c>
      <c r="AH937" s="2">
        <v>59.99</v>
      </c>
      <c r="AI937" s="2">
        <v>0.41</v>
      </c>
      <c r="AJ937" s="2" t="str" cm="1">
        <f t="array" ref="AJ937">_xlfn.IFS(AI937&lt;=0, "No Profit", AI937&lt;=0.16,"Low Profit",AI937&lt;=0.32,"Medium Profit",AI937&gt;0.32,"High Profit")</f>
        <v>High Profit</v>
      </c>
      <c r="AK937" s="2">
        <v>5</v>
      </c>
      <c r="AL937" s="2">
        <v>299.95</v>
      </c>
      <c r="AM937" s="2">
        <v>299.95</v>
      </c>
      <c r="AN937" s="2">
        <v>122.98</v>
      </c>
      <c r="AO937" s="2" t="s">
        <v>905</v>
      </c>
      <c r="AP937" s="2" t="s">
        <v>2783</v>
      </c>
      <c r="AQ937" s="2" t="s">
        <v>80</v>
      </c>
      <c r="AR937" s="2" t="s">
        <v>81</v>
      </c>
      <c r="AS937" s="2">
        <v>365</v>
      </c>
      <c r="AT937" s="2">
        <v>17</v>
      </c>
      <c r="AU937" s="2" t="s">
        <v>421</v>
      </c>
      <c r="AV937" s="2">
        <v>59.99</v>
      </c>
      <c r="AW937" s="2">
        <v>0</v>
      </c>
      <c r="AX937" s="2" t="s">
        <v>3771</v>
      </c>
      <c r="AY937" s="2" t="s">
        <v>83</v>
      </c>
      <c r="AZ937" s="4">
        <v>42241</v>
      </c>
      <c r="BA937" s="5">
        <v>0.73055555555555551</v>
      </c>
      <c r="BB937" s="2">
        <v>2015</v>
      </c>
      <c r="BC937" s="2" t="s">
        <v>482</v>
      </c>
      <c r="BD937" s="2">
        <v>25</v>
      </c>
      <c r="BE937" s="4">
        <v>42245</v>
      </c>
      <c r="BF937" s="5">
        <v>0.73055555555555551</v>
      </c>
      <c r="BG937" s="2" t="str" cm="1">
        <f t="array" ref="BG937">_xlfn.IFS(BF937&lt;TIMEVALUE("06:00"),"Night", BF937&gt;=TIMEVALUE("21:00"),"Night",BF937&gt;=TIMEVALUE("17:00"),"Evening",BF937&gt;=TIMEVALUE("12:00"),"Afternoon", BF937&gt;=TIMEVALUE("06:00"),"Morning")</f>
        <v>Evening</v>
      </c>
      <c r="BH937" s="2">
        <v>2015</v>
      </c>
      <c r="BI937" s="2" t="s">
        <v>482</v>
      </c>
      <c r="BJ937" s="2">
        <v>29</v>
      </c>
    </row>
    <row r="938" spans="1:62" x14ac:dyDescent="0.3">
      <c r="A938" s="2" t="s">
        <v>62</v>
      </c>
      <c r="B938" s="2">
        <v>2</v>
      </c>
      <c r="C938" s="2">
        <v>4</v>
      </c>
      <c r="D938" s="2">
        <v>86.99</v>
      </c>
      <c r="E938" s="2">
        <v>299.95</v>
      </c>
      <c r="F938" s="2" t="s">
        <v>63</v>
      </c>
      <c r="G938" s="2" t="s">
        <v>64</v>
      </c>
      <c r="H938" s="2">
        <v>17</v>
      </c>
      <c r="I938" s="2" t="s">
        <v>412</v>
      </c>
      <c r="J938" s="2" t="s">
        <v>343</v>
      </c>
      <c r="K938" s="2" t="s">
        <v>102</v>
      </c>
      <c r="L938" s="2" t="s">
        <v>553</v>
      </c>
      <c r="M938" s="2">
        <v>558</v>
      </c>
      <c r="N938" s="2" t="s">
        <v>2449</v>
      </c>
      <c r="O938" s="2" t="s">
        <v>70</v>
      </c>
      <c r="P938" s="2" t="s">
        <v>280</v>
      </c>
      <c r="Q938" s="2" t="s">
        <v>3772</v>
      </c>
      <c r="R938" s="2">
        <v>17013</v>
      </c>
      <c r="S938" s="2">
        <v>4</v>
      </c>
      <c r="T938" s="2" t="s">
        <v>417</v>
      </c>
      <c r="U938" s="2">
        <v>40.200038900000003</v>
      </c>
      <c r="V938" s="2">
        <v>-77.243919399999996</v>
      </c>
      <c r="W938" s="2" t="s">
        <v>528</v>
      </c>
      <c r="X938" s="2" t="s">
        <v>3773</v>
      </c>
      <c r="Y938" s="2" t="s">
        <v>904</v>
      </c>
      <c r="Z938" s="2">
        <v>558</v>
      </c>
      <c r="AA938" s="2" t="s">
        <v>3774</v>
      </c>
      <c r="AB938" s="2">
        <v>11391</v>
      </c>
      <c r="AC938" s="2">
        <v>365</v>
      </c>
      <c r="AD938" s="2">
        <v>0</v>
      </c>
      <c r="AE938" s="2">
        <v>0</v>
      </c>
      <c r="AF938" s="2" t="str" cm="1">
        <f t="array" ref="AF938">_xlfn.IFS(AE938=0, "No Discount ", AE938&lt;=0.08,"Low Discount", AE938&lt;=0.16,"Medium Discount", AE938&gt;0.16, "High Discount")</f>
        <v xml:space="preserve">No Discount </v>
      </c>
      <c r="AG938" s="2">
        <v>28483</v>
      </c>
      <c r="AH938" s="2">
        <v>59.99</v>
      </c>
      <c r="AI938" s="2">
        <v>0.28999999999999998</v>
      </c>
      <c r="AJ938" s="2" t="str" cm="1">
        <f t="array" ref="AJ938">_xlfn.IFS(AI938&lt;=0, "No Profit", AI938&lt;=0.16,"Low Profit",AI938&lt;=0.32,"Medium Profit",AI938&gt;0.32,"High Profit")</f>
        <v>Medium Profit</v>
      </c>
      <c r="AK938" s="2">
        <v>5</v>
      </c>
      <c r="AL938" s="2">
        <v>299.95</v>
      </c>
      <c r="AM938" s="2">
        <v>299.95</v>
      </c>
      <c r="AN938" s="2">
        <v>86.99</v>
      </c>
      <c r="AO938" s="2" t="s">
        <v>905</v>
      </c>
      <c r="AP938" s="2" t="s">
        <v>2700</v>
      </c>
      <c r="AQ938" s="2" t="s">
        <v>80</v>
      </c>
      <c r="AR938" s="2" t="s">
        <v>81</v>
      </c>
      <c r="AS938" s="2">
        <v>365</v>
      </c>
      <c r="AT938" s="2">
        <v>17</v>
      </c>
      <c r="AU938" s="2" t="s">
        <v>421</v>
      </c>
      <c r="AV938" s="2">
        <v>59.99</v>
      </c>
      <c r="AW938" s="2">
        <v>0</v>
      </c>
      <c r="AX938" s="2" t="s">
        <v>3775</v>
      </c>
      <c r="AY938" s="2" t="s">
        <v>83</v>
      </c>
      <c r="AZ938" s="4">
        <v>42171</v>
      </c>
      <c r="BA938" s="5">
        <v>0.2673611111111111</v>
      </c>
      <c r="BB938" s="2">
        <v>2015</v>
      </c>
      <c r="BC938" s="2" t="s">
        <v>474</v>
      </c>
      <c r="BD938" s="2">
        <v>16</v>
      </c>
      <c r="BE938" s="4">
        <v>42173</v>
      </c>
      <c r="BF938" s="5">
        <v>0.2673611111111111</v>
      </c>
      <c r="BG938" s="2" t="str" cm="1">
        <f t="array" ref="BG938">_xlfn.IFS(BF938&lt;TIMEVALUE("06:00"),"Night", BF938&gt;=TIMEVALUE("21:00"),"Night",BF938&gt;=TIMEVALUE("17:00"),"Evening",BF938&gt;=TIMEVALUE("12:00"),"Afternoon", BF938&gt;=TIMEVALUE("06:00"),"Morning")</f>
        <v>Morning</v>
      </c>
      <c r="BH938" s="2">
        <v>2015</v>
      </c>
      <c r="BI938" s="2" t="s">
        <v>474</v>
      </c>
      <c r="BJ938" s="2">
        <v>18</v>
      </c>
    </row>
    <row r="939" spans="1:62" x14ac:dyDescent="0.3">
      <c r="A939" s="2" t="s">
        <v>62</v>
      </c>
      <c r="B939" s="2">
        <v>2</v>
      </c>
      <c r="C939" s="2">
        <v>4</v>
      </c>
      <c r="D939" s="2">
        <v>-44.99</v>
      </c>
      <c r="E939" s="2">
        <v>299.95</v>
      </c>
      <c r="F939" s="2" t="s">
        <v>63</v>
      </c>
      <c r="G939" s="2" t="s">
        <v>64</v>
      </c>
      <c r="H939" s="2">
        <v>17</v>
      </c>
      <c r="I939" s="2" t="s">
        <v>412</v>
      </c>
      <c r="J939" s="2" t="s">
        <v>330</v>
      </c>
      <c r="K939" s="2" t="s">
        <v>102</v>
      </c>
      <c r="L939" s="2" t="s">
        <v>414</v>
      </c>
      <c r="M939" s="2">
        <v>1063</v>
      </c>
      <c r="N939" s="2" t="s">
        <v>3776</v>
      </c>
      <c r="O939" s="2" t="s">
        <v>70</v>
      </c>
      <c r="P939" s="2" t="s">
        <v>333</v>
      </c>
      <c r="Q939" s="2" t="s">
        <v>3777</v>
      </c>
      <c r="R939" s="2">
        <v>75227</v>
      </c>
      <c r="S939" s="2">
        <v>4</v>
      </c>
      <c r="T939" s="2" t="s">
        <v>417</v>
      </c>
      <c r="U939" s="2">
        <v>32.775897999999998</v>
      </c>
      <c r="V939" s="2">
        <v>-96.685882599999999</v>
      </c>
      <c r="W939" s="2" t="s">
        <v>528</v>
      </c>
      <c r="X939" s="2" t="s">
        <v>982</v>
      </c>
      <c r="Y939" s="2" t="s">
        <v>983</v>
      </c>
      <c r="Z939" s="2">
        <v>1063</v>
      </c>
      <c r="AA939" s="3">
        <v>42317.780555555553</v>
      </c>
      <c r="AB939" s="2">
        <v>17386</v>
      </c>
      <c r="AC939" s="2">
        <v>365</v>
      </c>
      <c r="AD939" s="2">
        <v>0</v>
      </c>
      <c r="AE939" s="2">
        <v>0</v>
      </c>
      <c r="AF939" s="2" t="str" cm="1">
        <f t="array" ref="AF939">_xlfn.IFS(AE939=0, "No Discount ", AE939&lt;=0.08,"Low Discount", AE939&lt;=0.16,"Medium Discount", AE939&gt;0.16, "High Discount")</f>
        <v xml:space="preserve">No Discount </v>
      </c>
      <c r="AG939" s="2">
        <v>43448</v>
      </c>
      <c r="AH939" s="2">
        <v>59.99</v>
      </c>
      <c r="AI939" s="2">
        <v>-0.15</v>
      </c>
      <c r="AJ939" s="2" t="str" cm="1">
        <f t="array" ref="AJ939">_xlfn.IFS(AI939&lt;=0, "No Profit", AI939&lt;=0.16,"Low Profit",AI939&lt;=0.32,"Medium Profit",AI939&gt;0.32,"High Profit")</f>
        <v>No Profit</v>
      </c>
      <c r="AK939" s="2">
        <v>5</v>
      </c>
      <c r="AL939" s="2">
        <v>299.95</v>
      </c>
      <c r="AM939" s="2">
        <v>299.95</v>
      </c>
      <c r="AN939" s="2">
        <v>-44.99</v>
      </c>
      <c r="AO939" s="2" t="s">
        <v>905</v>
      </c>
      <c r="AP939" s="2" t="s">
        <v>982</v>
      </c>
      <c r="AQ939" s="2" t="s">
        <v>80</v>
      </c>
      <c r="AR939" s="2" t="s">
        <v>81</v>
      </c>
      <c r="AS939" s="2">
        <v>365</v>
      </c>
      <c r="AT939" s="2">
        <v>17</v>
      </c>
      <c r="AU939" s="2" t="s">
        <v>421</v>
      </c>
      <c r="AV939" s="2">
        <v>59.99</v>
      </c>
      <c r="AW939" s="2">
        <v>0</v>
      </c>
      <c r="AX939" s="2" t="s">
        <v>3778</v>
      </c>
      <c r="AY939" s="2" t="s">
        <v>83</v>
      </c>
      <c r="AZ939" s="4">
        <v>42317</v>
      </c>
      <c r="BA939" s="5">
        <v>0.78055555555555556</v>
      </c>
      <c r="BB939" s="2">
        <v>2015</v>
      </c>
      <c r="BC939" s="2" t="s">
        <v>455</v>
      </c>
      <c r="BD939" s="2">
        <v>9</v>
      </c>
      <c r="BE939" s="4">
        <v>42260</v>
      </c>
      <c r="BF939" s="5">
        <v>0.78055555555555556</v>
      </c>
      <c r="BG939" s="2" t="str" cm="1">
        <f t="array" ref="BG939">_xlfn.IFS(BF939&lt;TIMEVALUE("06:00"),"Night", BF939&gt;=TIMEVALUE("21:00"),"Night",BF939&gt;=TIMEVALUE("17:00"),"Evening",BF939&gt;=TIMEVALUE("12:00"),"Afternoon", BF939&gt;=TIMEVALUE("06:00"),"Morning")</f>
        <v>Evening</v>
      </c>
      <c r="BH939" s="2">
        <v>2015</v>
      </c>
      <c r="BI939" s="2" t="s">
        <v>552</v>
      </c>
      <c r="BJ939" s="2">
        <v>13</v>
      </c>
    </row>
    <row r="940" spans="1:62" x14ac:dyDescent="0.3">
      <c r="A940" s="2" t="s">
        <v>62</v>
      </c>
      <c r="B940" s="2">
        <v>4</v>
      </c>
      <c r="C940" s="2">
        <v>4</v>
      </c>
      <c r="D940" s="2">
        <v>-824.86</v>
      </c>
      <c r="E940" s="2">
        <v>299.95</v>
      </c>
      <c r="F940" s="2" t="s">
        <v>100</v>
      </c>
      <c r="G940" s="2" t="s">
        <v>64</v>
      </c>
      <c r="H940" s="2">
        <v>17</v>
      </c>
      <c r="I940" s="2" t="s">
        <v>412</v>
      </c>
      <c r="J940" s="2" t="s">
        <v>1031</v>
      </c>
      <c r="K940" s="2" t="s">
        <v>102</v>
      </c>
      <c r="L940" s="2" t="s">
        <v>1590</v>
      </c>
      <c r="M940" s="2">
        <v>2610</v>
      </c>
      <c r="N940" s="2" t="s">
        <v>1462</v>
      </c>
      <c r="O940" s="2" t="s">
        <v>70</v>
      </c>
      <c r="P940" s="2" t="s">
        <v>105</v>
      </c>
      <c r="Q940" s="2" t="s">
        <v>3779</v>
      </c>
      <c r="R940" s="2">
        <v>95616</v>
      </c>
      <c r="S940" s="2">
        <v>4</v>
      </c>
      <c r="T940" s="2" t="s">
        <v>417</v>
      </c>
      <c r="U940" s="2">
        <v>38.546661399999998</v>
      </c>
      <c r="V940" s="2">
        <v>-121.7412109</v>
      </c>
      <c r="W940" s="2" t="s">
        <v>528</v>
      </c>
      <c r="X940" s="2" t="s">
        <v>3210</v>
      </c>
      <c r="Y940" s="2" t="s">
        <v>530</v>
      </c>
      <c r="Z940" s="2">
        <v>2610</v>
      </c>
      <c r="AA940" s="2" t="s">
        <v>3780</v>
      </c>
      <c r="AB940" s="2">
        <v>11968</v>
      </c>
      <c r="AC940" s="2">
        <v>365</v>
      </c>
      <c r="AD940" s="2">
        <v>0</v>
      </c>
      <c r="AE940" s="2">
        <v>0</v>
      </c>
      <c r="AF940" s="2" t="str" cm="1">
        <f t="array" ref="AF940">_xlfn.IFS(AE940=0, "No Discount ", AE940&lt;=0.08,"Low Discount", AE940&lt;=0.16,"Medium Discount", AE940&gt;0.16, "High Discount")</f>
        <v xml:space="preserve">No Discount </v>
      </c>
      <c r="AG940" s="2">
        <v>29901</v>
      </c>
      <c r="AH940" s="2">
        <v>59.99</v>
      </c>
      <c r="AI940" s="2">
        <v>-2.75</v>
      </c>
      <c r="AJ940" s="2" t="str" cm="1">
        <f t="array" ref="AJ940">_xlfn.IFS(AI940&lt;=0, "No Profit", AI940&lt;=0.16,"Low Profit",AI940&lt;=0.32,"Medium Profit",AI940&gt;0.32,"High Profit")</f>
        <v>No Profit</v>
      </c>
      <c r="AK940" s="2">
        <v>5</v>
      </c>
      <c r="AL940" s="2">
        <v>299.95</v>
      </c>
      <c r="AM940" s="2">
        <v>299.95</v>
      </c>
      <c r="AN940" s="2">
        <v>-824.86</v>
      </c>
      <c r="AO940" s="2" t="s">
        <v>531</v>
      </c>
      <c r="AP940" s="2" t="s">
        <v>532</v>
      </c>
      <c r="AQ940" s="2" t="s">
        <v>80</v>
      </c>
      <c r="AR940" s="2" t="s">
        <v>81</v>
      </c>
      <c r="AS940" s="2">
        <v>365</v>
      </c>
      <c r="AT940" s="2">
        <v>17</v>
      </c>
      <c r="AU940" s="2" t="s">
        <v>421</v>
      </c>
      <c r="AV940" s="2">
        <v>59.99</v>
      </c>
      <c r="AW940" s="2">
        <v>0</v>
      </c>
      <c r="AX940" s="2" t="s">
        <v>3781</v>
      </c>
      <c r="AY940" s="2" t="s">
        <v>83</v>
      </c>
      <c r="AZ940" s="4">
        <v>42179</v>
      </c>
      <c r="BA940" s="5">
        <v>0.69027777777777777</v>
      </c>
      <c r="BB940" s="2">
        <v>2015</v>
      </c>
      <c r="BC940" s="2" t="s">
        <v>474</v>
      </c>
      <c r="BD940" s="2">
        <v>24</v>
      </c>
      <c r="BE940" s="4">
        <v>42183</v>
      </c>
      <c r="BF940" s="5">
        <v>0.69027777777777777</v>
      </c>
      <c r="BG940" s="2" t="str" cm="1">
        <f t="array" ref="BG940">_xlfn.IFS(BF940&lt;TIMEVALUE("06:00"),"Night", BF940&gt;=TIMEVALUE("21:00"),"Night",BF940&gt;=TIMEVALUE("17:00"),"Evening",BF940&gt;=TIMEVALUE("12:00"),"Afternoon", BF940&gt;=TIMEVALUE("06:00"),"Morning")</f>
        <v>Afternoon</v>
      </c>
      <c r="BH940" s="2">
        <v>2015</v>
      </c>
      <c r="BI940" s="2" t="s">
        <v>474</v>
      </c>
      <c r="BJ940" s="2">
        <v>28</v>
      </c>
    </row>
    <row r="941" spans="1:62" x14ac:dyDescent="0.3">
      <c r="A941" s="2" t="s">
        <v>62</v>
      </c>
      <c r="B941" s="2">
        <v>6</v>
      </c>
      <c r="C941" s="2">
        <v>4</v>
      </c>
      <c r="D941" s="2">
        <v>-393.46</v>
      </c>
      <c r="E941" s="2">
        <v>296.95</v>
      </c>
      <c r="F941" s="2" t="s">
        <v>87</v>
      </c>
      <c r="G941" s="2" t="s">
        <v>88</v>
      </c>
      <c r="H941" s="2">
        <v>17</v>
      </c>
      <c r="I941" s="2" t="s">
        <v>412</v>
      </c>
      <c r="J941" s="2" t="s">
        <v>1832</v>
      </c>
      <c r="K941" s="2" t="s">
        <v>102</v>
      </c>
      <c r="L941" s="2" t="s">
        <v>1659</v>
      </c>
      <c r="M941" s="2">
        <v>3964</v>
      </c>
      <c r="N941" s="2" t="s">
        <v>425</v>
      </c>
      <c r="O941" s="2" t="s">
        <v>70</v>
      </c>
      <c r="P941" s="2" t="s">
        <v>133</v>
      </c>
      <c r="Q941" s="2" t="s">
        <v>3782</v>
      </c>
      <c r="R941" s="2">
        <v>11238</v>
      </c>
      <c r="S941" s="2">
        <v>4</v>
      </c>
      <c r="T941" s="2" t="s">
        <v>417</v>
      </c>
      <c r="U941" s="2">
        <v>40.677719099999997</v>
      </c>
      <c r="V941" s="2">
        <v>-73.963119500000005</v>
      </c>
      <c r="W941" s="2" t="s">
        <v>528</v>
      </c>
      <c r="X941" s="2" t="s">
        <v>3783</v>
      </c>
      <c r="Y941" s="2" t="s">
        <v>2613</v>
      </c>
      <c r="Z941" s="2">
        <v>3964</v>
      </c>
      <c r="AA941" s="3">
        <v>42532.931250000001</v>
      </c>
      <c r="AB941" s="2">
        <v>46305</v>
      </c>
      <c r="AC941" s="2">
        <v>365</v>
      </c>
      <c r="AD941" s="2">
        <v>3</v>
      </c>
      <c r="AE941" s="2">
        <v>0.01</v>
      </c>
      <c r="AF941" s="2" t="str" cm="1">
        <f t="array" ref="AF941">_xlfn.IFS(AE941=0, "No Discount ", AE941&lt;=0.08,"Low Discount", AE941&lt;=0.16,"Medium Discount", AE941&gt;0.16, "High Discount")</f>
        <v>Low Discount</v>
      </c>
      <c r="AG941" s="2">
        <v>115742</v>
      </c>
      <c r="AH941" s="2">
        <v>59.99</v>
      </c>
      <c r="AI941" s="2">
        <v>-1.33</v>
      </c>
      <c r="AJ941" s="2" t="str" cm="1">
        <f t="array" ref="AJ941">_xlfn.IFS(AI941&lt;=0, "No Profit", AI941&lt;=0.16,"Low Profit",AI941&lt;=0.32,"Medium Profit",AI941&gt;0.32,"High Profit")</f>
        <v>No Profit</v>
      </c>
      <c r="AK941" s="2">
        <v>5</v>
      </c>
      <c r="AL941" s="2">
        <v>299.95</v>
      </c>
      <c r="AM941" s="2">
        <v>296.95</v>
      </c>
      <c r="AN941" s="2">
        <v>-393.46</v>
      </c>
      <c r="AO941" s="2" t="s">
        <v>1717</v>
      </c>
      <c r="AP941" s="2" t="s">
        <v>3784</v>
      </c>
      <c r="AQ941" s="2" t="s">
        <v>80</v>
      </c>
      <c r="AR941" s="2" t="s">
        <v>81</v>
      </c>
      <c r="AS941" s="2">
        <v>365</v>
      </c>
      <c r="AT941" s="2">
        <v>17</v>
      </c>
      <c r="AU941" s="2" t="s">
        <v>421</v>
      </c>
      <c r="AV941" s="2">
        <v>59.99</v>
      </c>
      <c r="AW941" s="2">
        <v>0</v>
      </c>
      <c r="AX941" s="3">
        <v>42715.931250000001</v>
      </c>
      <c r="AY941" s="2" t="s">
        <v>83</v>
      </c>
      <c r="AZ941" s="4">
        <v>42532</v>
      </c>
      <c r="BA941" s="5">
        <v>0.93125000000000002</v>
      </c>
      <c r="BB941" s="2">
        <v>2016</v>
      </c>
      <c r="BC941" s="2" t="s">
        <v>474</v>
      </c>
      <c r="BD941" s="2">
        <v>11</v>
      </c>
      <c r="BE941" s="4">
        <v>42715</v>
      </c>
      <c r="BF941" s="5">
        <v>0.93125000000000002</v>
      </c>
      <c r="BG941" s="2" t="str" cm="1">
        <f t="array" ref="BG941">_xlfn.IFS(BF941&lt;TIMEVALUE("06:00"),"Night", BF941&gt;=TIMEVALUE("21:00"),"Night",BF941&gt;=TIMEVALUE("17:00"),"Evening",BF941&gt;=TIMEVALUE("12:00"),"Afternoon", BF941&gt;=TIMEVALUE("06:00"),"Morning")</f>
        <v>Night</v>
      </c>
      <c r="BH941" s="2">
        <v>2016</v>
      </c>
      <c r="BI941" s="2" t="s">
        <v>357</v>
      </c>
      <c r="BJ941" s="2">
        <v>11</v>
      </c>
    </row>
    <row r="942" spans="1:62" x14ac:dyDescent="0.3">
      <c r="A942" s="2" t="s">
        <v>62</v>
      </c>
      <c r="B942" s="2">
        <v>4</v>
      </c>
      <c r="C942" s="2">
        <v>4</v>
      </c>
      <c r="D942" s="2">
        <v>83.15</v>
      </c>
      <c r="E942" s="2">
        <v>296.95</v>
      </c>
      <c r="F942" s="2" t="s">
        <v>100</v>
      </c>
      <c r="G942" s="2" t="s">
        <v>64</v>
      </c>
      <c r="H942" s="2">
        <v>17</v>
      </c>
      <c r="I942" s="2" t="s">
        <v>412</v>
      </c>
      <c r="J942" s="2" t="s">
        <v>1252</v>
      </c>
      <c r="K942" s="2" t="s">
        <v>102</v>
      </c>
      <c r="L942" s="2" t="s">
        <v>2606</v>
      </c>
      <c r="M942" s="2">
        <v>5246</v>
      </c>
      <c r="N942" s="2" t="s">
        <v>425</v>
      </c>
      <c r="O942" s="2" t="s">
        <v>70</v>
      </c>
      <c r="P942" s="2" t="s">
        <v>1254</v>
      </c>
      <c r="Q942" s="2" t="s">
        <v>3768</v>
      </c>
      <c r="R942" s="2">
        <v>85281</v>
      </c>
      <c r="S942" s="2">
        <v>4</v>
      </c>
      <c r="T942" s="2" t="s">
        <v>417</v>
      </c>
      <c r="U942" s="2">
        <v>33.415199299999998</v>
      </c>
      <c r="V942" s="2">
        <v>-111.9199905</v>
      </c>
      <c r="W942" s="2" t="s">
        <v>528</v>
      </c>
      <c r="X942" s="2" t="s">
        <v>3769</v>
      </c>
      <c r="Y942" s="2" t="s">
        <v>983</v>
      </c>
      <c r="Z942" s="2">
        <v>5246</v>
      </c>
      <c r="AA942" s="2" t="s">
        <v>3770</v>
      </c>
      <c r="AB942" s="2">
        <v>16218</v>
      </c>
      <c r="AC942" s="2">
        <v>365</v>
      </c>
      <c r="AD942" s="2">
        <v>3</v>
      </c>
      <c r="AE942" s="2">
        <v>0.01</v>
      </c>
      <c r="AF942" s="2" t="str" cm="1">
        <f t="array" ref="AF942">_xlfn.IFS(AE942=0, "No Discount ", AE942&lt;=0.08,"Low Discount", AE942&lt;=0.16,"Medium Discount", AE942&gt;0.16, "High Discount")</f>
        <v>Low Discount</v>
      </c>
      <c r="AG942" s="2">
        <v>40486</v>
      </c>
      <c r="AH942" s="2">
        <v>59.99</v>
      </c>
      <c r="AI942" s="2">
        <v>0.28000000000000003</v>
      </c>
      <c r="AJ942" s="2" t="str" cm="1">
        <f t="array" ref="AJ942">_xlfn.IFS(AI942&lt;=0, "No Profit", AI942&lt;=0.16,"Low Profit",AI942&lt;=0.32,"Medium Profit",AI942&gt;0.32,"High Profit")</f>
        <v>Medium Profit</v>
      </c>
      <c r="AK942" s="2">
        <v>5</v>
      </c>
      <c r="AL942" s="2">
        <v>299.95</v>
      </c>
      <c r="AM942" s="2">
        <v>296.95</v>
      </c>
      <c r="AN942" s="2">
        <v>83.15</v>
      </c>
      <c r="AO942" s="2" t="s">
        <v>905</v>
      </c>
      <c r="AP942" s="2" t="s">
        <v>2783</v>
      </c>
      <c r="AQ942" s="2" t="s">
        <v>80</v>
      </c>
      <c r="AR942" s="2" t="s">
        <v>81</v>
      </c>
      <c r="AS942" s="2">
        <v>365</v>
      </c>
      <c r="AT942" s="2">
        <v>17</v>
      </c>
      <c r="AU942" s="2" t="s">
        <v>421</v>
      </c>
      <c r="AV942" s="2">
        <v>59.99</v>
      </c>
      <c r="AW942" s="2">
        <v>0</v>
      </c>
      <c r="AX942" s="2" t="s">
        <v>3771</v>
      </c>
      <c r="AY942" s="2" t="s">
        <v>83</v>
      </c>
      <c r="AZ942" s="4">
        <v>42241</v>
      </c>
      <c r="BA942" s="5">
        <v>0.73055555555555551</v>
      </c>
      <c r="BB942" s="2">
        <v>2015</v>
      </c>
      <c r="BC942" s="2" t="s">
        <v>482</v>
      </c>
      <c r="BD942" s="2">
        <v>25</v>
      </c>
      <c r="BE942" s="4">
        <v>42245</v>
      </c>
      <c r="BF942" s="5">
        <v>0.73055555555555551</v>
      </c>
      <c r="BG942" s="2" t="str" cm="1">
        <f t="array" ref="BG942">_xlfn.IFS(BF942&lt;TIMEVALUE("06:00"),"Night", BF942&gt;=TIMEVALUE("21:00"),"Night",BF942&gt;=TIMEVALUE("17:00"),"Evening",BF942&gt;=TIMEVALUE("12:00"),"Afternoon", BF942&gt;=TIMEVALUE("06:00"),"Morning")</f>
        <v>Evening</v>
      </c>
      <c r="BH942" s="2">
        <v>2015</v>
      </c>
      <c r="BI942" s="2" t="s">
        <v>482</v>
      </c>
      <c r="BJ942" s="2">
        <v>29</v>
      </c>
    </row>
    <row r="943" spans="1:62" x14ac:dyDescent="0.3">
      <c r="A943" s="2" t="s">
        <v>62</v>
      </c>
      <c r="B943" s="2">
        <v>4</v>
      </c>
      <c r="C943" s="2">
        <v>4</v>
      </c>
      <c r="D943" s="2">
        <v>100.37</v>
      </c>
      <c r="E943" s="2">
        <v>296.95</v>
      </c>
      <c r="F943" s="2" t="s">
        <v>100</v>
      </c>
      <c r="G943" s="2" t="s">
        <v>64</v>
      </c>
      <c r="H943" s="2">
        <v>17</v>
      </c>
      <c r="I943" s="2" t="s">
        <v>412</v>
      </c>
      <c r="J943" s="2" t="s">
        <v>3785</v>
      </c>
      <c r="K943" s="2" t="s">
        <v>102</v>
      </c>
      <c r="L943" s="2" t="s">
        <v>1420</v>
      </c>
      <c r="M943" s="2">
        <v>3868</v>
      </c>
      <c r="N943" s="2" t="s">
        <v>425</v>
      </c>
      <c r="O943" s="2" t="s">
        <v>70</v>
      </c>
      <c r="P943" s="2" t="s">
        <v>1254</v>
      </c>
      <c r="Q943" s="2" t="s">
        <v>3786</v>
      </c>
      <c r="R943" s="2">
        <v>85225</v>
      </c>
      <c r="S943" s="2">
        <v>4</v>
      </c>
      <c r="T943" s="2" t="s">
        <v>417</v>
      </c>
      <c r="U943" s="2">
        <v>33.322967499999997</v>
      </c>
      <c r="V943" s="2">
        <v>-111.84169009999999</v>
      </c>
      <c r="W943" s="2" t="s">
        <v>528</v>
      </c>
      <c r="X943" s="2" t="s">
        <v>3787</v>
      </c>
      <c r="Y943" s="2" t="s">
        <v>536</v>
      </c>
      <c r="Z943" s="2">
        <v>3868</v>
      </c>
      <c r="AA943" s="2" t="s">
        <v>3788</v>
      </c>
      <c r="AB943" s="2">
        <v>19973</v>
      </c>
      <c r="AC943" s="2">
        <v>365</v>
      </c>
      <c r="AD943" s="2">
        <v>3</v>
      </c>
      <c r="AE943" s="2">
        <v>0.01</v>
      </c>
      <c r="AF943" s="2" t="str" cm="1">
        <f t="array" ref="AF943">_xlfn.IFS(AE943=0, "No Discount ", AE943&lt;=0.08,"Low Discount", AE943&lt;=0.16,"Medium Discount", AE943&gt;0.16, "High Discount")</f>
        <v>Low Discount</v>
      </c>
      <c r="AG943" s="2">
        <v>49932</v>
      </c>
      <c r="AH943" s="2">
        <v>59.99</v>
      </c>
      <c r="AI943" s="2">
        <v>0.34</v>
      </c>
      <c r="AJ943" s="2" t="str" cm="1">
        <f t="array" ref="AJ943">_xlfn.IFS(AI943&lt;=0, "No Profit", AI943&lt;=0.16,"Low Profit",AI943&lt;=0.32,"Medium Profit",AI943&gt;0.32,"High Profit")</f>
        <v>High Profit</v>
      </c>
      <c r="AK943" s="2">
        <v>5</v>
      </c>
      <c r="AL943" s="2">
        <v>299.95</v>
      </c>
      <c r="AM943" s="2">
        <v>296.95</v>
      </c>
      <c r="AN943" s="2">
        <v>100.37</v>
      </c>
      <c r="AO943" s="2" t="s">
        <v>531</v>
      </c>
      <c r="AP943" s="2" t="s">
        <v>543</v>
      </c>
      <c r="AQ943" s="2" t="s">
        <v>80</v>
      </c>
      <c r="AR943" s="2" t="s">
        <v>81</v>
      </c>
      <c r="AS943" s="2">
        <v>365</v>
      </c>
      <c r="AT943" s="2">
        <v>17</v>
      </c>
      <c r="AU943" s="2" t="s">
        <v>421</v>
      </c>
      <c r="AV943" s="2">
        <v>59.99</v>
      </c>
      <c r="AW943" s="2">
        <v>0</v>
      </c>
      <c r="AX943" s="2" t="s">
        <v>3789</v>
      </c>
      <c r="AY943" s="2" t="s">
        <v>83</v>
      </c>
      <c r="AZ943" s="4">
        <v>42296</v>
      </c>
      <c r="BA943" s="5">
        <v>0.5444444444444444</v>
      </c>
      <c r="BB943" s="2">
        <v>2015</v>
      </c>
      <c r="BC943" s="2" t="s">
        <v>434</v>
      </c>
      <c r="BD943" s="2">
        <v>19</v>
      </c>
      <c r="BE943" s="4">
        <v>42300</v>
      </c>
      <c r="BF943" s="5">
        <v>0.5444444444444444</v>
      </c>
      <c r="BG943" s="2" t="str" cm="1">
        <f t="array" ref="BG943">_xlfn.IFS(BF943&lt;TIMEVALUE("06:00"),"Night", BF943&gt;=TIMEVALUE("21:00"),"Night",BF943&gt;=TIMEVALUE("17:00"),"Evening",BF943&gt;=TIMEVALUE("12:00"),"Afternoon", BF943&gt;=TIMEVALUE("06:00"),"Morning")</f>
        <v>Afternoon</v>
      </c>
      <c r="BH943" s="2">
        <v>2015</v>
      </c>
      <c r="BI943" s="2" t="s">
        <v>434</v>
      </c>
      <c r="BJ943" s="2">
        <v>23</v>
      </c>
    </row>
    <row r="944" spans="1:62" x14ac:dyDescent="0.3">
      <c r="A944" s="2" t="s">
        <v>62</v>
      </c>
      <c r="B944" s="2">
        <v>3</v>
      </c>
      <c r="C944" s="2">
        <v>4</v>
      </c>
      <c r="D944" s="2">
        <v>106.9</v>
      </c>
      <c r="E944" s="2">
        <v>296.95</v>
      </c>
      <c r="F944" s="2" t="s">
        <v>63</v>
      </c>
      <c r="G944" s="2" t="s">
        <v>64</v>
      </c>
      <c r="H944" s="2">
        <v>17</v>
      </c>
      <c r="I944" s="2" t="s">
        <v>412</v>
      </c>
      <c r="J944" s="2" t="s">
        <v>3785</v>
      </c>
      <c r="K944" s="2" t="s">
        <v>102</v>
      </c>
      <c r="L944" s="2" t="s">
        <v>3790</v>
      </c>
      <c r="M944" s="2">
        <v>3961</v>
      </c>
      <c r="N944" s="2" t="s">
        <v>1476</v>
      </c>
      <c r="O944" s="2" t="s">
        <v>70</v>
      </c>
      <c r="P944" s="2" t="s">
        <v>1254</v>
      </c>
      <c r="Q944" s="2" t="s">
        <v>3791</v>
      </c>
      <c r="R944" s="2">
        <v>85224</v>
      </c>
      <c r="S944" s="2">
        <v>4</v>
      </c>
      <c r="T944" s="2" t="s">
        <v>417</v>
      </c>
      <c r="U944" s="2">
        <v>33.300392199999997</v>
      </c>
      <c r="V944" s="2">
        <v>-111.8709564</v>
      </c>
      <c r="W944" s="2" t="s">
        <v>528</v>
      </c>
      <c r="X944" s="2" t="s">
        <v>3792</v>
      </c>
      <c r="Y944" s="2" t="s">
        <v>530</v>
      </c>
      <c r="Z944" s="2">
        <v>3961</v>
      </c>
      <c r="AA944" s="2" t="s">
        <v>3793</v>
      </c>
      <c r="AB944" s="2">
        <v>15787</v>
      </c>
      <c r="AC944" s="2">
        <v>365</v>
      </c>
      <c r="AD944" s="2">
        <v>3</v>
      </c>
      <c r="AE944" s="2">
        <v>0.01</v>
      </c>
      <c r="AF944" s="2" t="str" cm="1">
        <f t="array" ref="AF944">_xlfn.IFS(AE944=0, "No Discount ", AE944&lt;=0.08,"Low Discount", AE944&lt;=0.16,"Medium Discount", AE944&gt;0.16, "High Discount")</f>
        <v>Low Discount</v>
      </c>
      <c r="AG944" s="2">
        <v>39463</v>
      </c>
      <c r="AH944" s="2">
        <v>59.99</v>
      </c>
      <c r="AI944" s="2">
        <v>0.36</v>
      </c>
      <c r="AJ944" s="2" t="str" cm="1">
        <f t="array" ref="AJ944">_xlfn.IFS(AI944&lt;=0, "No Profit", AI944&lt;=0.16,"Low Profit",AI944&lt;=0.32,"Medium Profit",AI944&gt;0.32,"High Profit")</f>
        <v>High Profit</v>
      </c>
      <c r="AK944" s="2">
        <v>5</v>
      </c>
      <c r="AL944" s="2">
        <v>299.95</v>
      </c>
      <c r="AM944" s="2">
        <v>296.95</v>
      </c>
      <c r="AN944" s="2">
        <v>106.9</v>
      </c>
      <c r="AO944" s="2" t="s">
        <v>531</v>
      </c>
      <c r="AP944" s="2" t="s">
        <v>532</v>
      </c>
      <c r="AQ944" s="2" t="s">
        <v>80</v>
      </c>
      <c r="AR944" s="2" t="s">
        <v>81</v>
      </c>
      <c r="AS944" s="2">
        <v>365</v>
      </c>
      <c r="AT944" s="2">
        <v>17</v>
      </c>
      <c r="AU944" s="2" t="s">
        <v>421</v>
      </c>
      <c r="AV944" s="2">
        <v>59.99</v>
      </c>
      <c r="AW944" s="2">
        <v>0</v>
      </c>
      <c r="AX944" s="2" t="s">
        <v>3794</v>
      </c>
      <c r="AY944" s="2" t="s">
        <v>83</v>
      </c>
      <c r="AZ944" s="4">
        <v>42235</v>
      </c>
      <c r="BA944" s="5">
        <v>0.43888888888888888</v>
      </c>
      <c r="BB944" s="2">
        <v>2015</v>
      </c>
      <c r="BC944" s="2" t="s">
        <v>482</v>
      </c>
      <c r="BD944" s="2">
        <v>19</v>
      </c>
      <c r="BE944" s="4">
        <v>42238</v>
      </c>
      <c r="BF944" s="5">
        <v>0.43888888888888888</v>
      </c>
      <c r="BG944" s="2" t="str" cm="1">
        <f t="array" ref="BG944">_xlfn.IFS(BF944&lt;TIMEVALUE("06:00"),"Night", BF944&gt;=TIMEVALUE("21:00"),"Night",BF944&gt;=TIMEVALUE("17:00"),"Evening",BF944&gt;=TIMEVALUE("12:00"),"Afternoon", BF944&gt;=TIMEVALUE("06:00"),"Morning")</f>
        <v>Morning</v>
      </c>
      <c r="BH944" s="2">
        <v>2015</v>
      </c>
      <c r="BI944" s="2" t="s">
        <v>482</v>
      </c>
      <c r="BJ944" s="2">
        <v>22</v>
      </c>
    </row>
    <row r="945" spans="1:62" x14ac:dyDescent="0.3">
      <c r="A945" s="2" t="s">
        <v>62</v>
      </c>
      <c r="B945" s="2">
        <v>4</v>
      </c>
      <c r="C945" s="2">
        <v>4</v>
      </c>
      <c r="D945" s="2">
        <v>83.15</v>
      </c>
      <c r="E945" s="2">
        <v>296.95</v>
      </c>
      <c r="F945" s="2" t="s">
        <v>100</v>
      </c>
      <c r="G945" s="2" t="s">
        <v>64</v>
      </c>
      <c r="H945" s="2">
        <v>17</v>
      </c>
      <c r="I945" s="2" t="s">
        <v>412</v>
      </c>
      <c r="J945" s="2" t="s">
        <v>3211</v>
      </c>
      <c r="K945" s="2" t="s">
        <v>102</v>
      </c>
      <c r="L945" s="2" t="s">
        <v>255</v>
      </c>
      <c r="M945" s="2">
        <v>1261</v>
      </c>
      <c r="N945" s="2" t="s">
        <v>3795</v>
      </c>
      <c r="O945" s="2" t="s">
        <v>70</v>
      </c>
      <c r="P945" s="2" t="s">
        <v>105</v>
      </c>
      <c r="Q945" s="2" t="s">
        <v>3796</v>
      </c>
      <c r="R945" s="2">
        <v>92833</v>
      </c>
      <c r="S945" s="2">
        <v>4</v>
      </c>
      <c r="T945" s="2" t="s">
        <v>417</v>
      </c>
      <c r="U945" s="2">
        <v>33.863296499999997</v>
      </c>
      <c r="V945" s="2">
        <v>-117.9716263</v>
      </c>
      <c r="W945" s="2" t="s">
        <v>528</v>
      </c>
      <c r="X945" s="2" t="s">
        <v>3797</v>
      </c>
      <c r="Y945" s="2" t="s">
        <v>536</v>
      </c>
      <c r="Z945" s="2">
        <v>1261</v>
      </c>
      <c r="AA945" s="2" t="s">
        <v>3798</v>
      </c>
      <c r="AB945" s="2">
        <v>11378</v>
      </c>
      <c r="AC945" s="2">
        <v>365</v>
      </c>
      <c r="AD945" s="2">
        <v>3</v>
      </c>
      <c r="AE945" s="2">
        <v>0.01</v>
      </c>
      <c r="AF945" s="2" t="str" cm="1">
        <f t="array" ref="AF945">_xlfn.IFS(AE945=0, "No Discount ", AE945&lt;=0.08,"Low Discount", AE945&lt;=0.16,"Medium Discount", AE945&gt;0.16, "High Discount")</f>
        <v>Low Discount</v>
      </c>
      <c r="AG945" s="2">
        <v>28449</v>
      </c>
      <c r="AH945" s="2">
        <v>59.99</v>
      </c>
      <c r="AI945" s="2">
        <v>0.28000000000000003</v>
      </c>
      <c r="AJ945" s="2" t="str" cm="1">
        <f t="array" ref="AJ945">_xlfn.IFS(AI945&lt;=0, "No Profit", AI945&lt;=0.16,"Low Profit",AI945&lt;=0.32,"Medium Profit",AI945&gt;0.32,"High Profit")</f>
        <v>Medium Profit</v>
      </c>
      <c r="AK945" s="2">
        <v>5</v>
      </c>
      <c r="AL945" s="2">
        <v>299.95</v>
      </c>
      <c r="AM945" s="2">
        <v>296.95</v>
      </c>
      <c r="AN945" s="2">
        <v>83.15</v>
      </c>
      <c r="AO945" s="2" t="s">
        <v>531</v>
      </c>
      <c r="AP945" s="2" t="s">
        <v>3737</v>
      </c>
      <c r="AQ945" s="2" t="s">
        <v>80</v>
      </c>
      <c r="AR945" s="2" t="s">
        <v>81</v>
      </c>
      <c r="AS945" s="2">
        <v>365</v>
      </c>
      <c r="AT945" s="2">
        <v>17</v>
      </c>
      <c r="AU945" s="2" t="s">
        <v>421</v>
      </c>
      <c r="AV945" s="2">
        <v>59.99</v>
      </c>
      <c r="AW945" s="2">
        <v>0</v>
      </c>
      <c r="AX945" s="2" t="s">
        <v>3799</v>
      </c>
      <c r="AY945" s="2" t="s">
        <v>83</v>
      </c>
      <c r="AZ945" s="4">
        <v>42171</v>
      </c>
      <c r="BA945" s="5">
        <v>7.7777777777777779E-2</v>
      </c>
      <c r="BB945" s="2">
        <v>2015</v>
      </c>
      <c r="BC945" s="2" t="s">
        <v>474</v>
      </c>
      <c r="BD945" s="2">
        <v>16</v>
      </c>
      <c r="BE945" s="4">
        <v>42175</v>
      </c>
      <c r="BF945" s="5">
        <v>7.7777777777777779E-2</v>
      </c>
      <c r="BG945" s="2" t="str" cm="1">
        <f t="array" ref="BG945">_xlfn.IFS(BF945&lt;TIMEVALUE("06:00"),"Night", BF945&gt;=TIMEVALUE("21:00"),"Night",BF945&gt;=TIMEVALUE("17:00"),"Evening",BF945&gt;=TIMEVALUE("12:00"),"Afternoon", BF945&gt;=TIMEVALUE("06:00"),"Morning")</f>
        <v>Night</v>
      </c>
      <c r="BH945" s="2">
        <v>2015</v>
      </c>
      <c r="BI945" s="2" t="s">
        <v>474</v>
      </c>
      <c r="BJ945" s="2">
        <v>20</v>
      </c>
    </row>
    <row r="946" spans="1:62" x14ac:dyDescent="0.3">
      <c r="A946" s="2" t="s">
        <v>62</v>
      </c>
      <c r="B946" s="2">
        <v>6</v>
      </c>
      <c r="C946" s="2">
        <v>4</v>
      </c>
      <c r="D946" s="2">
        <v>97.99</v>
      </c>
      <c r="E946" s="2">
        <v>296.95</v>
      </c>
      <c r="F946" s="2" t="s">
        <v>87</v>
      </c>
      <c r="G946" s="2" t="s">
        <v>88</v>
      </c>
      <c r="H946" s="2">
        <v>17</v>
      </c>
      <c r="I946" s="2" t="s">
        <v>412</v>
      </c>
      <c r="J946" s="2" t="s">
        <v>1460</v>
      </c>
      <c r="K946" s="2" t="s">
        <v>102</v>
      </c>
      <c r="L946" s="2" t="s">
        <v>1116</v>
      </c>
      <c r="M946" s="2">
        <v>9341</v>
      </c>
      <c r="N946" s="2" t="s">
        <v>1534</v>
      </c>
      <c r="O946" s="2" t="s">
        <v>70</v>
      </c>
      <c r="P946" s="2" t="s">
        <v>234</v>
      </c>
      <c r="Q946" s="2" t="s">
        <v>3116</v>
      </c>
      <c r="R946" s="2">
        <v>60613</v>
      </c>
      <c r="S946" s="2">
        <v>4</v>
      </c>
      <c r="T946" s="2" t="s">
        <v>417</v>
      </c>
      <c r="U946" s="2">
        <v>41.954494500000003</v>
      </c>
      <c r="V946" s="2">
        <v>-87.6502914</v>
      </c>
      <c r="W946" s="2" t="s">
        <v>528</v>
      </c>
      <c r="X946" s="2" t="s">
        <v>3800</v>
      </c>
      <c r="Y946" s="2" t="s">
        <v>530</v>
      </c>
      <c r="Z946" s="2">
        <v>9341</v>
      </c>
      <c r="AA946" s="2" t="s">
        <v>3801</v>
      </c>
      <c r="AB946" s="2">
        <v>62260</v>
      </c>
      <c r="AC946" s="2">
        <v>365</v>
      </c>
      <c r="AD946" s="2">
        <v>3</v>
      </c>
      <c r="AE946" s="2">
        <v>0.01</v>
      </c>
      <c r="AF946" s="2" t="str" cm="1">
        <f t="array" ref="AF946">_xlfn.IFS(AE946=0, "No Discount ", AE946&lt;=0.08,"Low Discount", AE946&lt;=0.16,"Medium Discount", AE946&gt;0.16, "High Discount")</f>
        <v>Low Discount</v>
      </c>
      <c r="AG946" s="2">
        <v>155674</v>
      </c>
      <c r="AH946" s="2">
        <v>59.99</v>
      </c>
      <c r="AI946" s="2">
        <v>0.33</v>
      </c>
      <c r="AJ946" s="2" t="str" cm="1">
        <f t="array" ref="AJ946">_xlfn.IFS(AI946&lt;=0, "No Profit", AI946&lt;=0.16,"Low Profit",AI946&lt;=0.32,"Medium Profit",AI946&gt;0.32,"High Profit")</f>
        <v>High Profit</v>
      </c>
      <c r="AK946" s="2">
        <v>5</v>
      </c>
      <c r="AL946" s="2">
        <v>299.95</v>
      </c>
      <c r="AM946" s="2">
        <v>296.95</v>
      </c>
      <c r="AN946" s="2">
        <v>97.99</v>
      </c>
      <c r="AO946" s="2" t="s">
        <v>531</v>
      </c>
      <c r="AP946" s="2" t="s">
        <v>925</v>
      </c>
      <c r="AQ946" s="2" t="s">
        <v>80</v>
      </c>
      <c r="AR946" s="2" t="s">
        <v>81</v>
      </c>
      <c r="AS946" s="2">
        <v>365</v>
      </c>
      <c r="AT946" s="2">
        <v>17</v>
      </c>
      <c r="AU946" s="2" t="s">
        <v>421</v>
      </c>
      <c r="AV946" s="2">
        <v>59.99</v>
      </c>
      <c r="AW946" s="2">
        <v>0</v>
      </c>
      <c r="AX946" s="3">
        <v>42801.837500000001</v>
      </c>
      <c r="AY946" s="2" t="s">
        <v>83</v>
      </c>
      <c r="AZ946" s="4">
        <v>42913</v>
      </c>
      <c r="BA946" s="5">
        <v>0.83750000000000002</v>
      </c>
      <c r="BB946" s="2">
        <v>2017</v>
      </c>
      <c r="BC946" s="2" t="s">
        <v>474</v>
      </c>
      <c r="BD946" s="2">
        <v>27</v>
      </c>
      <c r="BE946" s="4">
        <v>42801</v>
      </c>
      <c r="BF946" s="5">
        <v>0.83750000000000002</v>
      </c>
      <c r="BG946" s="2" t="str" cm="1">
        <f t="array" ref="BG946">_xlfn.IFS(BF946&lt;TIMEVALUE("06:00"),"Night", BF946&gt;=TIMEVALUE("21:00"),"Night",BF946&gt;=TIMEVALUE("17:00"),"Evening",BF946&gt;=TIMEVALUE("12:00"),"Afternoon", BF946&gt;=TIMEVALUE("06:00"),"Morning")</f>
        <v>Evening</v>
      </c>
      <c r="BH946" s="2">
        <v>2017</v>
      </c>
      <c r="BI946" s="2" t="s">
        <v>85</v>
      </c>
      <c r="BJ946" s="2">
        <v>7</v>
      </c>
    </row>
    <row r="947" spans="1:62" x14ac:dyDescent="0.3">
      <c r="A947" s="2" t="s">
        <v>62</v>
      </c>
      <c r="B947" s="2">
        <v>4</v>
      </c>
      <c r="C947" s="2">
        <v>4</v>
      </c>
      <c r="D947" s="2">
        <v>89.09</v>
      </c>
      <c r="E947" s="2">
        <v>296.95</v>
      </c>
      <c r="F947" s="2" t="s">
        <v>100</v>
      </c>
      <c r="G947" s="2" t="s">
        <v>64</v>
      </c>
      <c r="H947" s="2">
        <v>17</v>
      </c>
      <c r="I947" s="2" t="s">
        <v>412</v>
      </c>
      <c r="J947" s="2" t="s">
        <v>3802</v>
      </c>
      <c r="K947" s="2" t="s">
        <v>102</v>
      </c>
      <c r="L947" s="2" t="s">
        <v>1253</v>
      </c>
      <c r="M947" s="2">
        <v>2550</v>
      </c>
      <c r="N947" s="2" t="s">
        <v>1332</v>
      </c>
      <c r="O947" s="2" t="s">
        <v>70</v>
      </c>
      <c r="P947" s="2" t="s">
        <v>234</v>
      </c>
      <c r="Q947" s="2" t="s">
        <v>3803</v>
      </c>
      <c r="R947" s="2">
        <v>60123</v>
      </c>
      <c r="S947" s="2">
        <v>4</v>
      </c>
      <c r="T947" s="2" t="s">
        <v>417</v>
      </c>
      <c r="U947" s="2">
        <v>42.033306099999997</v>
      </c>
      <c r="V947" s="2">
        <v>-88.292457600000006</v>
      </c>
      <c r="W947" s="2" t="s">
        <v>528</v>
      </c>
      <c r="X947" s="2" t="s">
        <v>3804</v>
      </c>
      <c r="Y947" s="2" t="s">
        <v>2791</v>
      </c>
      <c r="Z947" s="2">
        <v>2550</v>
      </c>
      <c r="AA947" s="3">
        <v>42314.771527777775</v>
      </c>
      <c r="AB947" s="2">
        <v>11083</v>
      </c>
      <c r="AC947" s="2">
        <v>365</v>
      </c>
      <c r="AD947" s="2">
        <v>3</v>
      </c>
      <c r="AE947" s="2">
        <v>0.01</v>
      </c>
      <c r="AF947" s="2" t="str" cm="1">
        <f t="array" ref="AF947">_xlfn.IFS(AE947=0, "No Discount ", AE947&lt;=0.08,"Low Discount", AE947&lt;=0.16,"Medium Discount", AE947&gt;0.16, "High Discount")</f>
        <v>Low Discount</v>
      </c>
      <c r="AG947" s="2">
        <v>27736</v>
      </c>
      <c r="AH947" s="2">
        <v>59.99</v>
      </c>
      <c r="AI947" s="2">
        <v>0.3</v>
      </c>
      <c r="AJ947" s="2" t="str" cm="1">
        <f t="array" ref="AJ947">_xlfn.IFS(AI947&lt;=0, "No Profit", AI947&lt;=0.16,"Low Profit",AI947&lt;=0.32,"Medium Profit",AI947&gt;0.32,"High Profit")</f>
        <v>Medium Profit</v>
      </c>
      <c r="AK947" s="2">
        <v>5</v>
      </c>
      <c r="AL947" s="2">
        <v>299.95</v>
      </c>
      <c r="AM947" s="2">
        <v>296.95</v>
      </c>
      <c r="AN947" s="2">
        <v>89.09</v>
      </c>
      <c r="AO947" s="2" t="s">
        <v>531</v>
      </c>
      <c r="AP947" s="2" t="s">
        <v>3804</v>
      </c>
      <c r="AQ947" s="2" t="s">
        <v>80</v>
      </c>
      <c r="AR947" s="2" t="s">
        <v>81</v>
      </c>
      <c r="AS947" s="2">
        <v>365</v>
      </c>
      <c r="AT947" s="2">
        <v>17</v>
      </c>
      <c r="AU947" s="2" t="s">
        <v>421</v>
      </c>
      <c r="AV947" s="2">
        <v>59.99</v>
      </c>
      <c r="AW947" s="2">
        <v>0</v>
      </c>
      <c r="AX947" s="2" t="s">
        <v>3805</v>
      </c>
      <c r="AY947" s="2" t="s">
        <v>83</v>
      </c>
      <c r="AZ947" s="4">
        <v>42314</v>
      </c>
      <c r="BA947" s="5">
        <v>0.77152777777777781</v>
      </c>
      <c r="BB947" s="2">
        <v>2015</v>
      </c>
      <c r="BC947" s="2" t="s">
        <v>455</v>
      </c>
      <c r="BD947" s="2">
        <v>6</v>
      </c>
      <c r="BE947" s="4">
        <v>42170</v>
      </c>
      <c r="BF947" s="5">
        <v>0.77152777777777781</v>
      </c>
      <c r="BG947" s="2" t="str" cm="1">
        <f t="array" ref="BG947">_xlfn.IFS(BF947&lt;TIMEVALUE("06:00"),"Night", BF947&gt;=TIMEVALUE("21:00"),"Night",BF947&gt;=TIMEVALUE("17:00"),"Evening",BF947&gt;=TIMEVALUE("12:00"),"Afternoon", BF947&gt;=TIMEVALUE("06:00"),"Morning")</f>
        <v>Evening</v>
      </c>
      <c r="BH947" s="2">
        <v>2015</v>
      </c>
      <c r="BI947" s="2" t="s">
        <v>474</v>
      </c>
      <c r="BJ947" s="2">
        <v>15</v>
      </c>
    </row>
    <row r="948" spans="1:62" x14ac:dyDescent="0.3">
      <c r="A948" s="2" t="s">
        <v>62</v>
      </c>
      <c r="B948" s="2">
        <v>5</v>
      </c>
      <c r="C948" s="2">
        <v>4</v>
      </c>
      <c r="D948" s="2">
        <v>100.37</v>
      </c>
      <c r="E948" s="2">
        <v>296.95</v>
      </c>
      <c r="F948" s="2" t="s">
        <v>87</v>
      </c>
      <c r="G948" s="2" t="s">
        <v>88</v>
      </c>
      <c r="H948" s="2">
        <v>17</v>
      </c>
      <c r="I948" s="2" t="s">
        <v>412</v>
      </c>
      <c r="J948" s="2" t="s">
        <v>343</v>
      </c>
      <c r="K948" s="2" t="s">
        <v>102</v>
      </c>
      <c r="L948" s="2" t="s">
        <v>3806</v>
      </c>
      <c r="M948" s="2">
        <v>12045</v>
      </c>
      <c r="N948" s="2" t="s">
        <v>2671</v>
      </c>
      <c r="O948" s="2" t="s">
        <v>70</v>
      </c>
      <c r="P948" s="2" t="s">
        <v>280</v>
      </c>
      <c r="Q948" s="2" t="s">
        <v>3807</v>
      </c>
      <c r="R948" s="2">
        <v>17013</v>
      </c>
      <c r="S948" s="2">
        <v>4</v>
      </c>
      <c r="T948" s="2" t="s">
        <v>417</v>
      </c>
      <c r="U948" s="2">
        <v>40.088775599999998</v>
      </c>
      <c r="V948" s="2">
        <v>-75.202476500000003</v>
      </c>
      <c r="W948" s="2" t="s">
        <v>528</v>
      </c>
      <c r="X948" s="2" t="s">
        <v>912</v>
      </c>
      <c r="Y948" s="2" t="s">
        <v>530</v>
      </c>
      <c r="Z948" s="2">
        <v>12045</v>
      </c>
      <c r="AA948" s="3">
        <v>42986.375</v>
      </c>
      <c r="AB948" s="2">
        <v>65174</v>
      </c>
      <c r="AC948" s="2">
        <v>365</v>
      </c>
      <c r="AD948" s="2">
        <v>3</v>
      </c>
      <c r="AE948" s="2">
        <v>0.01</v>
      </c>
      <c r="AF948" s="2" t="str" cm="1">
        <f t="array" ref="AF948">_xlfn.IFS(AE948=0, "No Discount ", AE948&lt;=0.08,"Low Discount", AE948&lt;=0.16,"Medium Discount", AE948&gt;0.16, "High Discount")</f>
        <v>Low Discount</v>
      </c>
      <c r="AG948" s="2">
        <v>162883</v>
      </c>
      <c r="AH948" s="2">
        <v>59.99</v>
      </c>
      <c r="AI948" s="2">
        <v>0.34</v>
      </c>
      <c r="AJ948" s="2" t="str" cm="1">
        <f t="array" ref="AJ948">_xlfn.IFS(AI948&lt;=0, "No Profit", AI948&lt;=0.16,"Low Profit",AI948&lt;=0.32,"Medium Profit",AI948&gt;0.32,"High Profit")</f>
        <v>High Profit</v>
      </c>
      <c r="AK948" s="2">
        <v>5</v>
      </c>
      <c r="AL948" s="2">
        <v>299.95</v>
      </c>
      <c r="AM948" s="2">
        <v>296.95</v>
      </c>
      <c r="AN948" s="2">
        <v>100.37</v>
      </c>
      <c r="AO948" s="2" t="s">
        <v>531</v>
      </c>
      <c r="AP948" s="2" t="s">
        <v>914</v>
      </c>
      <c r="AQ948" s="2" t="s">
        <v>80</v>
      </c>
      <c r="AR948" s="2" t="s">
        <v>81</v>
      </c>
      <c r="AS948" s="2">
        <v>365</v>
      </c>
      <c r="AT948" s="2">
        <v>17</v>
      </c>
      <c r="AU948" s="2" t="s">
        <v>421</v>
      </c>
      <c r="AV948" s="2">
        <v>59.99</v>
      </c>
      <c r="AW948" s="2">
        <v>0</v>
      </c>
      <c r="AX948" s="2" t="s">
        <v>3808</v>
      </c>
      <c r="AY948" s="2" t="s">
        <v>83</v>
      </c>
      <c r="AZ948" s="4">
        <v>42986</v>
      </c>
      <c r="BA948" s="5">
        <v>0.375</v>
      </c>
      <c r="BB948" s="2">
        <v>2017</v>
      </c>
      <c r="BC948" s="2" t="s">
        <v>552</v>
      </c>
      <c r="BD948" s="2">
        <v>8</v>
      </c>
      <c r="BE948" s="4">
        <v>42961</v>
      </c>
      <c r="BF948" s="5">
        <v>0.375</v>
      </c>
      <c r="BG948" s="2" t="str" cm="1">
        <f t="array" ref="BG948">_xlfn.IFS(BF948&lt;TIMEVALUE("06:00"),"Night", BF948&gt;=TIMEVALUE("21:00"),"Night",BF948&gt;=TIMEVALUE("17:00"),"Evening",BF948&gt;=TIMEVALUE("12:00"),"Afternoon", BF948&gt;=TIMEVALUE("06:00"),"Morning")</f>
        <v>Morning</v>
      </c>
      <c r="BH948" s="2">
        <v>2017</v>
      </c>
      <c r="BI948" s="2" t="s">
        <v>482</v>
      </c>
      <c r="BJ948" s="2">
        <v>14</v>
      </c>
    </row>
    <row r="949" spans="1:62" x14ac:dyDescent="0.3">
      <c r="A949" s="2" t="s">
        <v>62</v>
      </c>
      <c r="B949" s="2">
        <v>3</v>
      </c>
      <c r="C949" s="2">
        <v>4</v>
      </c>
      <c r="D949" s="2">
        <v>99.36</v>
      </c>
      <c r="E949" s="2">
        <v>293.95</v>
      </c>
      <c r="F949" s="2" t="s">
        <v>63</v>
      </c>
      <c r="G949" s="2" t="s">
        <v>64</v>
      </c>
      <c r="H949" s="2">
        <v>17</v>
      </c>
      <c r="I949" s="2" t="s">
        <v>412</v>
      </c>
      <c r="J949" s="2" t="s">
        <v>3809</v>
      </c>
      <c r="K949" s="2" t="s">
        <v>102</v>
      </c>
      <c r="L949" s="2" t="s">
        <v>414</v>
      </c>
      <c r="M949" s="2">
        <v>2719</v>
      </c>
      <c r="N949" s="2" t="s">
        <v>425</v>
      </c>
      <c r="O949" s="2" t="s">
        <v>70</v>
      </c>
      <c r="P949" s="2" t="s">
        <v>105</v>
      </c>
      <c r="Q949" s="2" t="s">
        <v>325</v>
      </c>
      <c r="R949" s="2">
        <v>93550</v>
      </c>
      <c r="S949" s="2">
        <v>4</v>
      </c>
      <c r="T949" s="2" t="s">
        <v>417</v>
      </c>
      <c r="U949" s="2">
        <v>34.5802269</v>
      </c>
      <c r="V949" s="2">
        <v>-118.05995179999999</v>
      </c>
      <c r="W949" s="2" t="s">
        <v>528</v>
      </c>
      <c r="X949" s="2" t="s">
        <v>3810</v>
      </c>
      <c r="Y949" s="2" t="s">
        <v>2613</v>
      </c>
      <c r="Z949" s="2">
        <v>2719</v>
      </c>
      <c r="AA949" s="3">
        <v>42653.73541666667</v>
      </c>
      <c r="AB949" s="2">
        <v>44442</v>
      </c>
      <c r="AC949" s="2">
        <v>365</v>
      </c>
      <c r="AD949" s="2">
        <v>6</v>
      </c>
      <c r="AE949" s="2">
        <v>0.02</v>
      </c>
      <c r="AF949" s="2" t="str" cm="1">
        <f t="array" ref="AF949">_xlfn.IFS(AE949=0, "No Discount ", AE949&lt;=0.08,"Low Discount", AE949&lt;=0.16,"Medium Discount", AE949&gt;0.16, "High Discount")</f>
        <v>Low Discount</v>
      </c>
      <c r="AG949" s="2">
        <v>110959</v>
      </c>
      <c r="AH949" s="2">
        <v>59.99</v>
      </c>
      <c r="AI949" s="2">
        <v>0.34</v>
      </c>
      <c r="AJ949" s="2" t="str" cm="1">
        <f t="array" ref="AJ949">_xlfn.IFS(AI949&lt;=0, "No Profit", AI949&lt;=0.16,"Low Profit",AI949&lt;=0.32,"Medium Profit",AI949&gt;0.32,"High Profit")</f>
        <v>High Profit</v>
      </c>
      <c r="AK949" s="2">
        <v>5</v>
      </c>
      <c r="AL949" s="2">
        <v>299.95</v>
      </c>
      <c r="AM949" s="2">
        <v>293.95</v>
      </c>
      <c r="AN949" s="2">
        <v>99.36</v>
      </c>
      <c r="AO949" s="2" t="s">
        <v>1717</v>
      </c>
      <c r="AP949" s="2" t="s">
        <v>3811</v>
      </c>
      <c r="AQ949" s="2" t="s">
        <v>80</v>
      </c>
      <c r="AR949" s="2" t="s">
        <v>81</v>
      </c>
      <c r="AS949" s="2">
        <v>365</v>
      </c>
      <c r="AT949" s="2">
        <v>17</v>
      </c>
      <c r="AU949" s="2" t="s">
        <v>421</v>
      </c>
      <c r="AV949" s="2">
        <v>59.99</v>
      </c>
      <c r="AW949" s="2">
        <v>0</v>
      </c>
      <c r="AX949" s="2" t="s">
        <v>3812</v>
      </c>
      <c r="AY949" s="2" t="s">
        <v>83</v>
      </c>
      <c r="AZ949" s="4">
        <v>42653</v>
      </c>
      <c r="BA949" s="5">
        <v>0.73541666666666672</v>
      </c>
      <c r="BB949" s="2">
        <v>2016</v>
      </c>
      <c r="BC949" s="2" t="s">
        <v>434</v>
      </c>
      <c r="BD949" s="2">
        <v>10</v>
      </c>
      <c r="BE949" s="4">
        <v>42656</v>
      </c>
      <c r="BF949" s="5">
        <v>0.73541666666666672</v>
      </c>
      <c r="BG949" s="2" t="str" cm="1">
        <f t="array" ref="BG949">_xlfn.IFS(BF949&lt;TIMEVALUE("06:00"),"Night", BF949&gt;=TIMEVALUE("21:00"),"Night",BF949&gt;=TIMEVALUE("17:00"),"Evening",BF949&gt;=TIMEVALUE("12:00"),"Afternoon", BF949&gt;=TIMEVALUE("06:00"),"Morning")</f>
        <v>Evening</v>
      </c>
      <c r="BH949" s="2">
        <v>2016</v>
      </c>
      <c r="BI949" s="2" t="s">
        <v>434</v>
      </c>
      <c r="BJ949" s="2">
        <v>13</v>
      </c>
    </row>
    <row r="950" spans="1:62" x14ac:dyDescent="0.3">
      <c r="A950" s="2" t="s">
        <v>62</v>
      </c>
      <c r="B950" s="2">
        <v>4</v>
      </c>
      <c r="C950" s="2">
        <v>4</v>
      </c>
      <c r="D950" s="2">
        <v>132.28</v>
      </c>
      <c r="E950" s="2">
        <v>293.95</v>
      </c>
      <c r="F950" s="2" t="s">
        <v>100</v>
      </c>
      <c r="G950" s="2" t="s">
        <v>64</v>
      </c>
      <c r="H950" s="2">
        <v>17</v>
      </c>
      <c r="I950" s="2" t="s">
        <v>412</v>
      </c>
      <c r="J950" s="2" t="s">
        <v>1832</v>
      </c>
      <c r="K950" s="2" t="s">
        <v>102</v>
      </c>
      <c r="L950" s="2" t="s">
        <v>414</v>
      </c>
      <c r="M950" s="2">
        <v>7924</v>
      </c>
      <c r="N950" s="2" t="s">
        <v>3289</v>
      </c>
      <c r="O950" s="2" t="s">
        <v>70</v>
      </c>
      <c r="P950" s="2" t="s">
        <v>133</v>
      </c>
      <c r="Q950" s="2" t="s">
        <v>3813</v>
      </c>
      <c r="R950" s="2">
        <v>11218</v>
      </c>
      <c r="S950" s="2">
        <v>4</v>
      </c>
      <c r="T950" s="2" t="s">
        <v>417</v>
      </c>
      <c r="U950" s="2">
        <v>40.640594499999999</v>
      </c>
      <c r="V950" s="2">
        <v>-73.975189200000003</v>
      </c>
      <c r="W950" s="2" t="s">
        <v>528</v>
      </c>
      <c r="X950" s="2" t="s">
        <v>3814</v>
      </c>
      <c r="Y950" s="2" t="s">
        <v>2613</v>
      </c>
      <c r="Z950" s="2">
        <v>7924</v>
      </c>
      <c r="AA950" s="2" t="s">
        <v>3815</v>
      </c>
      <c r="AB950" s="2">
        <v>42783</v>
      </c>
      <c r="AC950" s="2">
        <v>365</v>
      </c>
      <c r="AD950" s="2">
        <v>6</v>
      </c>
      <c r="AE950" s="2">
        <v>0.02</v>
      </c>
      <c r="AF950" s="2" t="str" cm="1">
        <f t="array" ref="AF950">_xlfn.IFS(AE950=0, "No Discount ", AE950&lt;=0.08,"Low Discount", AE950&lt;=0.16,"Medium Discount", AE950&gt;0.16, "High Discount")</f>
        <v>Low Discount</v>
      </c>
      <c r="AG950" s="2">
        <v>106792</v>
      </c>
      <c r="AH950" s="2">
        <v>59.99</v>
      </c>
      <c r="AI950" s="2">
        <v>0.45</v>
      </c>
      <c r="AJ950" s="2" t="str" cm="1">
        <f t="array" ref="AJ950">_xlfn.IFS(AI950&lt;=0, "No Profit", AI950&lt;=0.16,"Low Profit",AI950&lt;=0.32,"Medium Profit",AI950&gt;0.32,"High Profit")</f>
        <v>High Profit</v>
      </c>
      <c r="AK950" s="2">
        <v>5</v>
      </c>
      <c r="AL950" s="2">
        <v>299.95</v>
      </c>
      <c r="AM950" s="2">
        <v>293.95</v>
      </c>
      <c r="AN950" s="2">
        <v>132.28</v>
      </c>
      <c r="AO950" s="2" t="s">
        <v>1717</v>
      </c>
      <c r="AP950" s="2" t="s">
        <v>3814</v>
      </c>
      <c r="AQ950" s="2" t="s">
        <v>80</v>
      </c>
      <c r="AR950" s="2" t="s">
        <v>81</v>
      </c>
      <c r="AS950" s="2">
        <v>365</v>
      </c>
      <c r="AT950" s="2">
        <v>17</v>
      </c>
      <c r="AU950" s="2" t="s">
        <v>421</v>
      </c>
      <c r="AV950" s="2">
        <v>59.99</v>
      </c>
      <c r="AW950" s="2">
        <v>0</v>
      </c>
      <c r="AX950" s="2" t="s">
        <v>3816</v>
      </c>
      <c r="AY950" s="2" t="s">
        <v>83</v>
      </c>
      <c r="AZ950" s="4">
        <v>42629</v>
      </c>
      <c r="BA950" s="5">
        <v>0.5180555555555556</v>
      </c>
      <c r="BB950" s="2">
        <v>2016</v>
      </c>
      <c r="BC950" s="2" t="s">
        <v>552</v>
      </c>
      <c r="BD950" s="2">
        <v>16</v>
      </c>
      <c r="BE950" s="4">
        <v>42633</v>
      </c>
      <c r="BF950" s="5">
        <v>0.5180555555555556</v>
      </c>
      <c r="BG950" s="2" t="str" cm="1">
        <f t="array" ref="BG950">_xlfn.IFS(BF950&lt;TIMEVALUE("06:00"),"Night", BF950&gt;=TIMEVALUE("21:00"),"Night",BF950&gt;=TIMEVALUE("17:00"),"Evening",BF950&gt;=TIMEVALUE("12:00"),"Afternoon", BF950&gt;=TIMEVALUE("06:00"),"Morning")</f>
        <v>Afternoon</v>
      </c>
      <c r="BH950" s="2">
        <v>2016</v>
      </c>
      <c r="BI950" s="2" t="s">
        <v>552</v>
      </c>
      <c r="BJ950" s="2">
        <v>20</v>
      </c>
    </row>
    <row r="951" spans="1:62" x14ac:dyDescent="0.3">
      <c r="A951" s="2" t="s">
        <v>62</v>
      </c>
      <c r="B951" s="2">
        <v>3</v>
      </c>
      <c r="C951" s="2">
        <v>4</v>
      </c>
      <c r="D951" s="2">
        <v>14.7</v>
      </c>
      <c r="E951" s="2">
        <v>293.95</v>
      </c>
      <c r="F951" s="2" t="s">
        <v>63</v>
      </c>
      <c r="G951" s="2" t="s">
        <v>64</v>
      </c>
      <c r="H951" s="2">
        <v>17</v>
      </c>
      <c r="I951" s="2" t="s">
        <v>412</v>
      </c>
      <c r="J951" s="2" t="s">
        <v>1222</v>
      </c>
      <c r="K951" s="2" t="s">
        <v>102</v>
      </c>
      <c r="L951" s="2" t="s">
        <v>414</v>
      </c>
      <c r="M951" s="2">
        <v>3206</v>
      </c>
      <c r="N951" s="2" t="s">
        <v>425</v>
      </c>
      <c r="O951" s="2" t="s">
        <v>70</v>
      </c>
      <c r="P951" s="2" t="s">
        <v>133</v>
      </c>
      <c r="Q951" s="2" t="s">
        <v>3817</v>
      </c>
      <c r="R951" s="2">
        <v>14120</v>
      </c>
      <c r="S951" s="2">
        <v>4</v>
      </c>
      <c r="T951" s="2" t="s">
        <v>417</v>
      </c>
      <c r="U951" s="2">
        <v>43.029102299999998</v>
      </c>
      <c r="V951" s="2">
        <v>-78.873420699999997</v>
      </c>
      <c r="W951" s="2" t="s">
        <v>528</v>
      </c>
      <c r="X951" s="2" t="s">
        <v>982</v>
      </c>
      <c r="Y951" s="2" t="s">
        <v>983</v>
      </c>
      <c r="Z951" s="2">
        <v>3206</v>
      </c>
      <c r="AA951" s="3">
        <v>42774.120138888888</v>
      </c>
      <c r="AB951" s="2">
        <v>64677</v>
      </c>
      <c r="AC951" s="2">
        <v>365</v>
      </c>
      <c r="AD951" s="2">
        <v>6</v>
      </c>
      <c r="AE951" s="2">
        <v>0.02</v>
      </c>
      <c r="AF951" s="2" t="str" cm="1">
        <f t="array" ref="AF951">_xlfn.IFS(AE951=0, "No Discount ", AE951&lt;=0.08,"Low Discount", AE951&lt;=0.16,"Medium Discount", AE951&gt;0.16, "High Discount")</f>
        <v>Low Discount</v>
      </c>
      <c r="AG951" s="2">
        <v>161667</v>
      </c>
      <c r="AH951" s="2">
        <v>59.99</v>
      </c>
      <c r="AI951" s="2">
        <v>0.05</v>
      </c>
      <c r="AJ951" s="2" t="str" cm="1">
        <f t="array" ref="AJ951">_xlfn.IFS(AI951&lt;=0, "No Profit", AI951&lt;=0.16,"Low Profit",AI951&lt;=0.32,"Medium Profit",AI951&gt;0.32,"High Profit")</f>
        <v>Low Profit</v>
      </c>
      <c r="AK951" s="2">
        <v>5</v>
      </c>
      <c r="AL951" s="2">
        <v>299.95</v>
      </c>
      <c r="AM951" s="2">
        <v>293.95</v>
      </c>
      <c r="AN951" s="2">
        <v>14.7</v>
      </c>
      <c r="AO951" s="2" t="s">
        <v>905</v>
      </c>
      <c r="AP951" s="2" t="s">
        <v>982</v>
      </c>
      <c r="AQ951" s="2" t="s">
        <v>80</v>
      </c>
      <c r="AR951" s="2" t="s">
        <v>81</v>
      </c>
      <c r="AS951" s="2">
        <v>365</v>
      </c>
      <c r="AT951" s="2">
        <v>17</v>
      </c>
      <c r="AU951" s="2" t="s">
        <v>421</v>
      </c>
      <c r="AV951" s="2">
        <v>59.99</v>
      </c>
      <c r="AW951" s="2">
        <v>0</v>
      </c>
      <c r="AX951" s="3">
        <v>42863.120138888888</v>
      </c>
      <c r="AY951" s="2" t="s">
        <v>83</v>
      </c>
      <c r="AZ951" s="4">
        <v>42774</v>
      </c>
      <c r="BA951" s="5">
        <v>0.12013888888888889</v>
      </c>
      <c r="BB951" s="2">
        <v>2017</v>
      </c>
      <c r="BC951" s="2" t="s">
        <v>423</v>
      </c>
      <c r="BD951" s="2">
        <v>8</v>
      </c>
      <c r="BE951" s="4">
        <v>42863</v>
      </c>
      <c r="BF951" s="5">
        <v>0.12013888888888889</v>
      </c>
      <c r="BG951" s="2" t="str" cm="1">
        <f t="array" ref="BG951">_xlfn.IFS(BF951&lt;TIMEVALUE("06:00"),"Night", BF951&gt;=TIMEVALUE("21:00"),"Night",BF951&gt;=TIMEVALUE("17:00"),"Evening",BF951&gt;=TIMEVALUE("12:00"),"Afternoon", BF951&gt;=TIMEVALUE("06:00"),"Morning")</f>
        <v>Night</v>
      </c>
      <c r="BH951" s="2">
        <v>2017</v>
      </c>
      <c r="BI951" s="2" t="s">
        <v>443</v>
      </c>
      <c r="BJ951" s="2">
        <v>8</v>
      </c>
    </row>
    <row r="952" spans="1:62" x14ac:dyDescent="0.3">
      <c r="A952" s="2" t="s">
        <v>62</v>
      </c>
      <c r="B952" s="2">
        <v>5</v>
      </c>
      <c r="C952" s="2">
        <v>4</v>
      </c>
      <c r="D952" s="2">
        <v>99.36</v>
      </c>
      <c r="E952" s="2">
        <v>293.95</v>
      </c>
      <c r="F952" s="2" t="s">
        <v>87</v>
      </c>
      <c r="G952" s="2" t="s">
        <v>88</v>
      </c>
      <c r="H952" s="2">
        <v>17</v>
      </c>
      <c r="I952" s="2" t="s">
        <v>412</v>
      </c>
      <c r="J952" s="2" t="s">
        <v>1212</v>
      </c>
      <c r="K952" s="2" t="s">
        <v>102</v>
      </c>
      <c r="L952" s="2" t="s">
        <v>414</v>
      </c>
      <c r="M952" s="2">
        <v>11945</v>
      </c>
      <c r="N952" s="2" t="s">
        <v>425</v>
      </c>
      <c r="O952" s="2" t="s">
        <v>70</v>
      </c>
      <c r="P952" s="2" t="s">
        <v>1154</v>
      </c>
      <c r="Q952" s="2" t="s">
        <v>3818</v>
      </c>
      <c r="R952" s="2">
        <v>96822</v>
      </c>
      <c r="S952" s="2">
        <v>4</v>
      </c>
      <c r="T952" s="2" t="s">
        <v>417</v>
      </c>
      <c r="U952" s="2">
        <v>21.280502299999998</v>
      </c>
      <c r="V952" s="2">
        <v>-157.67852780000001</v>
      </c>
      <c r="W952" s="2" t="s">
        <v>528</v>
      </c>
      <c r="X952" s="2" t="s">
        <v>2439</v>
      </c>
      <c r="Y952" s="2" t="s">
        <v>530</v>
      </c>
      <c r="Z952" s="2">
        <v>11945</v>
      </c>
      <c r="AA952" s="2" t="s">
        <v>3819</v>
      </c>
      <c r="AB952" s="2">
        <v>66219</v>
      </c>
      <c r="AC952" s="2">
        <v>365</v>
      </c>
      <c r="AD952" s="2">
        <v>6</v>
      </c>
      <c r="AE952" s="2">
        <v>0.02</v>
      </c>
      <c r="AF952" s="2" t="str" cm="1">
        <f t="array" ref="AF952">_xlfn.IFS(AE952=0, "No Discount ", AE952&lt;=0.08,"Low Discount", AE952&lt;=0.16,"Medium Discount", AE952&gt;0.16, "High Discount")</f>
        <v>Low Discount</v>
      </c>
      <c r="AG952" s="2">
        <v>165534</v>
      </c>
      <c r="AH952" s="2">
        <v>59.99</v>
      </c>
      <c r="AI952" s="2">
        <v>0.34</v>
      </c>
      <c r="AJ952" s="2" t="str" cm="1">
        <f t="array" ref="AJ952">_xlfn.IFS(AI952&lt;=0, "No Profit", AI952&lt;=0.16,"Low Profit",AI952&lt;=0.32,"Medium Profit",AI952&gt;0.32,"High Profit")</f>
        <v>High Profit</v>
      </c>
      <c r="AK952" s="2">
        <v>5</v>
      </c>
      <c r="AL952" s="2">
        <v>299.95</v>
      </c>
      <c r="AM952" s="2">
        <v>293.95</v>
      </c>
      <c r="AN952" s="2">
        <v>99.36</v>
      </c>
      <c r="AO952" s="2" t="s">
        <v>531</v>
      </c>
      <c r="AP952" s="2" t="s">
        <v>2441</v>
      </c>
      <c r="AQ952" s="2" t="s">
        <v>80</v>
      </c>
      <c r="AR952" s="2" t="s">
        <v>81</v>
      </c>
      <c r="AS952" s="2">
        <v>365</v>
      </c>
      <c r="AT952" s="2">
        <v>17</v>
      </c>
      <c r="AU952" s="2" t="s">
        <v>421</v>
      </c>
      <c r="AV952" s="2">
        <v>59.99</v>
      </c>
      <c r="AW952" s="2">
        <v>0</v>
      </c>
      <c r="AX952" s="2" t="s">
        <v>3820</v>
      </c>
      <c r="AY952" s="2" t="s">
        <v>83</v>
      </c>
      <c r="AZ952" s="4">
        <v>42971</v>
      </c>
      <c r="BA952" s="5">
        <v>0.62916666666666665</v>
      </c>
      <c r="BB952" s="2">
        <v>2017</v>
      </c>
      <c r="BC952" s="2" t="s">
        <v>482</v>
      </c>
      <c r="BD952" s="2">
        <v>24</v>
      </c>
      <c r="BE952" s="4">
        <v>42976</v>
      </c>
      <c r="BF952" s="5">
        <v>0.62916666666666665</v>
      </c>
      <c r="BG952" s="2" t="str" cm="1">
        <f t="array" ref="BG952">_xlfn.IFS(BF952&lt;TIMEVALUE("06:00"),"Night", BF952&gt;=TIMEVALUE("21:00"),"Night",BF952&gt;=TIMEVALUE("17:00"),"Evening",BF952&gt;=TIMEVALUE("12:00"),"Afternoon", BF952&gt;=TIMEVALUE("06:00"),"Morning")</f>
        <v>Afternoon</v>
      </c>
      <c r="BH952" s="2">
        <v>2017</v>
      </c>
      <c r="BI952" s="2" t="s">
        <v>482</v>
      </c>
      <c r="BJ952" s="2">
        <v>29</v>
      </c>
    </row>
    <row r="953" spans="1:62" x14ac:dyDescent="0.3">
      <c r="A953" s="2" t="s">
        <v>62</v>
      </c>
      <c r="B953" s="2">
        <v>2</v>
      </c>
      <c r="C953" s="2">
        <v>4</v>
      </c>
      <c r="D953" s="2">
        <v>29.1</v>
      </c>
      <c r="E953" s="2">
        <v>290.95</v>
      </c>
      <c r="F953" s="2" t="s">
        <v>63</v>
      </c>
      <c r="G953" s="2" t="s">
        <v>64</v>
      </c>
      <c r="H953" s="2">
        <v>17</v>
      </c>
      <c r="I953" s="2" t="s">
        <v>412</v>
      </c>
      <c r="J953" s="2" t="s">
        <v>3821</v>
      </c>
      <c r="K953" s="2" t="s">
        <v>102</v>
      </c>
      <c r="L953" s="2" t="s">
        <v>1364</v>
      </c>
      <c r="M953" s="2">
        <v>3141</v>
      </c>
      <c r="N953" s="2" t="s">
        <v>3822</v>
      </c>
      <c r="O953" s="2" t="s">
        <v>70</v>
      </c>
      <c r="P953" s="2" t="s">
        <v>133</v>
      </c>
      <c r="Q953" s="2" t="s">
        <v>3823</v>
      </c>
      <c r="R953" s="2">
        <v>11758</v>
      </c>
      <c r="S953" s="2">
        <v>4</v>
      </c>
      <c r="T953" s="2" t="s">
        <v>417</v>
      </c>
      <c r="U953" s="2">
        <v>40.6799812</v>
      </c>
      <c r="V953" s="2">
        <v>-73.473472599999994</v>
      </c>
      <c r="W953" s="2" t="s">
        <v>528</v>
      </c>
      <c r="X953" s="2" t="s">
        <v>2647</v>
      </c>
      <c r="Y953" s="2" t="s">
        <v>2613</v>
      </c>
      <c r="Z953" s="2">
        <v>3141</v>
      </c>
      <c r="AA953" s="2" t="s">
        <v>3824</v>
      </c>
      <c r="AB953" s="2">
        <v>44816</v>
      </c>
      <c r="AC953" s="2">
        <v>365</v>
      </c>
      <c r="AD953" s="2">
        <v>9</v>
      </c>
      <c r="AE953" s="2">
        <v>0.03</v>
      </c>
      <c r="AF953" s="2" t="str" cm="1">
        <f t="array" ref="AF953">_xlfn.IFS(AE953=0, "No Discount ", AE953&lt;=0.08,"Low Discount", AE953&lt;=0.16,"Medium Discount", AE953&gt;0.16, "High Discount")</f>
        <v>Low Discount</v>
      </c>
      <c r="AG953" s="2">
        <v>111953</v>
      </c>
      <c r="AH953" s="2">
        <v>59.99</v>
      </c>
      <c r="AI953" s="2">
        <v>0.1</v>
      </c>
      <c r="AJ953" s="2" t="str" cm="1">
        <f t="array" ref="AJ953">_xlfn.IFS(AI953&lt;=0, "No Profit", AI953&lt;=0.16,"Low Profit",AI953&lt;=0.32,"Medium Profit",AI953&gt;0.32,"High Profit")</f>
        <v>Low Profit</v>
      </c>
      <c r="AK953" s="2">
        <v>5</v>
      </c>
      <c r="AL953" s="2">
        <v>299.95</v>
      </c>
      <c r="AM953" s="2">
        <v>290.95</v>
      </c>
      <c r="AN953" s="2">
        <v>29.1</v>
      </c>
      <c r="AO953" s="2" t="s">
        <v>1717</v>
      </c>
      <c r="AP953" s="2" t="s">
        <v>2649</v>
      </c>
      <c r="AQ953" s="2" t="s">
        <v>80</v>
      </c>
      <c r="AR953" s="2" t="s">
        <v>81</v>
      </c>
      <c r="AS953" s="2">
        <v>365</v>
      </c>
      <c r="AT953" s="2">
        <v>17</v>
      </c>
      <c r="AU953" s="2" t="s">
        <v>421</v>
      </c>
      <c r="AV953" s="2">
        <v>59.99</v>
      </c>
      <c r="AW953" s="2">
        <v>0</v>
      </c>
      <c r="AX953" s="2" t="s">
        <v>3825</v>
      </c>
      <c r="AY953" s="2" t="s">
        <v>83</v>
      </c>
      <c r="AZ953" s="4">
        <v>42659</v>
      </c>
      <c r="BA953" s="5">
        <v>0.19513888888888889</v>
      </c>
      <c r="BB953" s="2">
        <v>2016</v>
      </c>
      <c r="BC953" s="2" t="s">
        <v>434</v>
      </c>
      <c r="BD953" s="2">
        <v>16</v>
      </c>
      <c r="BE953" s="4">
        <v>42661</v>
      </c>
      <c r="BF953" s="5">
        <v>0.19513888888888889</v>
      </c>
      <c r="BG953" s="2" t="str" cm="1">
        <f t="array" ref="BG953">_xlfn.IFS(BF953&lt;TIMEVALUE("06:00"),"Night", BF953&gt;=TIMEVALUE("21:00"),"Night",BF953&gt;=TIMEVALUE("17:00"),"Evening",BF953&gt;=TIMEVALUE("12:00"),"Afternoon", BF953&gt;=TIMEVALUE("06:00"),"Morning")</f>
        <v>Night</v>
      </c>
      <c r="BH953" s="2">
        <v>2016</v>
      </c>
      <c r="BI953" s="2" t="s">
        <v>434</v>
      </c>
      <c r="BJ953" s="2">
        <v>18</v>
      </c>
    </row>
    <row r="954" spans="1:62" x14ac:dyDescent="0.3">
      <c r="A954" s="2" t="s">
        <v>62</v>
      </c>
      <c r="B954" s="2">
        <v>3</v>
      </c>
      <c r="C954" s="2">
        <v>4</v>
      </c>
      <c r="D954" s="2">
        <v>133.84</v>
      </c>
      <c r="E954" s="2">
        <v>290.95</v>
      </c>
      <c r="F954" s="2" t="s">
        <v>63</v>
      </c>
      <c r="G954" s="2" t="s">
        <v>64</v>
      </c>
      <c r="H954" s="2">
        <v>17</v>
      </c>
      <c r="I954" s="2" t="s">
        <v>412</v>
      </c>
      <c r="J954" s="2" t="s">
        <v>1768</v>
      </c>
      <c r="K954" s="2" t="s">
        <v>102</v>
      </c>
      <c r="L954" s="2" t="s">
        <v>414</v>
      </c>
      <c r="M954" s="2">
        <v>4596</v>
      </c>
      <c r="N954" s="2" t="s">
        <v>1769</v>
      </c>
      <c r="O954" s="2" t="s">
        <v>70</v>
      </c>
      <c r="P954" s="2" t="s">
        <v>1454</v>
      </c>
      <c r="Q954" s="2" t="s">
        <v>1770</v>
      </c>
      <c r="R954" s="2">
        <v>98023</v>
      </c>
      <c r="S954" s="2">
        <v>4</v>
      </c>
      <c r="T954" s="2" t="s">
        <v>417</v>
      </c>
      <c r="U954" s="2">
        <v>47.3030434</v>
      </c>
      <c r="V954" s="2">
        <v>-122.3528137</v>
      </c>
      <c r="W954" s="2" t="s">
        <v>528</v>
      </c>
      <c r="X954" s="2" t="s">
        <v>1771</v>
      </c>
      <c r="Y954" s="2" t="s">
        <v>1772</v>
      </c>
      <c r="Z954" s="2">
        <v>4596</v>
      </c>
      <c r="AA954" s="2" t="s">
        <v>1773</v>
      </c>
      <c r="AB954" s="2">
        <v>47002</v>
      </c>
      <c r="AC954" s="2">
        <v>365</v>
      </c>
      <c r="AD954" s="2">
        <v>9</v>
      </c>
      <c r="AE954" s="2">
        <v>0.03</v>
      </c>
      <c r="AF954" s="2" t="str" cm="1">
        <f t="array" ref="AF954">_xlfn.IFS(AE954=0, "No Discount ", AE954&lt;=0.08,"Low Discount", AE954&lt;=0.16,"Medium Discount", AE954&gt;0.16, "High Discount")</f>
        <v>Low Discount</v>
      </c>
      <c r="AG954" s="2">
        <v>117457</v>
      </c>
      <c r="AH954" s="2">
        <v>59.99</v>
      </c>
      <c r="AI954" s="2">
        <v>0.46</v>
      </c>
      <c r="AJ954" s="2" t="str" cm="1">
        <f t="array" ref="AJ954">_xlfn.IFS(AI954&lt;=0, "No Profit", AI954&lt;=0.16,"Low Profit",AI954&lt;=0.32,"Medium Profit",AI954&gt;0.32,"High Profit")</f>
        <v>High Profit</v>
      </c>
      <c r="AK954" s="2">
        <v>5</v>
      </c>
      <c r="AL954" s="2">
        <v>299.95</v>
      </c>
      <c r="AM954" s="2">
        <v>290.95</v>
      </c>
      <c r="AN954" s="2">
        <v>133.84</v>
      </c>
      <c r="AO954" s="2" t="s">
        <v>1717</v>
      </c>
      <c r="AP954" s="2" t="s">
        <v>1774</v>
      </c>
      <c r="AQ954" s="2" t="s">
        <v>80</v>
      </c>
      <c r="AR954" s="2" t="s">
        <v>81</v>
      </c>
      <c r="AS954" s="2">
        <v>365</v>
      </c>
      <c r="AT954" s="2">
        <v>17</v>
      </c>
      <c r="AU954" s="2" t="s">
        <v>421</v>
      </c>
      <c r="AV954" s="2">
        <v>59.99</v>
      </c>
      <c r="AW954" s="2">
        <v>0</v>
      </c>
      <c r="AX954" s="2" t="s">
        <v>1775</v>
      </c>
      <c r="AY954" s="2" t="s">
        <v>83</v>
      </c>
      <c r="AZ954" s="4">
        <v>42691</v>
      </c>
      <c r="BA954" s="5">
        <v>0.10555555555555556</v>
      </c>
      <c r="BB954" s="2">
        <v>2016</v>
      </c>
      <c r="BC954" s="2" t="s">
        <v>455</v>
      </c>
      <c r="BD954" s="2">
        <v>17</v>
      </c>
      <c r="BE954" s="4">
        <v>42694</v>
      </c>
      <c r="BF954" s="5">
        <v>0.10555555555555556</v>
      </c>
      <c r="BG954" s="2" t="str" cm="1">
        <f t="array" ref="BG954">_xlfn.IFS(BF954&lt;TIMEVALUE("06:00"),"Night", BF954&gt;=TIMEVALUE("21:00"),"Night",BF954&gt;=TIMEVALUE("17:00"),"Evening",BF954&gt;=TIMEVALUE("12:00"),"Afternoon", BF954&gt;=TIMEVALUE("06:00"),"Morning")</f>
        <v>Night</v>
      </c>
      <c r="BH954" s="2">
        <v>2016</v>
      </c>
      <c r="BI954" s="2" t="s">
        <v>455</v>
      </c>
      <c r="BJ954" s="2">
        <v>20</v>
      </c>
    </row>
    <row r="955" spans="1:62" x14ac:dyDescent="0.3">
      <c r="A955" s="2" t="s">
        <v>62</v>
      </c>
      <c r="B955" s="2">
        <v>3</v>
      </c>
      <c r="C955" s="2">
        <v>4</v>
      </c>
      <c r="D955" s="2">
        <v>29.1</v>
      </c>
      <c r="E955" s="2">
        <v>290.95</v>
      </c>
      <c r="F955" s="2" t="s">
        <v>63</v>
      </c>
      <c r="G955" s="2" t="s">
        <v>64</v>
      </c>
      <c r="H955" s="2">
        <v>17</v>
      </c>
      <c r="I955" s="2" t="s">
        <v>412</v>
      </c>
      <c r="J955" s="2" t="s">
        <v>110</v>
      </c>
      <c r="K955" s="2" t="s">
        <v>102</v>
      </c>
      <c r="L955" s="2" t="s">
        <v>1701</v>
      </c>
      <c r="M955" s="2">
        <v>3942</v>
      </c>
      <c r="N955" s="2" t="s">
        <v>425</v>
      </c>
      <c r="O955" s="2" t="s">
        <v>70</v>
      </c>
      <c r="P955" s="2" t="s">
        <v>105</v>
      </c>
      <c r="Q955" s="2" t="s">
        <v>3826</v>
      </c>
      <c r="R955" s="2">
        <v>90003</v>
      </c>
      <c r="S955" s="2">
        <v>4</v>
      </c>
      <c r="T955" s="2" t="s">
        <v>417</v>
      </c>
      <c r="U955" s="2">
        <v>33.987640399999997</v>
      </c>
      <c r="V955" s="2">
        <v>-118.2705536</v>
      </c>
      <c r="W955" s="2" t="s">
        <v>528</v>
      </c>
      <c r="X955" s="2" t="s">
        <v>2636</v>
      </c>
      <c r="Y955" s="2" t="s">
        <v>983</v>
      </c>
      <c r="Z955" s="2">
        <v>3942</v>
      </c>
      <c r="AA955" s="3">
        <v>42069.290277777778</v>
      </c>
      <c r="AB955" s="2">
        <v>10502</v>
      </c>
      <c r="AC955" s="2">
        <v>365</v>
      </c>
      <c r="AD955" s="2">
        <v>9</v>
      </c>
      <c r="AE955" s="2">
        <v>0.03</v>
      </c>
      <c r="AF955" s="2" t="str" cm="1">
        <f t="array" ref="AF955">_xlfn.IFS(AE955=0, "No Discount ", AE955&lt;=0.08,"Low Discount", AE955&lt;=0.16,"Medium Discount", AE955&gt;0.16, "High Discount")</f>
        <v>Low Discount</v>
      </c>
      <c r="AG955" s="2">
        <v>26313</v>
      </c>
      <c r="AH955" s="2">
        <v>59.99</v>
      </c>
      <c r="AI955" s="2">
        <v>0.1</v>
      </c>
      <c r="AJ955" s="2" t="str" cm="1">
        <f t="array" ref="AJ955">_xlfn.IFS(AI955&lt;=0, "No Profit", AI955&lt;=0.16,"Low Profit",AI955&lt;=0.32,"Medium Profit",AI955&gt;0.32,"High Profit")</f>
        <v>Low Profit</v>
      </c>
      <c r="AK955" s="2">
        <v>5</v>
      </c>
      <c r="AL955" s="2">
        <v>299.95</v>
      </c>
      <c r="AM955" s="2">
        <v>290.95</v>
      </c>
      <c r="AN955" s="2">
        <v>29.1</v>
      </c>
      <c r="AO955" s="2" t="s">
        <v>905</v>
      </c>
      <c r="AP955" s="2" t="s">
        <v>1063</v>
      </c>
      <c r="AQ955" s="2" t="s">
        <v>80</v>
      </c>
      <c r="AR955" s="2" t="s">
        <v>81</v>
      </c>
      <c r="AS955" s="2">
        <v>365</v>
      </c>
      <c r="AT955" s="2">
        <v>17</v>
      </c>
      <c r="AU955" s="2" t="s">
        <v>421</v>
      </c>
      <c r="AV955" s="2">
        <v>59.99</v>
      </c>
      <c r="AW955" s="2">
        <v>0</v>
      </c>
      <c r="AX955" s="3">
        <v>42161.290277777778</v>
      </c>
      <c r="AY955" s="2" t="s">
        <v>83</v>
      </c>
      <c r="AZ955" s="4">
        <v>42069</v>
      </c>
      <c r="BA955" s="5">
        <v>0.2902777777777778</v>
      </c>
      <c r="BB955" s="2">
        <v>2015</v>
      </c>
      <c r="BC955" s="2" t="s">
        <v>85</v>
      </c>
      <c r="BD955" s="2">
        <v>6</v>
      </c>
      <c r="BE955" s="4">
        <v>42161</v>
      </c>
      <c r="BF955" s="5">
        <v>0.2902777777777778</v>
      </c>
      <c r="BG955" s="2" t="str" cm="1">
        <f t="array" ref="BG955">_xlfn.IFS(BF955&lt;TIMEVALUE("06:00"),"Night", BF955&gt;=TIMEVALUE("21:00"),"Night",BF955&gt;=TIMEVALUE("17:00"),"Evening",BF955&gt;=TIMEVALUE("12:00"),"Afternoon", BF955&gt;=TIMEVALUE("06:00"),"Morning")</f>
        <v>Morning</v>
      </c>
      <c r="BH955" s="2">
        <v>2015</v>
      </c>
      <c r="BI955" s="2" t="s">
        <v>474</v>
      </c>
      <c r="BJ955" s="2">
        <v>6</v>
      </c>
    </row>
    <row r="956" spans="1:62" x14ac:dyDescent="0.3">
      <c r="A956" s="2" t="s">
        <v>62</v>
      </c>
      <c r="B956" s="2">
        <v>4</v>
      </c>
      <c r="C956" s="2">
        <v>4</v>
      </c>
      <c r="D956" s="2">
        <v>87.29</v>
      </c>
      <c r="E956" s="2">
        <v>290.95</v>
      </c>
      <c r="F956" s="2" t="s">
        <v>100</v>
      </c>
      <c r="G956" s="2" t="s">
        <v>64</v>
      </c>
      <c r="H956" s="2">
        <v>17</v>
      </c>
      <c r="I956" s="2" t="s">
        <v>412</v>
      </c>
      <c r="J956" s="2" t="s">
        <v>110</v>
      </c>
      <c r="K956" s="2" t="s">
        <v>102</v>
      </c>
      <c r="L956" s="2" t="s">
        <v>1598</v>
      </c>
      <c r="M956" s="2">
        <v>8065</v>
      </c>
      <c r="N956" s="2" t="s">
        <v>425</v>
      </c>
      <c r="O956" s="2" t="s">
        <v>70</v>
      </c>
      <c r="P956" s="2" t="s">
        <v>105</v>
      </c>
      <c r="Q956" s="2" t="s">
        <v>3827</v>
      </c>
      <c r="R956" s="2">
        <v>90032</v>
      </c>
      <c r="S956" s="2">
        <v>4</v>
      </c>
      <c r="T956" s="2" t="s">
        <v>417</v>
      </c>
      <c r="U956" s="2">
        <v>34.081653600000003</v>
      </c>
      <c r="V956" s="2">
        <v>-118.17835239999999</v>
      </c>
      <c r="W956" s="2" t="s">
        <v>528</v>
      </c>
      <c r="X956" s="2" t="s">
        <v>3828</v>
      </c>
      <c r="Y956" s="2" t="s">
        <v>530</v>
      </c>
      <c r="Z956" s="2">
        <v>8065</v>
      </c>
      <c r="AA956" s="2" t="s">
        <v>3829</v>
      </c>
      <c r="AB956" s="2">
        <v>63843</v>
      </c>
      <c r="AC956" s="2">
        <v>365</v>
      </c>
      <c r="AD956" s="2">
        <v>9</v>
      </c>
      <c r="AE956" s="2">
        <v>0.03</v>
      </c>
      <c r="AF956" s="2" t="str" cm="1">
        <f t="array" ref="AF956">_xlfn.IFS(AE956=0, "No Discount ", AE956&lt;=0.08,"Low Discount", AE956&lt;=0.16,"Medium Discount", AE956&gt;0.16, "High Discount")</f>
        <v>Low Discount</v>
      </c>
      <c r="AG956" s="2">
        <v>159589</v>
      </c>
      <c r="AH956" s="2">
        <v>59.99</v>
      </c>
      <c r="AI956" s="2">
        <v>0.3</v>
      </c>
      <c r="AJ956" s="2" t="str" cm="1">
        <f t="array" ref="AJ956">_xlfn.IFS(AI956&lt;=0, "No Profit", AI956&lt;=0.16,"Low Profit",AI956&lt;=0.32,"Medium Profit",AI956&gt;0.32,"High Profit")</f>
        <v>Medium Profit</v>
      </c>
      <c r="AK956" s="2">
        <v>5</v>
      </c>
      <c r="AL956" s="2">
        <v>299.95</v>
      </c>
      <c r="AM956" s="2">
        <v>290.95</v>
      </c>
      <c r="AN956" s="2">
        <v>87.29</v>
      </c>
      <c r="AO956" s="2" t="s">
        <v>531</v>
      </c>
      <c r="AP956" s="2" t="s">
        <v>3828</v>
      </c>
      <c r="AQ956" s="2" t="s">
        <v>80</v>
      </c>
      <c r="AR956" s="2" t="s">
        <v>81</v>
      </c>
      <c r="AS956" s="2">
        <v>365</v>
      </c>
      <c r="AT956" s="2">
        <v>17</v>
      </c>
      <c r="AU956" s="2" t="s">
        <v>421</v>
      </c>
      <c r="AV956" s="2">
        <v>59.99</v>
      </c>
      <c r="AW956" s="2">
        <v>0</v>
      </c>
      <c r="AX956" s="2" t="s">
        <v>3830</v>
      </c>
      <c r="AY956" s="2" t="s">
        <v>83</v>
      </c>
      <c r="AZ956" s="4">
        <v>42936</v>
      </c>
      <c r="BA956" s="5">
        <v>0.94513888888888886</v>
      </c>
      <c r="BB956" s="2">
        <v>2017</v>
      </c>
      <c r="BC956" s="2" t="s">
        <v>533</v>
      </c>
      <c r="BD956" s="2">
        <v>20</v>
      </c>
      <c r="BE956" s="4">
        <v>42940</v>
      </c>
      <c r="BF956" s="5">
        <v>0.94513888888888886</v>
      </c>
      <c r="BG956" s="2" t="str" cm="1">
        <f t="array" ref="BG956">_xlfn.IFS(BF956&lt;TIMEVALUE("06:00"),"Night", BF956&gt;=TIMEVALUE("21:00"),"Night",BF956&gt;=TIMEVALUE("17:00"),"Evening",BF956&gt;=TIMEVALUE("12:00"),"Afternoon", BF956&gt;=TIMEVALUE("06:00"),"Morning")</f>
        <v>Night</v>
      </c>
      <c r="BH956" s="2">
        <v>2017</v>
      </c>
      <c r="BI956" s="2" t="s">
        <v>533</v>
      </c>
      <c r="BJ956" s="2">
        <v>24</v>
      </c>
    </row>
    <row r="957" spans="1:62" x14ac:dyDescent="0.3">
      <c r="A957" s="2" t="s">
        <v>62</v>
      </c>
      <c r="B957" s="2">
        <v>3</v>
      </c>
      <c r="C957" s="2">
        <v>4</v>
      </c>
      <c r="D957" s="2">
        <v>87.29</v>
      </c>
      <c r="E957" s="2">
        <v>290.95</v>
      </c>
      <c r="F957" s="2" t="s">
        <v>63</v>
      </c>
      <c r="G957" s="2" t="s">
        <v>64</v>
      </c>
      <c r="H957" s="2">
        <v>17</v>
      </c>
      <c r="I957" s="2" t="s">
        <v>412</v>
      </c>
      <c r="J957" s="2" t="s">
        <v>1260</v>
      </c>
      <c r="K957" s="2" t="s">
        <v>102</v>
      </c>
      <c r="L957" s="2" t="s">
        <v>790</v>
      </c>
      <c r="M957" s="2">
        <v>6758</v>
      </c>
      <c r="N957" s="2" t="s">
        <v>1376</v>
      </c>
      <c r="O957" s="2" t="s">
        <v>70</v>
      </c>
      <c r="P957" s="2" t="s">
        <v>105</v>
      </c>
      <c r="Q957" s="2" t="s">
        <v>3831</v>
      </c>
      <c r="R957" s="2">
        <v>92707</v>
      </c>
      <c r="S957" s="2">
        <v>4</v>
      </c>
      <c r="T957" s="2" t="s">
        <v>417</v>
      </c>
      <c r="U957" s="2">
        <v>33.665599800000003</v>
      </c>
      <c r="V957" s="2">
        <v>-117.8830566</v>
      </c>
      <c r="W957" s="2" t="s">
        <v>528</v>
      </c>
      <c r="X957" s="2" t="s">
        <v>3832</v>
      </c>
      <c r="Y957" s="2" t="s">
        <v>530</v>
      </c>
      <c r="Z957" s="2">
        <v>6758</v>
      </c>
      <c r="AA957" s="2" t="s">
        <v>3833</v>
      </c>
      <c r="AB957" s="2">
        <v>62237</v>
      </c>
      <c r="AC957" s="2">
        <v>365</v>
      </c>
      <c r="AD957" s="2">
        <v>9</v>
      </c>
      <c r="AE957" s="2">
        <v>0.03</v>
      </c>
      <c r="AF957" s="2" t="str" cm="1">
        <f t="array" ref="AF957">_xlfn.IFS(AE957=0, "No Discount ", AE957&lt;=0.08,"Low Discount", AE957&lt;=0.16,"Medium Discount", AE957&gt;0.16, "High Discount")</f>
        <v>Low Discount</v>
      </c>
      <c r="AG957" s="2">
        <v>155615</v>
      </c>
      <c r="AH957" s="2">
        <v>59.99</v>
      </c>
      <c r="AI957" s="2">
        <v>0.3</v>
      </c>
      <c r="AJ957" s="2" t="str" cm="1">
        <f t="array" ref="AJ957">_xlfn.IFS(AI957&lt;=0, "No Profit", AI957&lt;=0.16,"Low Profit",AI957&lt;=0.32,"Medium Profit",AI957&gt;0.32,"High Profit")</f>
        <v>Medium Profit</v>
      </c>
      <c r="AK957" s="2">
        <v>5</v>
      </c>
      <c r="AL957" s="2">
        <v>299.95</v>
      </c>
      <c r="AM957" s="2">
        <v>290.95</v>
      </c>
      <c r="AN957" s="2">
        <v>87.29</v>
      </c>
      <c r="AO957" s="2" t="s">
        <v>531</v>
      </c>
      <c r="AP957" s="2" t="s">
        <v>2441</v>
      </c>
      <c r="AQ957" s="2" t="s">
        <v>80</v>
      </c>
      <c r="AR957" s="2" t="s">
        <v>81</v>
      </c>
      <c r="AS957" s="2">
        <v>365</v>
      </c>
      <c r="AT957" s="2">
        <v>17</v>
      </c>
      <c r="AU957" s="2" t="s">
        <v>421</v>
      </c>
      <c r="AV957" s="2">
        <v>59.99</v>
      </c>
      <c r="AW957" s="2">
        <v>0</v>
      </c>
      <c r="AX957" s="2" t="s">
        <v>3834</v>
      </c>
      <c r="AY957" s="2" t="s">
        <v>83</v>
      </c>
      <c r="AZ957" s="4">
        <v>42913</v>
      </c>
      <c r="BA957" s="5">
        <v>0.50138888888888888</v>
      </c>
      <c r="BB957" s="2">
        <v>2017</v>
      </c>
      <c r="BC957" s="2" t="s">
        <v>474</v>
      </c>
      <c r="BD957" s="2">
        <v>27</v>
      </c>
      <c r="BE957" s="4">
        <v>42916</v>
      </c>
      <c r="BF957" s="5">
        <v>0.50138888888888888</v>
      </c>
      <c r="BG957" s="2" t="str" cm="1">
        <f t="array" ref="BG957">_xlfn.IFS(BF957&lt;TIMEVALUE("06:00"),"Night", BF957&gt;=TIMEVALUE("21:00"),"Night",BF957&gt;=TIMEVALUE("17:00"),"Evening",BF957&gt;=TIMEVALUE("12:00"),"Afternoon", BF957&gt;=TIMEVALUE("06:00"),"Morning")</f>
        <v>Afternoon</v>
      </c>
      <c r="BH957" s="2">
        <v>2017</v>
      </c>
      <c r="BI957" s="2" t="s">
        <v>474</v>
      </c>
      <c r="BJ957" s="2">
        <v>30</v>
      </c>
    </row>
    <row r="958" spans="1:62" x14ac:dyDescent="0.3">
      <c r="A958" s="2" t="s">
        <v>62</v>
      </c>
      <c r="B958" s="2">
        <v>3</v>
      </c>
      <c r="C958" s="2">
        <v>4</v>
      </c>
      <c r="D958" s="2">
        <v>3.49</v>
      </c>
      <c r="E958" s="2">
        <v>290.95</v>
      </c>
      <c r="F958" s="2" t="s">
        <v>63</v>
      </c>
      <c r="G958" s="2" t="s">
        <v>64</v>
      </c>
      <c r="H958" s="2">
        <v>17</v>
      </c>
      <c r="I958" s="2" t="s">
        <v>412</v>
      </c>
      <c r="J958" s="2" t="s">
        <v>3835</v>
      </c>
      <c r="K958" s="2" t="s">
        <v>102</v>
      </c>
      <c r="L958" s="2" t="s">
        <v>1420</v>
      </c>
      <c r="M958" s="2">
        <v>4842</v>
      </c>
      <c r="N958" s="2" t="s">
        <v>425</v>
      </c>
      <c r="O958" s="2" t="s">
        <v>70</v>
      </c>
      <c r="P958" s="2" t="s">
        <v>105</v>
      </c>
      <c r="Q958" s="2" t="s">
        <v>3836</v>
      </c>
      <c r="R958" s="2">
        <v>94565</v>
      </c>
      <c r="S958" s="2">
        <v>4</v>
      </c>
      <c r="T958" s="2" t="s">
        <v>417</v>
      </c>
      <c r="U958" s="2">
        <v>38.029140499999997</v>
      </c>
      <c r="V958" s="2">
        <v>-121.88591769999999</v>
      </c>
      <c r="W958" s="2" t="s">
        <v>528</v>
      </c>
      <c r="X958" s="2" t="s">
        <v>3837</v>
      </c>
      <c r="Y958" s="2" t="s">
        <v>536</v>
      </c>
      <c r="Z958" s="2">
        <v>4842</v>
      </c>
      <c r="AA958" s="2" t="s">
        <v>3838</v>
      </c>
      <c r="AB958" s="2">
        <v>13907</v>
      </c>
      <c r="AC958" s="2">
        <v>365</v>
      </c>
      <c r="AD958" s="2">
        <v>9</v>
      </c>
      <c r="AE958" s="2">
        <v>0.03</v>
      </c>
      <c r="AF958" s="2" t="str" cm="1">
        <f t="array" ref="AF958">_xlfn.IFS(AE958=0, "No Discount ", AE958&lt;=0.08,"Low Discount", AE958&lt;=0.16,"Medium Discount", AE958&gt;0.16, "High Discount")</f>
        <v>Low Discount</v>
      </c>
      <c r="AG958" s="2">
        <v>34810</v>
      </c>
      <c r="AH958" s="2">
        <v>59.99</v>
      </c>
      <c r="AI958" s="2">
        <v>0.01</v>
      </c>
      <c r="AJ958" s="2" t="str" cm="1">
        <f t="array" ref="AJ958">_xlfn.IFS(AI958&lt;=0, "No Profit", AI958&lt;=0.16,"Low Profit",AI958&lt;=0.32,"Medium Profit",AI958&gt;0.32,"High Profit")</f>
        <v>Low Profit</v>
      </c>
      <c r="AK958" s="2">
        <v>5</v>
      </c>
      <c r="AL958" s="2">
        <v>299.95</v>
      </c>
      <c r="AM958" s="2">
        <v>290.95</v>
      </c>
      <c r="AN958" s="2">
        <v>3.49</v>
      </c>
      <c r="AO958" s="2" t="s">
        <v>531</v>
      </c>
      <c r="AP958" s="2" t="s">
        <v>579</v>
      </c>
      <c r="AQ958" s="2" t="s">
        <v>80</v>
      </c>
      <c r="AR958" s="2" t="s">
        <v>81</v>
      </c>
      <c r="AS958" s="2">
        <v>365</v>
      </c>
      <c r="AT958" s="2">
        <v>17</v>
      </c>
      <c r="AU958" s="2" t="s">
        <v>421</v>
      </c>
      <c r="AV958" s="2">
        <v>59.99</v>
      </c>
      <c r="AW958" s="2">
        <v>0</v>
      </c>
      <c r="AX958" s="2" t="s">
        <v>3839</v>
      </c>
      <c r="AY958" s="2" t="s">
        <v>83</v>
      </c>
      <c r="AZ958" s="4">
        <v>42207</v>
      </c>
      <c r="BA958" s="5">
        <v>0.99513888888888891</v>
      </c>
      <c r="BB958" s="2">
        <v>2015</v>
      </c>
      <c r="BC958" s="2" t="s">
        <v>533</v>
      </c>
      <c r="BD958" s="2">
        <v>22</v>
      </c>
      <c r="BE958" s="4">
        <v>42210</v>
      </c>
      <c r="BF958" s="5">
        <v>0.99513888888888891</v>
      </c>
      <c r="BG958" s="2" t="str" cm="1">
        <f t="array" ref="BG958">_xlfn.IFS(BF958&lt;TIMEVALUE("06:00"),"Night", BF958&gt;=TIMEVALUE("21:00"),"Night",BF958&gt;=TIMEVALUE("17:00"),"Evening",BF958&gt;=TIMEVALUE("12:00"),"Afternoon", BF958&gt;=TIMEVALUE("06:00"),"Morning")</f>
        <v>Night</v>
      </c>
      <c r="BH958" s="2">
        <v>2015</v>
      </c>
      <c r="BI958" s="2" t="s">
        <v>533</v>
      </c>
      <c r="BJ958" s="2">
        <v>25</v>
      </c>
    </row>
    <row r="959" spans="1:62" x14ac:dyDescent="0.3">
      <c r="A959" s="2" t="s">
        <v>62</v>
      </c>
      <c r="B959" s="2">
        <v>2</v>
      </c>
      <c r="C959" s="2">
        <v>4</v>
      </c>
      <c r="D959" s="2">
        <v>106.54</v>
      </c>
      <c r="E959" s="2">
        <v>287.95</v>
      </c>
      <c r="F959" s="2" t="s">
        <v>63</v>
      </c>
      <c r="G959" s="2" t="s">
        <v>64</v>
      </c>
      <c r="H959" s="2">
        <v>17</v>
      </c>
      <c r="I959" s="2" t="s">
        <v>412</v>
      </c>
      <c r="J959" s="2" t="s">
        <v>3840</v>
      </c>
      <c r="K959" s="2" t="s">
        <v>102</v>
      </c>
      <c r="L959" s="2" t="s">
        <v>414</v>
      </c>
      <c r="M959" s="2">
        <v>581</v>
      </c>
      <c r="N959" s="2" t="s">
        <v>403</v>
      </c>
      <c r="O959" s="2" t="s">
        <v>70</v>
      </c>
      <c r="P959" s="2" t="s">
        <v>1163</v>
      </c>
      <c r="Q959" s="2" t="s">
        <v>3841</v>
      </c>
      <c r="R959" s="2">
        <v>7093</v>
      </c>
      <c r="S959" s="2">
        <v>4</v>
      </c>
      <c r="T959" s="2" t="s">
        <v>417</v>
      </c>
      <c r="U959" s="2">
        <v>40.727890000000002</v>
      </c>
      <c r="V959" s="2">
        <v>-74.013099699999998</v>
      </c>
      <c r="W959" s="2" t="s">
        <v>528</v>
      </c>
      <c r="X959" s="2" t="s">
        <v>3842</v>
      </c>
      <c r="Y959" s="2" t="s">
        <v>983</v>
      </c>
      <c r="Z959" s="2">
        <v>581</v>
      </c>
      <c r="AA959" s="2" t="s">
        <v>3843</v>
      </c>
      <c r="AB959" s="2">
        <v>63576</v>
      </c>
      <c r="AC959" s="2">
        <v>365</v>
      </c>
      <c r="AD959" s="2">
        <v>12</v>
      </c>
      <c r="AE959" s="2">
        <v>0.04</v>
      </c>
      <c r="AF959" s="2" t="str" cm="1">
        <f t="array" ref="AF959">_xlfn.IFS(AE959=0, "No Discount ", AE959&lt;=0.08,"Low Discount", AE959&lt;=0.16,"Medium Discount", AE959&gt;0.16, "High Discount")</f>
        <v>Low Discount</v>
      </c>
      <c r="AG959" s="2">
        <v>158916</v>
      </c>
      <c r="AH959" s="2">
        <v>59.99</v>
      </c>
      <c r="AI959" s="2">
        <v>0.37</v>
      </c>
      <c r="AJ959" s="2" t="str" cm="1">
        <f t="array" ref="AJ959">_xlfn.IFS(AI959&lt;=0, "No Profit", AI959&lt;=0.16,"Low Profit",AI959&lt;=0.32,"Medium Profit",AI959&gt;0.32,"High Profit")</f>
        <v>High Profit</v>
      </c>
      <c r="AK959" s="2">
        <v>5</v>
      </c>
      <c r="AL959" s="2">
        <v>299.95</v>
      </c>
      <c r="AM959" s="2">
        <v>287.95</v>
      </c>
      <c r="AN959" s="2">
        <v>106.54</v>
      </c>
      <c r="AO959" s="2" t="s">
        <v>905</v>
      </c>
      <c r="AP959" s="2" t="s">
        <v>3378</v>
      </c>
      <c r="AQ959" s="2" t="s">
        <v>80</v>
      </c>
      <c r="AR959" s="2" t="s">
        <v>81</v>
      </c>
      <c r="AS959" s="2">
        <v>365</v>
      </c>
      <c r="AT959" s="2">
        <v>17</v>
      </c>
      <c r="AU959" s="2" t="s">
        <v>421</v>
      </c>
      <c r="AV959" s="2">
        <v>59.99</v>
      </c>
      <c r="AW959" s="2">
        <v>0</v>
      </c>
      <c r="AX959" s="2" t="s">
        <v>3844</v>
      </c>
      <c r="AY959" s="2" t="s">
        <v>83</v>
      </c>
      <c r="AZ959" s="4">
        <v>42933</v>
      </c>
      <c r="BA959" s="5">
        <v>4.791666666666667E-2</v>
      </c>
      <c r="BB959" s="2">
        <v>2017</v>
      </c>
      <c r="BC959" s="2" t="s">
        <v>533</v>
      </c>
      <c r="BD959" s="2">
        <v>17</v>
      </c>
      <c r="BE959" s="4">
        <v>42935</v>
      </c>
      <c r="BF959" s="5">
        <v>4.791666666666667E-2</v>
      </c>
      <c r="BG959" s="2" t="str" cm="1">
        <f t="array" ref="BG959">_xlfn.IFS(BF959&lt;TIMEVALUE("06:00"),"Night", BF959&gt;=TIMEVALUE("21:00"),"Night",BF959&gt;=TIMEVALUE("17:00"),"Evening",BF959&gt;=TIMEVALUE("12:00"),"Afternoon", BF959&gt;=TIMEVALUE("06:00"),"Morning")</f>
        <v>Night</v>
      </c>
      <c r="BH959" s="2">
        <v>2017</v>
      </c>
      <c r="BI959" s="2" t="s">
        <v>533</v>
      </c>
      <c r="BJ959" s="2">
        <v>19</v>
      </c>
    </row>
    <row r="960" spans="1:62" x14ac:dyDescent="0.3">
      <c r="A960" s="2" t="s">
        <v>62</v>
      </c>
      <c r="B960" s="2">
        <v>4</v>
      </c>
      <c r="C960" s="2">
        <v>4</v>
      </c>
      <c r="D960" s="2">
        <v>97.33</v>
      </c>
      <c r="E960" s="2">
        <v>287.95</v>
      </c>
      <c r="F960" s="2" t="s">
        <v>100</v>
      </c>
      <c r="G960" s="2" t="s">
        <v>64</v>
      </c>
      <c r="H960" s="2">
        <v>17</v>
      </c>
      <c r="I960" s="2" t="s">
        <v>412</v>
      </c>
      <c r="J960" s="2" t="s">
        <v>330</v>
      </c>
      <c r="K960" s="2" t="s">
        <v>102</v>
      </c>
      <c r="L960" s="2" t="s">
        <v>761</v>
      </c>
      <c r="M960" s="2">
        <v>4563</v>
      </c>
      <c r="N960" s="2" t="s">
        <v>3845</v>
      </c>
      <c r="O960" s="2" t="s">
        <v>70</v>
      </c>
      <c r="P960" s="2" t="s">
        <v>333</v>
      </c>
      <c r="Q960" s="2" t="s">
        <v>3846</v>
      </c>
      <c r="R960" s="2">
        <v>75217</v>
      </c>
      <c r="S960" s="2">
        <v>4</v>
      </c>
      <c r="T960" s="2" t="s">
        <v>417</v>
      </c>
      <c r="U960" s="2">
        <v>32.713035599999998</v>
      </c>
      <c r="V960" s="2">
        <v>-96.696319599999995</v>
      </c>
      <c r="W960" s="2" t="s">
        <v>528</v>
      </c>
      <c r="X960" s="2" t="s">
        <v>3773</v>
      </c>
      <c r="Y960" s="2" t="s">
        <v>904</v>
      </c>
      <c r="Z960" s="2">
        <v>4563</v>
      </c>
      <c r="AA960" s="2" t="s">
        <v>3847</v>
      </c>
      <c r="AB960" s="2">
        <v>18448</v>
      </c>
      <c r="AC960" s="2">
        <v>365</v>
      </c>
      <c r="AD960" s="2">
        <v>12</v>
      </c>
      <c r="AE960" s="2">
        <v>0.04</v>
      </c>
      <c r="AF960" s="2" t="str" cm="1">
        <f t="array" ref="AF960">_xlfn.IFS(AE960=0, "No Discount ", AE960&lt;=0.08,"Low Discount", AE960&lt;=0.16,"Medium Discount", AE960&gt;0.16, "High Discount")</f>
        <v>Low Discount</v>
      </c>
      <c r="AG960" s="2">
        <v>46117</v>
      </c>
      <c r="AH960" s="2">
        <v>59.99</v>
      </c>
      <c r="AI960" s="2">
        <v>0.34</v>
      </c>
      <c r="AJ960" s="2" t="str" cm="1">
        <f t="array" ref="AJ960">_xlfn.IFS(AI960&lt;=0, "No Profit", AI960&lt;=0.16,"Low Profit",AI960&lt;=0.32,"Medium Profit",AI960&gt;0.32,"High Profit")</f>
        <v>High Profit</v>
      </c>
      <c r="AK960" s="2">
        <v>5</v>
      </c>
      <c r="AL960" s="2">
        <v>299.95</v>
      </c>
      <c r="AM960" s="2">
        <v>287.95</v>
      </c>
      <c r="AN960" s="2">
        <v>97.33</v>
      </c>
      <c r="AO960" s="2" t="s">
        <v>905</v>
      </c>
      <c r="AP960" s="2" t="s">
        <v>2700</v>
      </c>
      <c r="AQ960" s="2" t="s">
        <v>80</v>
      </c>
      <c r="AR960" s="2" t="s">
        <v>81</v>
      </c>
      <c r="AS960" s="2">
        <v>365</v>
      </c>
      <c r="AT960" s="2">
        <v>17</v>
      </c>
      <c r="AU960" s="2" t="s">
        <v>421</v>
      </c>
      <c r="AV960" s="2">
        <v>59.99</v>
      </c>
      <c r="AW960" s="2">
        <v>0</v>
      </c>
      <c r="AX960" s="3">
        <v>42014.283333333333</v>
      </c>
      <c r="AY960" s="2" t="s">
        <v>83</v>
      </c>
      <c r="AZ960" s="4">
        <v>42274</v>
      </c>
      <c r="BA960" s="5">
        <v>0.28333333333333333</v>
      </c>
      <c r="BB960" s="2">
        <v>2015</v>
      </c>
      <c r="BC960" s="2" t="s">
        <v>552</v>
      </c>
      <c r="BD960" s="2">
        <v>27</v>
      </c>
      <c r="BE960" s="4">
        <v>42014</v>
      </c>
      <c r="BF960" s="5">
        <v>0.28333333333333333</v>
      </c>
      <c r="BG960" s="2" t="str" cm="1">
        <f t="array" ref="BG960">_xlfn.IFS(BF960&lt;TIMEVALUE("06:00"),"Night", BF960&gt;=TIMEVALUE("21:00"),"Night",BF960&gt;=TIMEVALUE("17:00"),"Evening",BF960&gt;=TIMEVALUE("12:00"),"Afternoon", BF960&gt;=TIMEVALUE("06:00"),"Morning")</f>
        <v>Morning</v>
      </c>
      <c r="BH960" s="2">
        <v>2015</v>
      </c>
      <c r="BI960" s="2" t="s">
        <v>84</v>
      </c>
      <c r="BJ960" s="2">
        <v>10</v>
      </c>
    </row>
    <row r="961" spans="1:62" x14ac:dyDescent="0.3">
      <c r="A961" s="2" t="s">
        <v>62</v>
      </c>
      <c r="B961" s="2">
        <v>5</v>
      </c>
      <c r="C961" s="2">
        <v>4</v>
      </c>
      <c r="D961" s="2">
        <v>138.22</v>
      </c>
      <c r="E961" s="2">
        <v>287.95</v>
      </c>
      <c r="F961" s="2" t="s">
        <v>87</v>
      </c>
      <c r="G961" s="2" t="s">
        <v>88</v>
      </c>
      <c r="H961" s="2">
        <v>17</v>
      </c>
      <c r="I961" s="2" t="s">
        <v>412</v>
      </c>
      <c r="J961" s="2" t="s">
        <v>110</v>
      </c>
      <c r="K961" s="2" t="s">
        <v>102</v>
      </c>
      <c r="L961" s="2" t="s">
        <v>414</v>
      </c>
      <c r="M961" s="2">
        <v>9096</v>
      </c>
      <c r="N961" s="2" t="s">
        <v>3848</v>
      </c>
      <c r="O961" s="2" t="s">
        <v>70</v>
      </c>
      <c r="P961" s="2" t="s">
        <v>105</v>
      </c>
      <c r="Q961" s="2" t="s">
        <v>918</v>
      </c>
      <c r="R961" s="2">
        <v>90007</v>
      </c>
      <c r="S961" s="2">
        <v>4</v>
      </c>
      <c r="T961" s="2" t="s">
        <v>417</v>
      </c>
      <c r="U961" s="2">
        <v>33.994815799999998</v>
      </c>
      <c r="V961" s="2">
        <v>-118.34294130000001</v>
      </c>
      <c r="W961" s="2" t="s">
        <v>528</v>
      </c>
      <c r="X961" s="2" t="s">
        <v>3849</v>
      </c>
      <c r="Y961" s="2" t="s">
        <v>536</v>
      </c>
      <c r="Z961" s="2">
        <v>9096</v>
      </c>
      <c r="AA961" s="2" t="s">
        <v>3850</v>
      </c>
      <c r="AB961" s="2">
        <v>17524</v>
      </c>
      <c r="AC961" s="2">
        <v>365</v>
      </c>
      <c r="AD961" s="2">
        <v>12</v>
      </c>
      <c r="AE961" s="2">
        <v>0.04</v>
      </c>
      <c r="AF961" s="2" t="str" cm="1">
        <f t="array" ref="AF961">_xlfn.IFS(AE961=0, "No Discount ", AE961&lt;=0.08,"Low Discount", AE961&lt;=0.16,"Medium Discount", AE961&gt;0.16, "High Discount")</f>
        <v>Low Discount</v>
      </c>
      <c r="AG961" s="2">
        <v>43811</v>
      </c>
      <c r="AH961" s="2">
        <v>59.99</v>
      </c>
      <c r="AI961" s="2">
        <v>0.48</v>
      </c>
      <c r="AJ961" s="2" t="str" cm="1">
        <f t="array" ref="AJ961">_xlfn.IFS(AI961&lt;=0, "No Profit", AI961&lt;=0.16,"Low Profit",AI961&lt;=0.32,"Medium Profit",AI961&gt;0.32,"High Profit")</f>
        <v>High Profit</v>
      </c>
      <c r="AK961" s="2">
        <v>5</v>
      </c>
      <c r="AL961" s="2">
        <v>299.95</v>
      </c>
      <c r="AM961" s="2">
        <v>287.95</v>
      </c>
      <c r="AN961" s="2">
        <v>138.22</v>
      </c>
      <c r="AO961" s="2" t="s">
        <v>531</v>
      </c>
      <c r="AP961" s="2" t="s">
        <v>579</v>
      </c>
      <c r="AQ961" s="2" t="s">
        <v>80</v>
      </c>
      <c r="AR961" s="2" t="s">
        <v>81</v>
      </c>
      <c r="AS961" s="2">
        <v>365</v>
      </c>
      <c r="AT961" s="2">
        <v>17</v>
      </c>
      <c r="AU961" s="2" t="s">
        <v>421</v>
      </c>
      <c r="AV961" s="2">
        <v>59.99</v>
      </c>
      <c r="AW961" s="2">
        <v>0</v>
      </c>
      <c r="AX961" s="2" t="s">
        <v>3851</v>
      </c>
      <c r="AY961" s="2" t="s">
        <v>83</v>
      </c>
      <c r="AZ961" s="4">
        <v>42260</v>
      </c>
      <c r="BA961" s="5">
        <v>0.79513888888888884</v>
      </c>
      <c r="BB961" s="2">
        <v>2015</v>
      </c>
      <c r="BC961" s="2" t="s">
        <v>552</v>
      </c>
      <c r="BD961" s="2">
        <v>13</v>
      </c>
      <c r="BE961" s="4">
        <v>42265</v>
      </c>
      <c r="BF961" s="5">
        <v>0.79513888888888884</v>
      </c>
      <c r="BG961" s="2" t="str" cm="1">
        <f t="array" ref="BG961">_xlfn.IFS(BF961&lt;TIMEVALUE("06:00"),"Night", BF961&gt;=TIMEVALUE("21:00"),"Night",BF961&gt;=TIMEVALUE("17:00"),"Evening",BF961&gt;=TIMEVALUE("12:00"),"Afternoon", BF961&gt;=TIMEVALUE("06:00"),"Morning")</f>
        <v>Evening</v>
      </c>
      <c r="BH961" s="2">
        <v>2015</v>
      </c>
      <c r="BI961" s="2" t="s">
        <v>552</v>
      </c>
      <c r="BJ961" s="2">
        <v>18</v>
      </c>
    </row>
    <row r="962" spans="1:62" x14ac:dyDescent="0.3">
      <c r="A962" s="2" t="s">
        <v>62</v>
      </c>
      <c r="B962" s="2">
        <v>4</v>
      </c>
      <c r="C962" s="2">
        <v>4</v>
      </c>
      <c r="D962" s="2">
        <v>-14.4</v>
      </c>
      <c r="E962" s="2">
        <v>287.95</v>
      </c>
      <c r="F962" s="2" t="s">
        <v>100</v>
      </c>
      <c r="G962" s="2" t="s">
        <v>64</v>
      </c>
      <c r="H962" s="2">
        <v>17</v>
      </c>
      <c r="I962" s="2" t="s">
        <v>412</v>
      </c>
      <c r="J962" s="2" t="s">
        <v>337</v>
      </c>
      <c r="K962" s="2" t="s">
        <v>102</v>
      </c>
      <c r="L962" s="2" t="s">
        <v>414</v>
      </c>
      <c r="M962" s="2">
        <v>9813</v>
      </c>
      <c r="N962" s="2" t="s">
        <v>3852</v>
      </c>
      <c r="O962" s="2" t="s">
        <v>70</v>
      </c>
      <c r="P962" s="2" t="s">
        <v>1271</v>
      </c>
      <c r="Q962" s="2" t="s">
        <v>3853</v>
      </c>
      <c r="R962" s="2">
        <v>80011</v>
      </c>
      <c r="S962" s="2">
        <v>4</v>
      </c>
      <c r="T962" s="2" t="s">
        <v>417</v>
      </c>
      <c r="U962" s="2">
        <v>39.746620200000002</v>
      </c>
      <c r="V962" s="2">
        <v>-104.81643680000001</v>
      </c>
      <c r="W962" s="2" t="s">
        <v>528</v>
      </c>
      <c r="X962" s="2" t="s">
        <v>3854</v>
      </c>
      <c r="Y962" s="2" t="s">
        <v>536</v>
      </c>
      <c r="Z962" s="2">
        <v>9813</v>
      </c>
      <c r="AA962" s="3">
        <v>42287.20208333333</v>
      </c>
      <c r="AB962" s="2">
        <v>19333</v>
      </c>
      <c r="AC962" s="2">
        <v>365</v>
      </c>
      <c r="AD962" s="2">
        <v>12</v>
      </c>
      <c r="AE962" s="2">
        <v>0.04</v>
      </c>
      <c r="AF962" s="2" t="str" cm="1">
        <f t="array" ref="AF962">_xlfn.IFS(AE962=0, "No Discount ", AE962&lt;=0.08,"Low Discount", AE962&lt;=0.16,"Medium Discount", AE962&gt;0.16, "High Discount")</f>
        <v>Low Discount</v>
      </c>
      <c r="AG962" s="2">
        <v>48340</v>
      </c>
      <c r="AH962" s="2">
        <v>59.99</v>
      </c>
      <c r="AI962" s="2">
        <v>-0.05</v>
      </c>
      <c r="AJ962" s="2" t="str" cm="1">
        <f t="array" ref="AJ962">_xlfn.IFS(AI962&lt;=0, "No Profit", AI962&lt;=0.16,"Low Profit",AI962&lt;=0.32,"Medium Profit",AI962&gt;0.32,"High Profit")</f>
        <v>No Profit</v>
      </c>
      <c r="AK962" s="2">
        <v>5</v>
      </c>
      <c r="AL962" s="2">
        <v>299.95</v>
      </c>
      <c r="AM962" s="2">
        <v>287.95</v>
      </c>
      <c r="AN962" s="2">
        <v>-14.4</v>
      </c>
      <c r="AO962" s="2" t="s">
        <v>531</v>
      </c>
      <c r="AP962" s="2" t="s">
        <v>538</v>
      </c>
      <c r="AQ962" s="2" t="s">
        <v>80</v>
      </c>
      <c r="AR962" s="2" t="s">
        <v>81</v>
      </c>
      <c r="AS962" s="2">
        <v>365</v>
      </c>
      <c r="AT962" s="2">
        <v>17</v>
      </c>
      <c r="AU962" s="2" t="s">
        <v>421</v>
      </c>
      <c r="AV962" s="2">
        <v>59.99</v>
      </c>
      <c r="AW962" s="2">
        <v>0</v>
      </c>
      <c r="AX962" s="2" t="s">
        <v>3855</v>
      </c>
      <c r="AY962" s="2" t="s">
        <v>83</v>
      </c>
      <c r="AZ962" s="4">
        <v>42287</v>
      </c>
      <c r="BA962" s="5">
        <v>0.20208333333333334</v>
      </c>
      <c r="BB962" s="2">
        <v>2015</v>
      </c>
      <c r="BC962" s="2" t="s">
        <v>434</v>
      </c>
      <c r="BD962" s="2">
        <v>10</v>
      </c>
      <c r="BE962" s="4">
        <v>42291</v>
      </c>
      <c r="BF962" s="5">
        <v>0.20208333333333334</v>
      </c>
      <c r="BG962" s="2" t="str" cm="1">
        <f t="array" ref="BG962">_xlfn.IFS(BF962&lt;TIMEVALUE("06:00"),"Night", BF962&gt;=TIMEVALUE("21:00"),"Night",BF962&gt;=TIMEVALUE("17:00"),"Evening",BF962&gt;=TIMEVALUE("12:00"),"Afternoon", BF962&gt;=TIMEVALUE("06:00"),"Morning")</f>
        <v>Night</v>
      </c>
      <c r="BH962" s="2">
        <v>2015</v>
      </c>
      <c r="BI962" s="2" t="s">
        <v>434</v>
      </c>
      <c r="BJ962" s="2">
        <v>14</v>
      </c>
    </row>
    <row r="963" spans="1:62" x14ac:dyDescent="0.3">
      <c r="A963" s="2" t="s">
        <v>62</v>
      </c>
      <c r="B963" s="2">
        <v>6</v>
      </c>
      <c r="C963" s="2">
        <v>4</v>
      </c>
      <c r="D963" s="2">
        <v>92.61</v>
      </c>
      <c r="E963" s="2">
        <v>284.95</v>
      </c>
      <c r="F963" s="2" t="s">
        <v>87</v>
      </c>
      <c r="G963" s="2" t="s">
        <v>88</v>
      </c>
      <c r="H963" s="2">
        <v>17</v>
      </c>
      <c r="I963" s="2" t="s">
        <v>412</v>
      </c>
      <c r="J963" s="2" t="s">
        <v>3194</v>
      </c>
      <c r="K963" s="2" t="s">
        <v>102</v>
      </c>
      <c r="L963" s="2" t="s">
        <v>414</v>
      </c>
      <c r="M963" s="2">
        <v>4612</v>
      </c>
      <c r="N963" s="2" t="s">
        <v>1839</v>
      </c>
      <c r="O963" s="2" t="s">
        <v>70</v>
      </c>
      <c r="P963" s="2" t="s">
        <v>280</v>
      </c>
      <c r="Q963" s="2" t="s">
        <v>3195</v>
      </c>
      <c r="R963" s="2">
        <v>19446</v>
      </c>
      <c r="S963" s="2">
        <v>4</v>
      </c>
      <c r="T963" s="2" t="s">
        <v>417</v>
      </c>
      <c r="U963" s="2">
        <v>40.2493172</v>
      </c>
      <c r="V963" s="2">
        <v>-75.255386400000006</v>
      </c>
      <c r="W963" s="2" t="s">
        <v>528</v>
      </c>
      <c r="X963" s="2" t="s">
        <v>2814</v>
      </c>
      <c r="Y963" s="2" t="s">
        <v>557</v>
      </c>
      <c r="Z963" s="2">
        <v>4612</v>
      </c>
      <c r="AA963" s="2" t="s">
        <v>3856</v>
      </c>
      <c r="AB963" s="2">
        <v>64150</v>
      </c>
      <c r="AC963" s="2">
        <v>365</v>
      </c>
      <c r="AD963" s="2">
        <v>15</v>
      </c>
      <c r="AE963" s="2">
        <v>0.05</v>
      </c>
      <c r="AF963" s="2" t="str" cm="1">
        <f t="array" ref="AF963">_xlfn.IFS(AE963=0, "No Discount ", AE963&lt;=0.08,"Low Discount", AE963&lt;=0.16,"Medium Discount", AE963&gt;0.16, "High Discount")</f>
        <v>Low Discount</v>
      </c>
      <c r="AG963" s="2">
        <v>160410</v>
      </c>
      <c r="AH963" s="2">
        <v>59.99</v>
      </c>
      <c r="AI963" s="2">
        <v>0.33</v>
      </c>
      <c r="AJ963" s="2" t="str" cm="1">
        <f t="array" ref="AJ963">_xlfn.IFS(AI963&lt;=0, "No Profit", AI963&lt;=0.16,"Low Profit",AI963&lt;=0.32,"Medium Profit",AI963&gt;0.32,"High Profit")</f>
        <v>High Profit</v>
      </c>
      <c r="AK963" s="2">
        <v>5</v>
      </c>
      <c r="AL963" s="2">
        <v>299.95</v>
      </c>
      <c r="AM963" s="2">
        <v>284.95</v>
      </c>
      <c r="AN963" s="2">
        <v>92.61</v>
      </c>
      <c r="AO963" s="2" t="s">
        <v>558</v>
      </c>
      <c r="AP963" s="2" t="s">
        <v>559</v>
      </c>
      <c r="AQ963" s="2" t="s">
        <v>80</v>
      </c>
      <c r="AR963" s="2" t="s">
        <v>81</v>
      </c>
      <c r="AS963" s="2">
        <v>365</v>
      </c>
      <c r="AT963" s="2">
        <v>17</v>
      </c>
      <c r="AU963" s="2" t="s">
        <v>421</v>
      </c>
      <c r="AV963" s="2">
        <v>59.99</v>
      </c>
      <c r="AW963" s="2">
        <v>0</v>
      </c>
      <c r="AX963" s="2" t="s">
        <v>3857</v>
      </c>
      <c r="AY963" s="2" t="s">
        <v>83</v>
      </c>
      <c r="AZ963" s="4">
        <v>42941</v>
      </c>
      <c r="BA963" s="5">
        <v>0.42708333333333331</v>
      </c>
      <c r="BB963" s="2">
        <v>2017</v>
      </c>
      <c r="BC963" s="2" t="s">
        <v>533</v>
      </c>
      <c r="BD963" s="2">
        <v>25</v>
      </c>
      <c r="BE963" s="4">
        <v>42947</v>
      </c>
      <c r="BF963" s="5">
        <v>0.42708333333333331</v>
      </c>
      <c r="BG963" s="2" t="str" cm="1">
        <f t="array" ref="BG963">_xlfn.IFS(BF963&lt;TIMEVALUE("06:00"),"Night", BF963&gt;=TIMEVALUE("21:00"),"Night",BF963&gt;=TIMEVALUE("17:00"),"Evening",BF963&gt;=TIMEVALUE("12:00"),"Afternoon", BF963&gt;=TIMEVALUE("06:00"),"Morning")</f>
        <v>Morning</v>
      </c>
      <c r="BH963" s="2">
        <v>2017</v>
      </c>
      <c r="BI963" s="2" t="s">
        <v>533</v>
      </c>
      <c r="BJ963" s="2">
        <v>31</v>
      </c>
    </row>
    <row r="964" spans="1:62" x14ac:dyDescent="0.3">
      <c r="A964" s="2" t="s">
        <v>62</v>
      </c>
      <c r="B964" s="2">
        <v>6</v>
      </c>
      <c r="C964" s="2">
        <v>4</v>
      </c>
      <c r="D964" s="2">
        <v>-39.32</v>
      </c>
      <c r="E964" s="2">
        <v>284.95</v>
      </c>
      <c r="F964" s="2" t="s">
        <v>87</v>
      </c>
      <c r="G964" s="2" t="s">
        <v>88</v>
      </c>
      <c r="H964" s="2">
        <v>17</v>
      </c>
      <c r="I964" s="2" t="s">
        <v>412</v>
      </c>
      <c r="J964" s="2" t="s">
        <v>2240</v>
      </c>
      <c r="K964" s="2" t="s">
        <v>102</v>
      </c>
      <c r="L964" s="2" t="s">
        <v>414</v>
      </c>
      <c r="M964" s="2">
        <v>2492</v>
      </c>
      <c r="N964" s="2" t="s">
        <v>3858</v>
      </c>
      <c r="O964" s="2" t="s">
        <v>70</v>
      </c>
      <c r="P964" s="2" t="s">
        <v>1163</v>
      </c>
      <c r="Q964" s="2" t="s">
        <v>3859</v>
      </c>
      <c r="R964" s="2">
        <v>8021</v>
      </c>
      <c r="S964" s="2">
        <v>4</v>
      </c>
      <c r="T964" s="2" t="s">
        <v>417</v>
      </c>
      <c r="U964" s="2">
        <v>39.816646599999999</v>
      </c>
      <c r="V964" s="2">
        <v>-74.984672599999996</v>
      </c>
      <c r="W964" s="2" t="s">
        <v>528</v>
      </c>
      <c r="X964" s="2" t="s">
        <v>3860</v>
      </c>
      <c r="Y964" s="2" t="s">
        <v>536</v>
      </c>
      <c r="Z964" s="2">
        <v>2492</v>
      </c>
      <c r="AA964" s="3">
        <v>42863.667361111111</v>
      </c>
      <c r="AB964" s="2">
        <v>64920</v>
      </c>
      <c r="AC964" s="2">
        <v>365</v>
      </c>
      <c r="AD964" s="2">
        <v>15</v>
      </c>
      <c r="AE964" s="2">
        <v>0.05</v>
      </c>
      <c r="AF964" s="2" t="str" cm="1">
        <f t="array" ref="AF964">_xlfn.IFS(AE964=0, "No Discount ", AE964&lt;=0.08,"Low Discount", AE964&lt;=0.16,"Medium Discount", AE964&gt;0.16, "High Discount")</f>
        <v>Low Discount</v>
      </c>
      <c r="AG964" s="2">
        <v>162292</v>
      </c>
      <c r="AH964" s="2">
        <v>59.99</v>
      </c>
      <c r="AI964" s="2">
        <v>-0.14000000000000001</v>
      </c>
      <c r="AJ964" s="2" t="str" cm="1">
        <f t="array" ref="AJ964">_xlfn.IFS(AI964&lt;=0, "No Profit", AI964&lt;=0.16,"Low Profit",AI964&lt;=0.32,"Medium Profit",AI964&gt;0.32,"High Profit")</f>
        <v>No Profit</v>
      </c>
      <c r="AK964" s="2">
        <v>5</v>
      </c>
      <c r="AL964" s="2">
        <v>299.95</v>
      </c>
      <c r="AM964" s="2">
        <v>284.95</v>
      </c>
      <c r="AN964" s="2">
        <v>-39.32</v>
      </c>
      <c r="AO964" s="2" t="s">
        <v>531</v>
      </c>
      <c r="AP964" s="2" t="s">
        <v>3861</v>
      </c>
      <c r="AQ964" s="2" t="s">
        <v>80</v>
      </c>
      <c r="AR964" s="2" t="s">
        <v>81</v>
      </c>
      <c r="AS964" s="2">
        <v>365</v>
      </c>
      <c r="AT964" s="2">
        <v>17</v>
      </c>
      <c r="AU964" s="2" t="s">
        <v>421</v>
      </c>
      <c r="AV964" s="2">
        <v>59.99</v>
      </c>
      <c r="AW964" s="2">
        <v>0</v>
      </c>
      <c r="AX964" s="3">
        <v>43047.667361111111</v>
      </c>
      <c r="AY964" s="2" t="s">
        <v>83</v>
      </c>
      <c r="AZ964" s="4">
        <v>42863</v>
      </c>
      <c r="BA964" s="5">
        <v>0.66736111111111107</v>
      </c>
      <c r="BB964" s="2">
        <v>2017</v>
      </c>
      <c r="BC964" s="2" t="s">
        <v>443</v>
      </c>
      <c r="BD964" s="2">
        <v>8</v>
      </c>
      <c r="BE964" s="4">
        <v>43047</v>
      </c>
      <c r="BF964" s="5">
        <v>0.66736111111111107</v>
      </c>
      <c r="BG964" s="2" t="str" cm="1">
        <f t="array" ref="BG964">_xlfn.IFS(BF964&lt;TIMEVALUE("06:00"),"Night", BF964&gt;=TIMEVALUE("21:00"),"Night",BF964&gt;=TIMEVALUE("17:00"),"Evening",BF964&gt;=TIMEVALUE("12:00"),"Afternoon", BF964&gt;=TIMEVALUE("06:00"),"Morning")</f>
        <v>Afternoon</v>
      </c>
      <c r="BH964" s="2">
        <v>2017</v>
      </c>
      <c r="BI964" s="2" t="s">
        <v>455</v>
      </c>
      <c r="BJ964" s="2">
        <v>8</v>
      </c>
    </row>
    <row r="965" spans="1:62" x14ac:dyDescent="0.3">
      <c r="A965" s="2" t="s">
        <v>62</v>
      </c>
      <c r="B965" s="2">
        <v>4</v>
      </c>
      <c r="C965" s="2">
        <v>4</v>
      </c>
      <c r="D965" s="2">
        <v>96.37</v>
      </c>
      <c r="E965" s="2">
        <v>283.45</v>
      </c>
      <c r="F965" s="2" t="s">
        <v>100</v>
      </c>
      <c r="G965" s="2" t="s">
        <v>64</v>
      </c>
      <c r="H965" s="2">
        <v>17</v>
      </c>
      <c r="I965" s="2" t="s">
        <v>412</v>
      </c>
      <c r="J965" s="2" t="s">
        <v>1331</v>
      </c>
      <c r="K965" s="2" t="s">
        <v>102</v>
      </c>
      <c r="L965" s="2" t="s">
        <v>2132</v>
      </c>
      <c r="M965" s="2">
        <v>1445</v>
      </c>
      <c r="N965" s="2" t="s">
        <v>3862</v>
      </c>
      <c r="O965" s="2" t="s">
        <v>70</v>
      </c>
      <c r="P965" s="2" t="s">
        <v>105</v>
      </c>
      <c r="Q965" s="2" t="s">
        <v>3863</v>
      </c>
      <c r="R965" s="2">
        <v>92115</v>
      </c>
      <c r="S965" s="2">
        <v>4</v>
      </c>
      <c r="T965" s="2" t="s">
        <v>417</v>
      </c>
      <c r="U965" s="2">
        <v>32.758560199999998</v>
      </c>
      <c r="V965" s="2">
        <v>-117.0881882</v>
      </c>
      <c r="W965" s="2" t="s">
        <v>528</v>
      </c>
      <c r="X965" s="2" t="s">
        <v>2720</v>
      </c>
      <c r="Y965" s="2" t="s">
        <v>983</v>
      </c>
      <c r="Z965" s="2">
        <v>1445</v>
      </c>
      <c r="AA965" s="2" t="s">
        <v>3864</v>
      </c>
      <c r="AB965" s="2">
        <v>16378</v>
      </c>
      <c r="AC965" s="2">
        <v>365</v>
      </c>
      <c r="AD965" s="2">
        <v>16.5</v>
      </c>
      <c r="AE965" s="2">
        <v>0.06</v>
      </c>
      <c r="AF965" s="2" t="str" cm="1">
        <f t="array" ref="AF965">_xlfn.IFS(AE965=0, "No Discount ", AE965&lt;=0.08,"Low Discount", AE965&lt;=0.16,"Medium Discount", AE965&gt;0.16, "High Discount")</f>
        <v>Low Discount</v>
      </c>
      <c r="AG965" s="2">
        <v>40891</v>
      </c>
      <c r="AH965" s="2">
        <v>59.99</v>
      </c>
      <c r="AI965" s="2">
        <v>0.34</v>
      </c>
      <c r="AJ965" s="2" t="str" cm="1">
        <f t="array" ref="AJ965">_xlfn.IFS(AI965&lt;=0, "No Profit", AI965&lt;=0.16,"Low Profit",AI965&lt;=0.32,"Medium Profit",AI965&gt;0.32,"High Profit")</f>
        <v>High Profit</v>
      </c>
      <c r="AK965" s="2">
        <v>5</v>
      </c>
      <c r="AL965" s="2">
        <v>299.95</v>
      </c>
      <c r="AM965" s="2">
        <v>283.45</v>
      </c>
      <c r="AN965" s="2">
        <v>96.37</v>
      </c>
      <c r="AO965" s="2" t="s">
        <v>905</v>
      </c>
      <c r="AP965" s="2" t="s">
        <v>995</v>
      </c>
      <c r="AQ965" s="2" t="s">
        <v>80</v>
      </c>
      <c r="AR965" s="2" t="s">
        <v>81</v>
      </c>
      <c r="AS965" s="2">
        <v>365</v>
      </c>
      <c r="AT965" s="2">
        <v>17</v>
      </c>
      <c r="AU965" s="2" t="s">
        <v>421</v>
      </c>
      <c r="AV965" s="2">
        <v>59.99</v>
      </c>
      <c r="AW965" s="2">
        <v>0</v>
      </c>
      <c r="AX965" s="3">
        <v>42013.065972222219</v>
      </c>
      <c r="AY965" s="2" t="s">
        <v>83</v>
      </c>
      <c r="AZ965" s="4">
        <v>42244</v>
      </c>
      <c r="BA965" s="5">
        <v>6.5972222222222224E-2</v>
      </c>
      <c r="BB965" s="2">
        <v>2015</v>
      </c>
      <c r="BC965" s="2" t="s">
        <v>482</v>
      </c>
      <c r="BD965" s="2">
        <v>28</v>
      </c>
      <c r="BE965" s="4">
        <v>42013</v>
      </c>
      <c r="BF965" s="5">
        <v>6.5972222222222224E-2</v>
      </c>
      <c r="BG965" s="2" t="str" cm="1">
        <f t="array" ref="BG965">_xlfn.IFS(BF965&lt;TIMEVALUE("06:00"),"Night", BF965&gt;=TIMEVALUE("21:00"),"Night",BF965&gt;=TIMEVALUE("17:00"),"Evening",BF965&gt;=TIMEVALUE("12:00"),"Afternoon", BF965&gt;=TIMEVALUE("06:00"),"Morning")</f>
        <v>Night</v>
      </c>
      <c r="BH965" s="2">
        <v>2015</v>
      </c>
      <c r="BI965" s="2" t="s">
        <v>84</v>
      </c>
      <c r="BJ965" s="2">
        <v>9</v>
      </c>
    </row>
    <row r="966" spans="1:62" x14ac:dyDescent="0.3">
      <c r="A966" s="2" t="s">
        <v>62</v>
      </c>
      <c r="B966" s="2">
        <v>2</v>
      </c>
      <c r="C966" s="2">
        <v>4</v>
      </c>
      <c r="D966" s="2">
        <v>88.72</v>
      </c>
      <c r="E966" s="2">
        <v>283.45</v>
      </c>
      <c r="F966" s="2" t="s">
        <v>63</v>
      </c>
      <c r="G966" s="2" t="s">
        <v>64</v>
      </c>
      <c r="H966" s="2">
        <v>17</v>
      </c>
      <c r="I966" s="2" t="s">
        <v>412</v>
      </c>
      <c r="J966" s="2" t="s">
        <v>3865</v>
      </c>
      <c r="K966" s="2" t="s">
        <v>102</v>
      </c>
      <c r="L966" s="2" t="s">
        <v>667</v>
      </c>
      <c r="M966" s="2">
        <v>7327</v>
      </c>
      <c r="N966" s="2" t="s">
        <v>2255</v>
      </c>
      <c r="O966" s="2" t="s">
        <v>70</v>
      </c>
      <c r="P966" s="2" t="s">
        <v>152</v>
      </c>
      <c r="Q966" s="2" t="s">
        <v>3866</v>
      </c>
      <c r="R966" s="2">
        <v>32822</v>
      </c>
      <c r="S966" s="2">
        <v>4</v>
      </c>
      <c r="T966" s="2" t="s">
        <v>417</v>
      </c>
      <c r="U966" s="2">
        <v>28.485799799999999</v>
      </c>
      <c r="V966" s="2">
        <v>-81.304672199999999</v>
      </c>
      <c r="W966" s="2" t="s">
        <v>528</v>
      </c>
      <c r="X966" s="2" t="s">
        <v>1087</v>
      </c>
      <c r="Y966" s="2" t="s">
        <v>1088</v>
      </c>
      <c r="Z966" s="2">
        <v>7327</v>
      </c>
      <c r="AA966" s="3">
        <v>42987.861805555556</v>
      </c>
      <c r="AB966" s="2">
        <v>67331</v>
      </c>
      <c r="AC966" s="2">
        <v>365</v>
      </c>
      <c r="AD966" s="2">
        <v>16.5</v>
      </c>
      <c r="AE966" s="2">
        <v>0.06</v>
      </c>
      <c r="AF966" s="2" t="str" cm="1">
        <f t="array" ref="AF966">_xlfn.IFS(AE966=0, "No Discount ", AE966&lt;=0.08,"Low Discount", AE966&lt;=0.16,"Medium Discount", AE966&gt;0.16, "High Discount")</f>
        <v>Low Discount</v>
      </c>
      <c r="AG966" s="2">
        <v>168290</v>
      </c>
      <c r="AH966" s="2">
        <v>59.99</v>
      </c>
      <c r="AI966" s="2">
        <v>0.31</v>
      </c>
      <c r="AJ966" s="2" t="str" cm="1">
        <f t="array" ref="AJ966">_xlfn.IFS(AI966&lt;=0, "No Profit", AI966&lt;=0.16,"Low Profit",AI966&lt;=0.32,"Medium Profit",AI966&gt;0.32,"High Profit")</f>
        <v>Medium Profit</v>
      </c>
      <c r="AK966" s="2">
        <v>5</v>
      </c>
      <c r="AL966" s="2">
        <v>299.95</v>
      </c>
      <c r="AM966" s="2">
        <v>283.45</v>
      </c>
      <c r="AN966" s="2">
        <v>88.72</v>
      </c>
      <c r="AO966" s="2" t="s">
        <v>531</v>
      </c>
      <c r="AP966" s="2" t="s">
        <v>1087</v>
      </c>
      <c r="AQ966" s="2" t="s">
        <v>80</v>
      </c>
      <c r="AR966" s="2" t="s">
        <v>81</v>
      </c>
      <c r="AS966" s="2">
        <v>365</v>
      </c>
      <c r="AT966" s="2">
        <v>17</v>
      </c>
      <c r="AU966" s="2" t="s">
        <v>421</v>
      </c>
      <c r="AV966" s="2">
        <v>59.99</v>
      </c>
      <c r="AW966" s="2">
        <v>0</v>
      </c>
      <c r="AX966" s="3">
        <v>43048.861805555556</v>
      </c>
      <c r="AY966" s="2" t="s">
        <v>83</v>
      </c>
      <c r="AZ966" s="4">
        <v>42987</v>
      </c>
      <c r="BA966" s="5">
        <v>0.8618055555555556</v>
      </c>
      <c r="BB966" s="2">
        <v>2017</v>
      </c>
      <c r="BC966" s="2" t="s">
        <v>552</v>
      </c>
      <c r="BD966" s="2">
        <v>9</v>
      </c>
      <c r="BE966" s="4">
        <v>43048</v>
      </c>
      <c r="BF966" s="5">
        <v>0.8618055555555556</v>
      </c>
      <c r="BG966" s="2" t="str" cm="1">
        <f t="array" ref="BG966">_xlfn.IFS(BF966&lt;TIMEVALUE("06:00"),"Night", BF966&gt;=TIMEVALUE("21:00"),"Night",BF966&gt;=TIMEVALUE("17:00"),"Evening",BF966&gt;=TIMEVALUE("12:00"),"Afternoon", BF966&gt;=TIMEVALUE("06:00"),"Morning")</f>
        <v>Evening</v>
      </c>
      <c r="BH966" s="2">
        <v>2017</v>
      </c>
      <c r="BI966" s="2" t="s">
        <v>455</v>
      </c>
      <c r="BJ966" s="2">
        <v>9</v>
      </c>
    </row>
    <row r="967" spans="1:62" x14ac:dyDescent="0.3">
      <c r="A967" s="2" t="s">
        <v>62</v>
      </c>
      <c r="B967" s="2">
        <v>3</v>
      </c>
      <c r="C967" s="2">
        <v>4</v>
      </c>
      <c r="D967" s="2">
        <v>136.06</v>
      </c>
      <c r="E967" s="2">
        <v>283.45</v>
      </c>
      <c r="F967" s="2" t="s">
        <v>63</v>
      </c>
      <c r="G967" s="2" t="s">
        <v>64</v>
      </c>
      <c r="H967" s="2">
        <v>17</v>
      </c>
      <c r="I967" s="2" t="s">
        <v>412</v>
      </c>
      <c r="J967" s="2" t="s">
        <v>3745</v>
      </c>
      <c r="K967" s="2" t="s">
        <v>102</v>
      </c>
      <c r="L967" s="2" t="s">
        <v>2132</v>
      </c>
      <c r="M967" s="2">
        <v>8701</v>
      </c>
      <c r="N967" s="2" t="s">
        <v>2052</v>
      </c>
      <c r="O967" s="2" t="s">
        <v>70</v>
      </c>
      <c r="P967" s="2" t="s">
        <v>294</v>
      </c>
      <c r="Q967" s="2" t="s">
        <v>3867</v>
      </c>
      <c r="R967" s="2">
        <v>48098</v>
      </c>
      <c r="S967" s="2">
        <v>4</v>
      </c>
      <c r="T967" s="2" t="s">
        <v>417</v>
      </c>
      <c r="U967" s="2">
        <v>42.580459599999998</v>
      </c>
      <c r="V967" s="2">
        <v>-83.1560135</v>
      </c>
      <c r="W967" s="2" t="s">
        <v>528</v>
      </c>
      <c r="X967" s="2" t="s">
        <v>3868</v>
      </c>
      <c r="Y967" s="2" t="s">
        <v>530</v>
      </c>
      <c r="Z967" s="2">
        <v>8701</v>
      </c>
      <c r="AA967" s="3">
        <v>42864.570138888892</v>
      </c>
      <c r="AB967" s="2">
        <v>67037</v>
      </c>
      <c r="AC967" s="2">
        <v>365</v>
      </c>
      <c r="AD967" s="2">
        <v>16.5</v>
      </c>
      <c r="AE967" s="2">
        <v>0.06</v>
      </c>
      <c r="AF967" s="2" t="str" cm="1">
        <f t="array" ref="AF967">_xlfn.IFS(AE967=0, "No Discount ", AE967&lt;=0.08,"Low Discount", AE967&lt;=0.16,"Medium Discount", AE967&gt;0.16, "High Discount")</f>
        <v>Low Discount</v>
      </c>
      <c r="AG967" s="2">
        <v>167580</v>
      </c>
      <c r="AH967" s="2">
        <v>59.99</v>
      </c>
      <c r="AI967" s="2">
        <v>0.48</v>
      </c>
      <c r="AJ967" s="2" t="str" cm="1">
        <f t="array" ref="AJ967">_xlfn.IFS(AI967&lt;=0, "No Profit", AI967&lt;=0.16,"Low Profit",AI967&lt;=0.32,"Medium Profit",AI967&gt;0.32,"High Profit")</f>
        <v>High Profit</v>
      </c>
      <c r="AK967" s="2">
        <v>5</v>
      </c>
      <c r="AL967" s="2">
        <v>299.95</v>
      </c>
      <c r="AM967" s="2">
        <v>283.45</v>
      </c>
      <c r="AN967" s="2">
        <v>136.06</v>
      </c>
      <c r="AO967" s="2" t="s">
        <v>531</v>
      </c>
      <c r="AP967" s="2" t="s">
        <v>1029</v>
      </c>
      <c r="AQ967" s="2" t="s">
        <v>80</v>
      </c>
      <c r="AR967" s="2" t="s">
        <v>81</v>
      </c>
      <c r="AS967" s="2">
        <v>365</v>
      </c>
      <c r="AT967" s="2">
        <v>17</v>
      </c>
      <c r="AU967" s="2" t="s">
        <v>421</v>
      </c>
      <c r="AV967" s="2">
        <v>59.99</v>
      </c>
      <c r="AW967" s="2">
        <v>0</v>
      </c>
      <c r="AX967" s="3">
        <v>42956.570138888892</v>
      </c>
      <c r="AY967" s="2" t="s">
        <v>83</v>
      </c>
      <c r="AZ967" s="4">
        <v>42864</v>
      </c>
      <c r="BA967" s="5">
        <v>0.57013888888888886</v>
      </c>
      <c r="BB967" s="2">
        <v>2017</v>
      </c>
      <c r="BC967" s="2" t="s">
        <v>443</v>
      </c>
      <c r="BD967" s="2">
        <v>9</v>
      </c>
      <c r="BE967" s="4">
        <v>42956</v>
      </c>
      <c r="BF967" s="5">
        <v>0.57013888888888886</v>
      </c>
      <c r="BG967" s="2" t="str" cm="1">
        <f t="array" ref="BG967">_xlfn.IFS(BF967&lt;TIMEVALUE("06:00"),"Night", BF967&gt;=TIMEVALUE("21:00"),"Night",BF967&gt;=TIMEVALUE("17:00"),"Evening",BF967&gt;=TIMEVALUE("12:00"),"Afternoon", BF967&gt;=TIMEVALUE("06:00"),"Morning")</f>
        <v>Afternoon</v>
      </c>
      <c r="BH967" s="2">
        <v>2017</v>
      </c>
      <c r="BI967" s="2" t="s">
        <v>482</v>
      </c>
      <c r="BJ967" s="2">
        <v>9</v>
      </c>
    </row>
    <row r="968" spans="1:62" x14ac:dyDescent="0.3">
      <c r="A968" s="2" t="s">
        <v>62</v>
      </c>
      <c r="B968" s="2">
        <v>5</v>
      </c>
      <c r="C968" s="2">
        <v>4</v>
      </c>
      <c r="D968" s="2">
        <v>-311.8</v>
      </c>
      <c r="E968" s="2">
        <v>283.45</v>
      </c>
      <c r="F968" s="2" t="s">
        <v>87</v>
      </c>
      <c r="G968" s="2" t="s">
        <v>88</v>
      </c>
      <c r="H968" s="2">
        <v>17</v>
      </c>
      <c r="I968" s="2" t="s">
        <v>412</v>
      </c>
      <c r="J968" s="2" t="s">
        <v>1028</v>
      </c>
      <c r="K968" s="2" t="s">
        <v>102</v>
      </c>
      <c r="L968" s="2" t="s">
        <v>351</v>
      </c>
      <c r="M968" s="2">
        <v>7783</v>
      </c>
      <c r="N968" s="2" t="s">
        <v>1452</v>
      </c>
      <c r="O968" s="2" t="s">
        <v>70</v>
      </c>
      <c r="P968" s="2" t="s">
        <v>280</v>
      </c>
      <c r="Q968" s="2" t="s">
        <v>3869</v>
      </c>
      <c r="R968" s="2">
        <v>17331</v>
      </c>
      <c r="S968" s="2">
        <v>4</v>
      </c>
      <c r="T968" s="2" t="s">
        <v>417</v>
      </c>
      <c r="U968" s="2">
        <v>39.792240100000001</v>
      </c>
      <c r="V968" s="2">
        <v>-76.735961900000007</v>
      </c>
      <c r="W968" s="2" t="s">
        <v>528</v>
      </c>
      <c r="X968" s="2" t="s">
        <v>3870</v>
      </c>
      <c r="Y968" s="2" t="s">
        <v>536</v>
      </c>
      <c r="Z968" s="2">
        <v>7783</v>
      </c>
      <c r="AA968" s="2" t="s">
        <v>3871</v>
      </c>
      <c r="AB968" s="2">
        <v>63349</v>
      </c>
      <c r="AC968" s="2">
        <v>365</v>
      </c>
      <c r="AD968" s="2">
        <v>16.5</v>
      </c>
      <c r="AE968" s="2">
        <v>0.06</v>
      </c>
      <c r="AF968" s="2" t="str" cm="1">
        <f t="array" ref="AF968">_xlfn.IFS(AE968=0, "No Discount ", AE968&lt;=0.08,"Low Discount", AE968&lt;=0.16,"Medium Discount", AE968&gt;0.16, "High Discount")</f>
        <v>Low Discount</v>
      </c>
      <c r="AG968" s="2">
        <v>158385</v>
      </c>
      <c r="AH968" s="2">
        <v>59.99</v>
      </c>
      <c r="AI968" s="2">
        <v>-1.1000000000000001</v>
      </c>
      <c r="AJ968" s="2" t="str" cm="1">
        <f t="array" ref="AJ968">_xlfn.IFS(AI968&lt;=0, "No Profit", AI968&lt;=0.16,"Low Profit",AI968&lt;=0.32,"Medium Profit",AI968&gt;0.32,"High Profit")</f>
        <v>No Profit</v>
      </c>
      <c r="AK968" s="2">
        <v>5</v>
      </c>
      <c r="AL968" s="2">
        <v>299.95</v>
      </c>
      <c r="AM968" s="2">
        <v>283.45</v>
      </c>
      <c r="AN968" s="2">
        <v>-311.8</v>
      </c>
      <c r="AO968" s="2" t="s">
        <v>531</v>
      </c>
      <c r="AP968" s="2" t="s">
        <v>543</v>
      </c>
      <c r="AQ968" s="2" t="s">
        <v>80</v>
      </c>
      <c r="AR968" s="2" t="s">
        <v>81</v>
      </c>
      <c r="AS968" s="2">
        <v>365</v>
      </c>
      <c r="AT968" s="2">
        <v>17</v>
      </c>
      <c r="AU968" s="2" t="s">
        <v>421</v>
      </c>
      <c r="AV968" s="2">
        <v>59.99</v>
      </c>
      <c r="AW968" s="2">
        <v>0</v>
      </c>
      <c r="AX968" s="2" t="s">
        <v>3872</v>
      </c>
      <c r="AY968" s="2" t="s">
        <v>83</v>
      </c>
      <c r="AZ968" s="4">
        <v>42929</v>
      </c>
      <c r="BA968" s="5">
        <v>0.73402777777777772</v>
      </c>
      <c r="BB968" s="2">
        <v>2017</v>
      </c>
      <c r="BC968" s="2" t="s">
        <v>533</v>
      </c>
      <c r="BD968" s="2">
        <v>13</v>
      </c>
      <c r="BE968" s="4">
        <v>42934</v>
      </c>
      <c r="BF968" s="5">
        <v>0.73402777777777772</v>
      </c>
      <c r="BG968" s="2" t="str" cm="1">
        <f t="array" ref="BG968">_xlfn.IFS(BF968&lt;TIMEVALUE("06:00"),"Night", BF968&gt;=TIMEVALUE("21:00"),"Night",BF968&gt;=TIMEVALUE("17:00"),"Evening",BF968&gt;=TIMEVALUE("12:00"),"Afternoon", BF968&gt;=TIMEVALUE("06:00"),"Morning")</f>
        <v>Evening</v>
      </c>
      <c r="BH968" s="2">
        <v>2017</v>
      </c>
      <c r="BI968" s="2" t="s">
        <v>533</v>
      </c>
      <c r="BJ968" s="2">
        <v>18</v>
      </c>
    </row>
    <row r="969" spans="1:62" x14ac:dyDescent="0.3">
      <c r="A969" s="2" t="s">
        <v>62</v>
      </c>
      <c r="B969" s="2">
        <v>5</v>
      </c>
      <c r="C969" s="2">
        <v>4</v>
      </c>
      <c r="D969" s="2">
        <v>92.12</v>
      </c>
      <c r="E969" s="2">
        <v>283.45</v>
      </c>
      <c r="F969" s="2" t="s">
        <v>87</v>
      </c>
      <c r="G969" s="2" t="s">
        <v>88</v>
      </c>
      <c r="H969" s="2">
        <v>17</v>
      </c>
      <c r="I969" s="2" t="s">
        <v>412</v>
      </c>
      <c r="J969" s="2" t="s">
        <v>1606</v>
      </c>
      <c r="K969" s="2" t="s">
        <v>102</v>
      </c>
      <c r="L969" s="2" t="s">
        <v>414</v>
      </c>
      <c r="M969" s="2">
        <v>5621</v>
      </c>
      <c r="N969" s="2" t="s">
        <v>425</v>
      </c>
      <c r="O969" s="2" t="s">
        <v>70</v>
      </c>
      <c r="P969" s="2" t="s">
        <v>1394</v>
      </c>
      <c r="Q969" s="2" t="s">
        <v>3873</v>
      </c>
      <c r="R969" s="2">
        <v>23452</v>
      </c>
      <c r="S969" s="2">
        <v>4</v>
      </c>
      <c r="T969" s="2" t="s">
        <v>417</v>
      </c>
      <c r="U969" s="2">
        <v>36.824119600000003</v>
      </c>
      <c r="V969" s="2">
        <v>-76.127891500000004</v>
      </c>
      <c r="W969" s="2" t="s">
        <v>528</v>
      </c>
      <c r="X969" s="2" t="s">
        <v>3874</v>
      </c>
      <c r="Y969" s="2" t="s">
        <v>536</v>
      </c>
      <c r="Z969" s="2">
        <v>5621</v>
      </c>
      <c r="AA969" s="3">
        <v>42257.852083333331</v>
      </c>
      <c r="AB969" s="2">
        <v>19309</v>
      </c>
      <c r="AC969" s="2">
        <v>365</v>
      </c>
      <c r="AD969" s="2">
        <v>16.5</v>
      </c>
      <c r="AE969" s="2">
        <v>0.06</v>
      </c>
      <c r="AF969" s="2" t="str" cm="1">
        <f t="array" ref="AF969">_xlfn.IFS(AE969=0, "No Discount ", AE969&lt;=0.08,"Low Discount", AE969&lt;=0.16,"Medium Discount", AE969&gt;0.16, "High Discount")</f>
        <v>Low Discount</v>
      </c>
      <c r="AG969" s="2">
        <v>48271</v>
      </c>
      <c r="AH969" s="2">
        <v>59.99</v>
      </c>
      <c r="AI969" s="2">
        <v>0.33</v>
      </c>
      <c r="AJ969" s="2" t="str" cm="1">
        <f t="array" ref="AJ969">_xlfn.IFS(AI969&lt;=0, "No Profit", AI969&lt;=0.16,"Low Profit",AI969&lt;=0.32,"Medium Profit",AI969&gt;0.32,"High Profit")</f>
        <v>High Profit</v>
      </c>
      <c r="AK969" s="2">
        <v>5</v>
      </c>
      <c r="AL969" s="2">
        <v>299.95</v>
      </c>
      <c r="AM969" s="2">
        <v>283.45</v>
      </c>
      <c r="AN969" s="2">
        <v>92.12</v>
      </c>
      <c r="AO969" s="2" t="s">
        <v>531</v>
      </c>
      <c r="AP969" s="2" t="s">
        <v>1014</v>
      </c>
      <c r="AQ969" s="2" t="s">
        <v>80</v>
      </c>
      <c r="AR969" s="2" t="s">
        <v>81</v>
      </c>
      <c r="AS969" s="2">
        <v>365</v>
      </c>
      <c r="AT969" s="2">
        <v>17</v>
      </c>
      <c r="AU969" s="2" t="s">
        <v>421</v>
      </c>
      <c r="AV969" s="2">
        <v>59.99</v>
      </c>
      <c r="AW969" s="2">
        <v>0</v>
      </c>
      <c r="AX969" s="2" t="s">
        <v>3875</v>
      </c>
      <c r="AY969" s="2" t="s">
        <v>83</v>
      </c>
      <c r="AZ969" s="4">
        <v>42257</v>
      </c>
      <c r="BA969" s="5">
        <v>0.8520833333333333</v>
      </c>
      <c r="BB969" s="2">
        <v>2015</v>
      </c>
      <c r="BC969" s="2" t="s">
        <v>552</v>
      </c>
      <c r="BD969" s="2">
        <v>10</v>
      </c>
      <c r="BE969" s="4">
        <v>42291</v>
      </c>
      <c r="BF969" s="5">
        <v>0.8520833333333333</v>
      </c>
      <c r="BG969" s="2" t="str" cm="1">
        <f t="array" ref="BG969">_xlfn.IFS(BF969&lt;TIMEVALUE("06:00"),"Night", BF969&gt;=TIMEVALUE("21:00"),"Night",BF969&gt;=TIMEVALUE("17:00"),"Evening",BF969&gt;=TIMEVALUE("12:00"),"Afternoon", BF969&gt;=TIMEVALUE("06:00"),"Morning")</f>
        <v>Evening</v>
      </c>
      <c r="BH969" s="2">
        <v>2015</v>
      </c>
      <c r="BI969" s="2" t="s">
        <v>434</v>
      </c>
      <c r="BJ969" s="2">
        <v>14</v>
      </c>
    </row>
    <row r="970" spans="1:62" x14ac:dyDescent="0.3">
      <c r="A970" s="2" t="s">
        <v>62</v>
      </c>
      <c r="B970" s="2">
        <v>2</v>
      </c>
      <c r="C970" s="2">
        <v>4</v>
      </c>
      <c r="D970" s="2">
        <v>72.53</v>
      </c>
      <c r="E970" s="2">
        <v>278.95</v>
      </c>
      <c r="F970" s="2" t="s">
        <v>63</v>
      </c>
      <c r="G970" s="2" t="s">
        <v>64</v>
      </c>
      <c r="H970" s="2">
        <v>17</v>
      </c>
      <c r="I970" s="2" t="s">
        <v>412</v>
      </c>
      <c r="J970" s="2" t="s">
        <v>110</v>
      </c>
      <c r="K970" s="2" t="s">
        <v>102</v>
      </c>
      <c r="L970" s="2" t="s">
        <v>790</v>
      </c>
      <c r="M970" s="2">
        <v>5767</v>
      </c>
      <c r="N970" s="2" t="s">
        <v>425</v>
      </c>
      <c r="O970" s="2" t="s">
        <v>70</v>
      </c>
      <c r="P970" s="2" t="s">
        <v>105</v>
      </c>
      <c r="Q970" s="2" t="s">
        <v>3876</v>
      </c>
      <c r="R970" s="2">
        <v>90046</v>
      </c>
      <c r="S970" s="2">
        <v>4</v>
      </c>
      <c r="T970" s="2" t="s">
        <v>417</v>
      </c>
      <c r="U970" s="2">
        <v>34.099609399999999</v>
      </c>
      <c r="V970" s="2">
        <v>-118.35073850000001</v>
      </c>
      <c r="W970" s="2" t="s">
        <v>528</v>
      </c>
      <c r="X970" s="2" t="s">
        <v>3877</v>
      </c>
      <c r="Y970" s="2" t="s">
        <v>2613</v>
      </c>
      <c r="Z970" s="2">
        <v>5767</v>
      </c>
      <c r="AA970" s="2" t="s">
        <v>3878</v>
      </c>
      <c r="AB970" s="2">
        <v>49936</v>
      </c>
      <c r="AC970" s="2">
        <v>365</v>
      </c>
      <c r="AD970" s="2">
        <v>21</v>
      </c>
      <c r="AE970" s="2">
        <v>7.0000000000000007E-2</v>
      </c>
      <c r="AF970" s="2" t="str" cm="1">
        <f t="array" ref="AF970">_xlfn.IFS(AE970=0, "No Discount ", AE970&lt;=0.08,"Low Discount", AE970&lt;=0.16,"Medium Discount", AE970&gt;0.16, "High Discount")</f>
        <v>Low Discount</v>
      </c>
      <c r="AG970" s="2">
        <v>124839</v>
      </c>
      <c r="AH970" s="2">
        <v>59.99</v>
      </c>
      <c r="AI970" s="2">
        <v>0.26</v>
      </c>
      <c r="AJ970" s="2" t="str" cm="1">
        <f t="array" ref="AJ970">_xlfn.IFS(AI970&lt;=0, "No Profit", AI970&lt;=0.16,"Low Profit",AI970&lt;=0.32,"Medium Profit",AI970&gt;0.32,"High Profit")</f>
        <v>Medium Profit</v>
      </c>
      <c r="AK970" s="2">
        <v>5</v>
      </c>
      <c r="AL970" s="2">
        <v>299.95</v>
      </c>
      <c r="AM970" s="2">
        <v>278.95</v>
      </c>
      <c r="AN970" s="2">
        <v>72.53</v>
      </c>
      <c r="AO970" s="2" t="s">
        <v>1717</v>
      </c>
      <c r="AP970" s="2" t="s">
        <v>3877</v>
      </c>
      <c r="AQ970" s="2" t="s">
        <v>80</v>
      </c>
      <c r="AR970" s="2" t="s">
        <v>81</v>
      </c>
      <c r="AS970" s="2">
        <v>365</v>
      </c>
      <c r="AT970" s="2">
        <v>17</v>
      </c>
      <c r="AU970" s="2" t="s">
        <v>421</v>
      </c>
      <c r="AV970" s="2">
        <v>59.99</v>
      </c>
      <c r="AW970" s="2">
        <v>0</v>
      </c>
      <c r="AX970" s="2" t="s">
        <v>3879</v>
      </c>
      <c r="AY970" s="2" t="s">
        <v>83</v>
      </c>
      <c r="AZ970" s="4">
        <v>42733</v>
      </c>
      <c r="BA970" s="5">
        <v>0.93541666666666667</v>
      </c>
      <c r="BB970" s="2">
        <v>2016</v>
      </c>
      <c r="BC970" s="2" t="s">
        <v>357</v>
      </c>
      <c r="BD970" s="2">
        <v>29</v>
      </c>
      <c r="BE970" s="4">
        <v>42735</v>
      </c>
      <c r="BF970" s="5">
        <v>0.93541666666666667</v>
      </c>
      <c r="BG970" s="2" t="str" cm="1">
        <f t="array" ref="BG970">_xlfn.IFS(BF970&lt;TIMEVALUE("06:00"),"Night", BF970&gt;=TIMEVALUE("21:00"),"Night",BF970&gt;=TIMEVALUE("17:00"),"Evening",BF970&gt;=TIMEVALUE("12:00"),"Afternoon", BF970&gt;=TIMEVALUE("06:00"),"Morning")</f>
        <v>Night</v>
      </c>
      <c r="BH970" s="2">
        <v>2016</v>
      </c>
      <c r="BI970" s="2" t="s">
        <v>357</v>
      </c>
      <c r="BJ970" s="2">
        <v>31</v>
      </c>
    </row>
    <row r="971" spans="1:62" x14ac:dyDescent="0.3">
      <c r="A971" s="2" t="s">
        <v>62</v>
      </c>
      <c r="B971" s="2">
        <v>5</v>
      </c>
      <c r="C971" s="2">
        <v>4</v>
      </c>
      <c r="D971" s="2">
        <v>72.53</v>
      </c>
      <c r="E971" s="2">
        <v>278.95</v>
      </c>
      <c r="F971" s="2" t="s">
        <v>87</v>
      </c>
      <c r="G971" s="2" t="s">
        <v>88</v>
      </c>
      <c r="H971" s="2">
        <v>17</v>
      </c>
      <c r="I971" s="2" t="s">
        <v>412</v>
      </c>
      <c r="J971" s="2" t="s">
        <v>1409</v>
      </c>
      <c r="K971" s="2" t="s">
        <v>102</v>
      </c>
      <c r="L971" s="2" t="s">
        <v>414</v>
      </c>
      <c r="M971" s="2">
        <v>430</v>
      </c>
      <c r="N971" s="2" t="s">
        <v>425</v>
      </c>
      <c r="O971" s="2" t="s">
        <v>70</v>
      </c>
      <c r="P971" s="2" t="s">
        <v>105</v>
      </c>
      <c r="Q971" s="2" t="s">
        <v>3880</v>
      </c>
      <c r="R971" s="2">
        <v>93257</v>
      </c>
      <c r="S971" s="2">
        <v>4</v>
      </c>
      <c r="T971" s="2" t="s">
        <v>417</v>
      </c>
      <c r="U971" s="2">
        <v>36.053516399999999</v>
      </c>
      <c r="V971" s="2">
        <v>-119.0251923</v>
      </c>
      <c r="W971" s="2" t="s">
        <v>528</v>
      </c>
      <c r="X971" s="2" t="s">
        <v>1167</v>
      </c>
      <c r="Y971" s="2" t="s">
        <v>904</v>
      </c>
      <c r="Z971" s="2">
        <v>430</v>
      </c>
      <c r="AA971" s="2" t="s">
        <v>3881</v>
      </c>
      <c r="AB971" s="2">
        <v>11749</v>
      </c>
      <c r="AC971" s="2">
        <v>365</v>
      </c>
      <c r="AD971" s="2">
        <v>21</v>
      </c>
      <c r="AE971" s="2">
        <v>7.0000000000000007E-2</v>
      </c>
      <c r="AF971" s="2" t="str" cm="1">
        <f t="array" ref="AF971">_xlfn.IFS(AE971=0, "No Discount ", AE971&lt;=0.08,"Low Discount", AE971&lt;=0.16,"Medium Discount", AE971&gt;0.16, "High Discount")</f>
        <v>Low Discount</v>
      </c>
      <c r="AG971" s="2">
        <v>29385</v>
      </c>
      <c r="AH971" s="2">
        <v>59.99</v>
      </c>
      <c r="AI971" s="2">
        <v>0.26</v>
      </c>
      <c r="AJ971" s="2" t="str" cm="1">
        <f t="array" ref="AJ971">_xlfn.IFS(AI971&lt;=0, "No Profit", AI971&lt;=0.16,"Low Profit",AI971&lt;=0.32,"Medium Profit",AI971&gt;0.32,"High Profit")</f>
        <v>Medium Profit</v>
      </c>
      <c r="AK971" s="2">
        <v>5</v>
      </c>
      <c r="AL971" s="2">
        <v>299.95</v>
      </c>
      <c r="AM971" s="2">
        <v>278.95</v>
      </c>
      <c r="AN971" s="2">
        <v>72.53</v>
      </c>
      <c r="AO971" s="2" t="s">
        <v>905</v>
      </c>
      <c r="AP971" s="2" t="s">
        <v>2596</v>
      </c>
      <c r="AQ971" s="2" t="s">
        <v>80</v>
      </c>
      <c r="AR971" s="2" t="s">
        <v>81</v>
      </c>
      <c r="AS971" s="2">
        <v>365</v>
      </c>
      <c r="AT971" s="2">
        <v>17</v>
      </c>
      <c r="AU971" s="2" t="s">
        <v>421</v>
      </c>
      <c r="AV971" s="2">
        <v>59.99</v>
      </c>
      <c r="AW971" s="2">
        <v>0</v>
      </c>
      <c r="AX971" s="2" t="s">
        <v>3882</v>
      </c>
      <c r="AY971" s="2" t="s">
        <v>83</v>
      </c>
      <c r="AZ971" s="4">
        <v>42176</v>
      </c>
      <c r="BA971" s="5">
        <v>0.49305555555555558</v>
      </c>
      <c r="BB971" s="2">
        <v>2015</v>
      </c>
      <c r="BC971" s="2" t="s">
        <v>474</v>
      </c>
      <c r="BD971" s="2">
        <v>21</v>
      </c>
      <c r="BE971" s="4">
        <v>42181</v>
      </c>
      <c r="BF971" s="5">
        <v>0.49305555555555558</v>
      </c>
      <c r="BG971" s="2" t="str" cm="1">
        <f t="array" ref="BG971">_xlfn.IFS(BF971&lt;TIMEVALUE("06:00"),"Night", BF971&gt;=TIMEVALUE("21:00"),"Night",BF971&gt;=TIMEVALUE("17:00"),"Evening",BF971&gt;=TIMEVALUE("12:00"),"Afternoon", BF971&gt;=TIMEVALUE("06:00"),"Morning")</f>
        <v>Morning</v>
      </c>
      <c r="BH971" s="2">
        <v>2015</v>
      </c>
      <c r="BI971" s="2" t="s">
        <v>474</v>
      </c>
      <c r="BJ971" s="2">
        <v>26</v>
      </c>
    </row>
    <row r="972" spans="1:62" x14ac:dyDescent="0.3">
      <c r="A972" s="2" t="s">
        <v>62</v>
      </c>
      <c r="B972" s="2">
        <v>2</v>
      </c>
      <c r="C972" s="2">
        <v>4</v>
      </c>
      <c r="D972" s="2">
        <v>103.72</v>
      </c>
      <c r="E972" s="2">
        <v>272.95</v>
      </c>
      <c r="F972" s="2" t="s">
        <v>63</v>
      </c>
      <c r="G972" s="2" t="s">
        <v>64</v>
      </c>
      <c r="H972" s="2">
        <v>17</v>
      </c>
      <c r="I972" s="2" t="s">
        <v>412</v>
      </c>
      <c r="J972" s="2" t="s">
        <v>110</v>
      </c>
      <c r="K972" s="2" t="s">
        <v>102</v>
      </c>
      <c r="L972" s="2" t="s">
        <v>790</v>
      </c>
      <c r="M972" s="2">
        <v>5767</v>
      </c>
      <c r="N972" s="2" t="s">
        <v>425</v>
      </c>
      <c r="O972" s="2" t="s">
        <v>70</v>
      </c>
      <c r="P972" s="2" t="s">
        <v>105</v>
      </c>
      <c r="Q972" s="2" t="s">
        <v>3876</v>
      </c>
      <c r="R972" s="2">
        <v>90046</v>
      </c>
      <c r="S972" s="2">
        <v>4</v>
      </c>
      <c r="T972" s="2" t="s">
        <v>417</v>
      </c>
      <c r="U972" s="2">
        <v>34.099609399999999</v>
      </c>
      <c r="V972" s="2">
        <v>-118.35073850000001</v>
      </c>
      <c r="W972" s="2" t="s">
        <v>528</v>
      </c>
      <c r="X972" s="2" t="s">
        <v>3877</v>
      </c>
      <c r="Y972" s="2" t="s">
        <v>2613</v>
      </c>
      <c r="Z972" s="2">
        <v>5767</v>
      </c>
      <c r="AA972" s="2" t="s">
        <v>3878</v>
      </c>
      <c r="AB972" s="2">
        <v>49936</v>
      </c>
      <c r="AC972" s="2">
        <v>365</v>
      </c>
      <c r="AD972" s="2">
        <v>27</v>
      </c>
      <c r="AE972" s="2">
        <v>0.09</v>
      </c>
      <c r="AF972" s="2" t="str" cm="1">
        <f t="array" ref="AF972">_xlfn.IFS(AE972=0, "No Discount ", AE972&lt;=0.08,"Low Discount", AE972&lt;=0.16,"Medium Discount", AE972&gt;0.16, "High Discount")</f>
        <v>Medium Discount</v>
      </c>
      <c r="AG972" s="2">
        <v>124838</v>
      </c>
      <c r="AH972" s="2">
        <v>59.99</v>
      </c>
      <c r="AI972" s="2">
        <v>0.38</v>
      </c>
      <c r="AJ972" s="2" t="str" cm="1">
        <f t="array" ref="AJ972">_xlfn.IFS(AI972&lt;=0, "No Profit", AI972&lt;=0.16,"Low Profit",AI972&lt;=0.32,"Medium Profit",AI972&gt;0.32,"High Profit")</f>
        <v>High Profit</v>
      </c>
      <c r="AK972" s="2">
        <v>5</v>
      </c>
      <c r="AL972" s="2">
        <v>299.95</v>
      </c>
      <c r="AM972" s="2">
        <v>272.95</v>
      </c>
      <c r="AN972" s="2">
        <v>103.72</v>
      </c>
      <c r="AO972" s="2" t="s">
        <v>1717</v>
      </c>
      <c r="AP972" s="2" t="s">
        <v>3877</v>
      </c>
      <c r="AQ972" s="2" t="s">
        <v>80</v>
      </c>
      <c r="AR972" s="2" t="s">
        <v>81</v>
      </c>
      <c r="AS972" s="2">
        <v>365</v>
      </c>
      <c r="AT972" s="2">
        <v>17</v>
      </c>
      <c r="AU972" s="2" t="s">
        <v>421</v>
      </c>
      <c r="AV972" s="2">
        <v>59.99</v>
      </c>
      <c r="AW972" s="2">
        <v>0</v>
      </c>
      <c r="AX972" s="2" t="s">
        <v>3879</v>
      </c>
      <c r="AY972" s="2" t="s">
        <v>83</v>
      </c>
      <c r="AZ972" s="4">
        <v>42733</v>
      </c>
      <c r="BA972" s="5">
        <v>0.93541666666666667</v>
      </c>
      <c r="BB972" s="2">
        <v>2016</v>
      </c>
      <c r="BC972" s="2" t="s">
        <v>357</v>
      </c>
      <c r="BD972" s="2">
        <v>29</v>
      </c>
      <c r="BE972" s="4">
        <v>42735</v>
      </c>
      <c r="BF972" s="5">
        <v>0.93541666666666667</v>
      </c>
      <c r="BG972" s="2" t="str" cm="1">
        <f t="array" ref="BG972">_xlfn.IFS(BF972&lt;TIMEVALUE("06:00"),"Night", BF972&gt;=TIMEVALUE("21:00"),"Night",BF972&gt;=TIMEVALUE("17:00"),"Evening",BF972&gt;=TIMEVALUE("12:00"),"Afternoon", BF972&gt;=TIMEVALUE("06:00"),"Morning")</f>
        <v>Night</v>
      </c>
      <c r="BH972" s="2">
        <v>2016</v>
      </c>
      <c r="BI972" s="2" t="s">
        <v>357</v>
      </c>
      <c r="BJ972" s="2">
        <v>31</v>
      </c>
    </row>
    <row r="973" spans="1:62" x14ac:dyDescent="0.3">
      <c r="A973" s="2" t="s">
        <v>62</v>
      </c>
      <c r="B973" s="2">
        <v>3</v>
      </c>
      <c r="C973" s="2">
        <v>4</v>
      </c>
      <c r="D973" s="2">
        <v>49.13</v>
      </c>
      <c r="E973" s="2">
        <v>272.95</v>
      </c>
      <c r="F973" s="2" t="s">
        <v>63</v>
      </c>
      <c r="G973" s="2" t="s">
        <v>64</v>
      </c>
      <c r="H973" s="2">
        <v>17</v>
      </c>
      <c r="I973" s="2" t="s">
        <v>412</v>
      </c>
      <c r="J973" s="2" t="s">
        <v>3883</v>
      </c>
      <c r="K973" s="2" t="s">
        <v>102</v>
      </c>
      <c r="L973" s="2" t="s">
        <v>3884</v>
      </c>
      <c r="M973" s="2">
        <v>10132</v>
      </c>
      <c r="N973" s="2" t="s">
        <v>3885</v>
      </c>
      <c r="O973" s="2" t="s">
        <v>70</v>
      </c>
      <c r="P973" s="2" t="s">
        <v>1254</v>
      </c>
      <c r="Q973" s="2" t="s">
        <v>3886</v>
      </c>
      <c r="R973" s="2">
        <v>85301</v>
      </c>
      <c r="S973" s="2">
        <v>4</v>
      </c>
      <c r="T973" s="2" t="s">
        <v>417</v>
      </c>
      <c r="U973" s="2">
        <v>33.538581899999997</v>
      </c>
      <c r="V973" s="2">
        <v>-112.1873779</v>
      </c>
      <c r="W973" s="2" t="s">
        <v>528</v>
      </c>
      <c r="X973" s="2" t="s">
        <v>3703</v>
      </c>
      <c r="Y973" s="2" t="s">
        <v>536</v>
      </c>
      <c r="Z973" s="2">
        <v>10132</v>
      </c>
      <c r="AA973" s="3">
        <v>42044.744444444441</v>
      </c>
      <c r="AB973" s="2">
        <v>16767</v>
      </c>
      <c r="AC973" s="2">
        <v>365</v>
      </c>
      <c r="AD973" s="2">
        <v>27</v>
      </c>
      <c r="AE973" s="2">
        <v>0.09</v>
      </c>
      <c r="AF973" s="2" t="str" cm="1">
        <f t="array" ref="AF973">_xlfn.IFS(AE973=0, "No Discount ", AE973&lt;=0.08,"Low Discount", AE973&lt;=0.16,"Medium Discount", AE973&gt;0.16, "High Discount")</f>
        <v>Medium Discount</v>
      </c>
      <c r="AG973" s="2">
        <v>41902</v>
      </c>
      <c r="AH973" s="2">
        <v>59.99</v>
      </c>
      <c r="AI973" s="2">
        <v>0.18</v>
      </c>
      <c r="AJ973" s="2" t="str" cm="1">
        <f t="array" ref="AJ973">_xlfn.IFS(AI973&lt;=0, "No Profit", AI973&lt;=0.16,"Low Profit",AI973&lt;=0.32,"Medium Profit",AI973&gt;0.32,"High Profit")</f>
        <v>Medium Profit</v>
      </c>
      <c r="AK973" s="2">
        <v>5</v>
      </c>
      <c r="AL973" s="2">
        <v>299.95</v>
      </c>
      <c r="AM973" s="2">
        <v>272.95</v>
      </c>
      <c r="AN973" s="2">
        <v>49.13</v>
      </c>
      <c r="AO973" s="2" t="s">
        <v>531</v>
      </c>
      <c r="AP973" s="2" t="s">
        <v>1708</v>
      </c>
      <c r="AQ973" s="2" t="s">
        <v>80</v>
      </c>
      <c r="AR973" s="2" t="s">
        <v>81</v>
      </c>
      <c r="AS973" s="2">
        <v>365</v>
      </c>
      <c r="AT973" s="2">
        <v>17</v>
      </c>
      <c r="AU973" s="2" t="s">
        <v>421</v>
      </c>
      <c r="AV973" s="2">
        <v>59.99</v>
      </c>
      <c r="AW973" s="2">
        <v>0</v>
      </c>
      <c r="AX973" s="3">
        <v>42133.744444444441</v>
      </c>
      <c r="AY973" s="2" t="s">
        <v>83</v>
      </c>
      <c r="AZ973" s="4">
        <v>42044</v>
      </c>
      <c r="BA973" s="5">
        <v>0.74444444444444446</v>
      </c>
      <c r="BB973" s="2">
        <v>2015</v>
      </c>
      <c r="BC973" s="2" t="s">
        <v>423</v>
      </c>
      <c r="BD973" s="2">
        <v>9</v>
      </c>
      <c r="BE973" s="4">
        <v>42133</v>
      </c>
      <c r="BF973" s="5">
        <v>0.74444444444444446</v>
      </c>
      <c r="BG973" s="2" t="str" cm="1">
        <f t="array" ref="BG973">_xlfn.IFS(BF973&lt;TIMEVALUE("06:00"),"Night", BF973&gt;=TIMEVALUE("21:00"),"Night",BF973&gt;=TIMEVALUE("17:00"),"Evening",BF973&gt;=TIMEVALUE("12:00"),"Afternoon", BF973&gt;=TIMEVALUE("06:00"),"Morning")</f>
        <v>Evening</v>
      </c>
      <c r="BH973" s="2">
        <v>2015</v>
      </c>
      <c r="BI973" s="2" t="s">
        <v>443</v>
      </c>
      <c r="BJ973" s="2">
        <v>9</v>
      </c>
    </row>
    <row r="974" spans="1:62" x14ac:dyDescent="0.3">
      <c r="A974" s="2" t="s">
        <v>62</v>
      </c>
      <c r="B974" s="2">
        <v>5</v>
      </c>
      <c r="C974" s="2">
        <v>4</v>
      </c>
      <c r="D974" s="2">
        <v>92.26</v>
      </c>
      <c r="E974" s="2">
        <v>272.95</v>
      </c>
      <c r="F974" s="2" t="s">
        <v>87</v>
      </c>
      <c r="G974" s="2" t="s">
        <v>88</v>
      </c>
      <c r="H974" s="2">
        <v>17</v>
      </c>
      <c r="I974" s="2" t="s">
        <v>412</v>
      </c>
      <c r="J974" s="2" t="s">
        <v>3406</v>
      </c>
      <c r="K974" s="2" t="s">
        <v>102</v>
      </c>
      <c r="L974" s="2" t="s">
        <v>680</v>
      </c>
      <c r="M974" s="2">
        <v>7586</v>
      </c>
      <c r="N974" s="2" t="s">
        <v>612</v>
      </c>
      <c r="O974" s="2" t="s">
        <v>70</v>
      </c>
      <c r="P974" s="2" t="s">
        <v>105</v>
      </c>
      <c r="Q974" s="2" t="s">
        <v>3407</v>
      </c>
      <c r="R974" s="2">
        <v>90638</v>
      </c>
      <c r="S974" s="2">
        <v>4</v>
      </c>
      <c r="T974" s="2" t="s">
        <v>417</v>
      </c>
      <c r="U974" s="2">
        <v>33.903160100000001</v>
      </c>
      <c r="V974" s="2">
        <v>-117.98987579999999</v>
      </c>
      <c r="W974" s="2" t="s">
        <v>528</v>
      </c>
      <c r="X974" s="2" t="s">
        <v>3887</v>
      </c>
      <c r="Y974" s="2" t="s">
        <v>536</v>
      </c>
      <c r="Z974" s="2">
        <v>7586</v>
      </c>
      <c r="AA974" s="2" t="s">
        <v>3888</v>
      </c>
      <c r="AB974" s="2">
        <v>61664</v>
      </c>
      <c r="AC974" s="2">
        <v>365</v>
      </c>
      <c r="AD974" s="2">
        <v>27</v>
      </c>
      <c r="AE974" s="2">
        <v>0.09</v>
      </c>
      <c r="AF974" s="2" t="str" cm="1">
        <f t="array" ref="AF974">_xlfn.IFS(AE974=0, "No Discount ", AE974&lt;=0.08,"Low Discount", AE974&lt;=0.16,"Medium Discount", AE974&gt;0.16, "High Discount")</f>
        <v>Medium Discount</v>
      </c>
      <c r="AG974" s="2">
        <v>154164</v>
      </c>
      <c r="AH974" s="2">
        <v>59.99</v>
      </c>
      <c r="AI974" s="2">
        <v>0.34</v>
      </c>
      <c r="AJ974" s="2" t="str" cm="1">
        <f t="array" ref="AJ974">_xlfn.IFS(AI974&lt;=0, "No Profit", AI974&lt;=0.16,"Low Profit",AI974&lt;=0.32,"Medium Profit",AI974&gt;0.32,"High Profit")</f>
        <v>High Profit</v>
      </c>
      <c r="AK974" s="2">
        <v>5</v>
      </c>
      <c r="AL974" s="2">
        <v>299.95</v>
      </c>
      <c r="AM974" s="2">
        <v>272.95</v>
      </c>
      <c r="AN974" s="2">
        <v>92.26</v>
      </c>
      <c r="AO974" s="2" t="s">
        <v>531</v>
      </c>
      <c r="AP974" s="2" t="s">
        <v>3267</v>
      </c>
      <c r="AQ974" s="2" t="s">
        <v>80</v>
      </c>
      <c r="AR974" s="2" t="s">
        <v>81</v>
      </c>
      <c r="AS974" s="2">
        <v>365</v>
      </c>
      <c r="AT974" s="2">
        <v>17</v>
      </c>
      <c r="AU974" s="2" t="s">
        <v>421</v>
      </c>
      <c r="AV974" s="2">
        <v>59.99</v>
      </c>
      <c r="AW974" s="2">
        <v>0</v>
      </c>
      <c r="AX974" s="2" t="s">
        <v>3889</v>
      </c>
      <c r="AY974" s="2" t="s">
        <v>83</v>
      </c>
      <c r="AZ974" s="4">
        <v>42905</v>
      </c>
      <c r="BA974" s="5">
        <v>0.13680555555555557</v>
      </c>
      <c r="BB974" s="2">
        <v>2017</v>
      </c>
      <c r="BC974" s="2" t="s">
        <v>474</v>
      </c>
      <c r="BD974" s="2">
        <v>19</v>
      </c>
      <c r="BE974" s="4">
        <v>42910</v>
      </c>
      <c r="BF974" s="5">
        <v>0.13680555555555557</v>
      </c>
      <c r="BG974" s="2" t="str" cm="1">
        <f t="array" ref="BG974">_xlfn.IFS(BF974&lt;TIMEVALUE("06:00"),"Night", BF974&gt;=TIMEVALUE("21:00"),"Night",BF974&gt;=TIMEVALUE("17:00"),"Evening",BF974&gt;=TIMEVALUE("12:00"),"Afternoon", BF974&gt;=TIMEVALUE("06:00"),"Morning")</f>
        <v>Night</v>
      </c>
      <c r="BH974" s="2">
        <v>2017</v>
      </c>
      <c r="BI974" s="2" t="s">
        <v>474</v>
      </c>
      <c r="BJ974" s="2">
        <v>24</v>
      </c>
    </row>
    <row r="975" spans="1:62" x14ac:dyDescent="0.3">
      <c r="A975" s="2" t="s">
        <v>62</v>
      </c>
      <c r="B975" s="2">
        <v>3</v>
      </c>
      <c r="C975" s="2">
        <v>4</v>
      </c>
      <c r="D975" s="2">
        <v>30.84</v>
      </c>
      <c r="E975" s="2">
        <v>272.95</v>
      </c>
      <c r="F975" s="2" t="s">
        <v>63</v>
      </c>
      <c r="G975" s="2" t="s">
        <v>64</v>
      </c>
      <c r="H975" s="2">
        <v>17</v>
      </c>
      <c r="I975" s="2" t="s">
        <v>412</v>
      </c>
      <c r="J975" s="2" t="s">
        <v>1460</v>
      </c>
      <c r="K975" s="2" t="s">
        <v>102</v>
      </c>
      <c r="L975" s="2" t="s">
        <v>3163</v>
      </c>
      <c r="M975" s="2">
        <v>12350</v>
      </c>
      <c r="N975" s="2" t="s">
        <v>2607</v>
      </c>
      <c r="O975" s="2" t="s">
        <v>70</v>
      </c>
      <c r="P975" s="2" t="s">
        <v>234</v>
      </c>
      <c r="Q975" s="2" t="s">
        <v>3890</v>
      </c>
      <c r="R975" s="2">
        <v>60641</v>
      </c>
      <c r="S975" s="2">
        <v>4</v>
      </c>
      <c r="T975" s="2" t="s">
        <v>417</v>
      </c>
      <c r="U975" s="2">
        <v>41.953464500000003</v>
      </c>
      <c r="V975" s="2">
        <v>-87.732460000000003</v>
      </c>
      <c r="W975" s="2" t="s">
        <v>528</v>
      </c>
      <c r="X975" s="2" t="s">
        <v>3891</v>
      </c>
      <c r="Y975" s="2" t="s">
        <v>530</v>
      </c>
      <c r="Z975" s="2">
        <v>12350</v>
      </c>
      <c r="AA975" s="2" t="s">
        <v>3892</v>
      </c>
      <c r="AB975" s="2">
        <v>63512</v>
      </c>
      <c r="AC975" s="2">
        <v>365</v>
      </c>
      <c r="AD975" s="2">
        <v>27</v>
      </c>
      <c r="AE975" s="2">
        <v>0.09</v>
      </c>
      <c r="AF975" s="2" t="str" cm="1">
        <f t="array" ref="AF975">_xlfn.IFS(AE975=0, "No Discount ", AE975&lt;=0.08,"Low Discount", AE975&lt;=0.16,"Medium Discount", AE975&gt;0.16, "High Discount")</f>
        <v>Medium Discount</v>
      </c>
      <c r="AG975" s="2">
        <v>158770</v>
      </c>
      <c r="AH975" s="2">
        <v>59.99</v>
      </c>
      <c r="AI975" s="2">
        <v>0.11</v>
      </c>
      <c r="AJ975" s="2" t="str" cm="1">
        <f t="array" ref="AJ975">_xlfn.IFS(AI975&lt;=0, "No Profit", AI975&lt;=0.16,"Low Profit",AI975&lt;=0.32,"Medium Profit",AI975&gt;0.32,"High Profit")</f>
        <v>Low Profit</v>
      </c>
      <c r="AK975" s="2">
        <v>5</v>
      </c>
      <c r="AL975" s="2">
        <v>299.95</v>
      </c>
      <c r="AM975" s="2">
        <v>272.95</v>
      </c>
      <c r="AN975" s="2">
        <v>30.84</v>
      </c>
      <c r="AO975" s="2" t="s">
        <v>531</v>
      </c>
      <c r="AP975" s="2" t="s">
        <v>2704</v>
      </c>
      <c r="AQ975" s="2" t="s">
        <v>80</v>
      </c>
      <c r="AR975" s="2" t="s">
        <v>81</v>
      </c>
      <c r="AS975" s="2">
        <v>365</v>
      </c>
      <c r="AT975" s="2">
        <v>17</v>
      </c>
      <c r="AU975" s="2" t="s">
        <v>421</v>
      </c>
      <c r="AV975" s="2">
        <v>59.99</v>
      </c>
      <c r="AW975" s="2">
        <v>0</v>
      </c>
      <c r="AX975" s="2" t="s">
        <v>3893</v>
      </c>
      <c r="AY975" s="2" t="s">
        <v>83</v>
      </c>
      <c r="AZ975" s="4">
        <v>42932</v>
      </c>
      <c r="BA975" s="5">
        <v>0.11319444444444444</v>
      </c>
      <c r="BB975" s="2">
        <v>2017</v>
      </c>
      <c r="BC975" s="2" t="s">
        <v>533</v>
      </c>
      <c r="BD975" s="2">
        <v>16</v>
      </c>
      <c r="BE975" s="4">
        <v>42935</v>
      </c>
      <c r="BF975" s="5">
        <v>0.11319444444444444</v>
      </c>
      <c r="BG975" s="2" t="str" cm="1">
        <f t="array" ref="BG975">_xlfn.IFS(BF975&lt;TIMEVALUE("06:00"),"Night", BF975&gt;=TIMEVALUE("21:00"),"Night",BF975&gt;=TIMEVALUE("17:00"),"Evening",BF975&gt;=TIMEVALUE("12:00"),"Afternoon", BF975&gt;=TIMEVALUE("06:00"),"Morning")</f>
        <v>Night</v>
      </c>
      <c r="BH975" s="2">
        <v>2017</v>
      </c>
      <c r="BI975" s="2" t="s">
        <v>533</v>
      </c>
      <c r="BJ975" s="2">
        <v>19</v>
      </c>
    </row>
    <row r="976" spans="1:62" x14ac:dyDescent="0.3">
      <c r="A976" s="2" t="s">
        <v>62</v>
      </c>
      <c r="B976" s="2">
        <v>2</v>
      </c>
      <c r="C976" s="2">
        <v>4</v>
      </c>
      <c r="D976" s="2">
        <v>-19.170000000000002</v>
      </c>
      <c r="E976" s="2">
        <v>269.95999999999998</v>
      </c>
      <c r="F976" s="2" t="s">
        <v>63</v>
      </c>
      <c r="G976" s="2" t="s">
        <v>64</v>
      </c>
      <c r="H976" s="2">
        <v>17</v>
      </c>
      <c r="I976" s="2" t="s">
        <v>412</v>
      </c>
      <c r="J976" s="2" t="s">
        <v>101</v>
      </c>
      <c r="K976" s="2" t="s">
        <v>102</v>
      </c>
      <c r="L976" s="2" t="s">
        <v>414</v>
      </c>
      <c r="M976" s="2">
        <v>2256</v>
      </c>
      <c r="N976" s="2" t="s">
        <v>425</v>
      </c>
      <c r="O976" s="2" t="s">
        <v>70</v>
      </c>
      <c r="P976" s="2" t="s">
        <v>105</v>
      </c>
      <c r="Q976" s="2" t="s">
        <v>3894</v>
      </c>
      <c r="R976" s="2">
        <v>95122</v>
      </c>
      <c r="S976" s="2">
        <v>4</v>
      </c>
      <c r="T976" s="2" t="s">
        <v>417</v>
      </c>
      <c r="U976" s="2">
        <v>37.3288765</v>
      </c>
      <c r="V976" s="2">
        <v>-121.85015110000001</v>
      </c>
      <c r="W976" s="2" t="s">
        <v>528</v>
      </c>
      <c r="X976" s="2" t="s">
        <v>3842</v>
      </c>
      <c r="Y976" s="2" t="s">
        <v>983</v>
      </c>
      <c r="Z976" s="2">
        <v>2256</v>
      </c>
      <c r="AA976" s="2" t="s">
        <v>3895</v>
      </c>
      <c r="AB976" s="2">
        <v>17726</v>
      </c>
      <c r="AC976" s="2">
        <v>365</v>
      </c>
      <c r="AD976" s="2">
        <v>30</v>
      </c>
      <c r="AE976" s="2">
        <v>0.1</v>
      </c>
      <c r="AF976" s="2" t="str" cm="1">
        <f t="array" ref="AF976">_xlfn.IFS(AE976=0, "No Discount ", AE976&lt;=0.08,"Low Discount", AE976&lt;=0.16,"Medium Discount", AE976&gt;0.16, "High Discount")</f>
        <v>Medium Discount</v>
      </c>
      <c r="AG976" s="2">
        <v>44297</v>
      </c>
      <c r="AH976" s="2">
        <v>59.99</v>
      </c>
      <c r="AI976" s="2">
        <v>-7.0000000000000007E-2</v>
      </c>
      <c r="AJ976" s="2" t="str" cm="1">
        <f t="array" ref="AJ976">_xlfn.IFS(AI976&lt;=0, "No Profit", AI976&lt;=0.16,"Low Profit",AI976&lt;=0.32,"Medium Profit",AI976&gt;0.32,"High Profit")</f>
        <v>No Profit</v>
      </c>
      <c r="AK976" s="2">
        <v>5</v>
      </c>
      <c r="AL976" s="2">
        <v>299.95</v>
      </c>
      <c r="AM976" s="2">
        <v>269.95999999999998</v>
      </c>
      <c r="AN976" s="2">
        <v>-19.170000000000002</v>
      </c>
      <c r="AO976" s="2" t="s">
        <v>905</v>
      </c>
      <c r="AP976" s="2" t="s">
        <v>3378</v>
      </c>
      <c r="AQ976" s="2" t="s">
        <v>80</v>
      </c>
      <c r="AR976" s="2" t="s">
        <v>81</v>
      </c>
      <c r="AS976" s="2">
        <v>365</v>
      </c>
      <c r="AT976" s="2">
        <v>17</v>
      </c>
      <c r="AU976" s="2" t="s">
        <v>421</v>
      </c>
      <c r="AV976" s="2">
        <v>59.99</v>
      </c>
      <c r="AW976" s="2">
        <v>0</v>
      </c>
      <c r="AX976" s="2" t="s">
        <v>3896</v>
      </c>
      <c r="AY976" s="2" t="s">
        <v>83</v>
      </c>
      <c r="AZ976" s="4">
        <v>42263</v>
      </c>
      <c r="BA976" s="5">
        <v>0.74375000000000002</v>
      </c>
      <c r="BB976" s="2">
        <v>2015</v>
      </c>
      <c r="BC976" s="2" t="s">
        <v>552</v>
      </c>
      <c r="BD976" s="2">
        <v>16</v>
      </c>
      <c r="BE976" s="4">
        <v>42265</v>
      </c>
      <c r="BF976" s="5">
        <v>0.74375000000000002</v>
      </c>
      <c r="BG976" s="2" t="str" cm="1">
        <f t="array" ref="BG976">_xlfn.IFS(BF976&lt;TIMEVALUE("06:00"),"Night", BF976&gt;=TIMEVALUE("21:00"),"Night",BF976&gt;=TIMEVALUE("17:00"),"Evening",BF976&gt;=TIMEVALUE("12:00"),"Afternoon", BF976&gt;=TIMEVALUE("06:00"),"Morning")</f>
        <v>Evening</v>
      </c>
      <c r="BH976" s="2">
        <v>2015</v>
      </c>
      <c r="BI976" s="2" t="s">
        <v>552</v>
      </c>
      <c r="BJ976" s="2">
        <v>18</v>
      </c>
    </row>
    <row r="977" spans="1:62" x14ac:dyDescent="0.3">
      <c r="A977" s="2" t="s">
        <v>62</v>
      </c>
      <c r="B977" s="2">
        <v>6</v>
      </c>
      <c r="C977" s="2">
        <v>4</v>
      </c>
      <c r="D977" s="2">
        <v>9.77</v>
      </c>
      <c r="E977" s="2">
        <v>263.95999999999998</v>
      </c>
      <c r="F977" s="2" t="s">
        <v>87</v>
      </c>
      <c r="G977" s="2" t="s">
        <v>88</v>
      </c>
      <c r="H977" s="2">
        <v>17</v>
      </c>
      <c r="I977" s="2" t="s">
        <v>412</v>
      </c>
      <c r="J977" s="2" t="s">
        <v>1260</v>
      </c>
      <c r="K977" s="2" t="s">
        <v>102</v>
      </c>
      <c r="L977" s="2" t="s">
        <v>790</v>
      </c>
      <c r="M977" s="2">
        <v>6758</v>
      </c>
      <c r="N977" s="2" t="s">
        <v>1376</v>
      </c>
      <c r="O977" s="2" t="s">
        <v>70</v>
      </c>
      <c r="P977" s="2" t="s">
        <v>105</v>
      </c>
      <c r="Q977" s="2" t="s">
        <v>3831</v>
      </c>
      <c r="R977" s="2">
        <v>92707</v>
      </c>
      <c r="S977" s="2">
        <v>4</v>
      </c>
      <c r="T977" s="2" t="s">
        <v>417</v>
      </c>
      <c r="U977" s="2">
        <v>33.665599800000003</v>
      </c>
      <c r="V977" s="2">
        <v>-117.8830566</v>
      </c>
      <c r="W977" s="2" t="s">
        <v>528</v>
      </c>
      <c r="X977" s="2" t="s">
        <v>3897</v>
      </c>
      <c r="Y977" s="2" t="s">
        <v>557</v>
      </c>
      <c r="Z977" s="2">
        <v>6758</v>
      </c>
      <c r="AA977" s="3">
        <v>42070.040277777778</v>
      </c>
      <c r="AB977" s="2">
        <v>12540</v>
      </c>
      <c r="AC977" s="2">
        <v>365</v>
      </c>
      <c r="AD977" s="2">
        <v>35.99</v>
      </c>
      <c r="AE977" s="2">
        <v>0.12</v>
      </c>
      <c r="AF977" s="2" t="str" cm="1">
        <f t="array" ref="AF977">_xlfn.IFS(AE977=0, "No Discount ", AE977&lt;=0.08,"Low Discount", AE977&lt;=0.16,"Medium Discount", AE977&gt;0.16, "High Discount")</f>
        <v>Medium Discount</v>
      </c>
      <c r="AG977" s="2">
        <v>31390</v>
      </c>
      <c r="AH977" s="2">
        <v>59.99</v>
      </c>
      <c r="AI977" s="2">
        <v>0.04</v>
      </c>
      <c r="AJ977" s="2" t="str" cm="1">
        <f t="array" ref="AJ977">_xlfn.IFS(AI977&lt;=0, "No Profit", AI977&lt;=0.16,"Low Profit",AI977&lt;=0.32,"Medium Profit",AI977&gt;0.32,"High Profit")</f>
        <v>Low Profit</v>
      </c>
      <c r="AK977" s="2">
        <v>5</v>
      </c>
      <c r="AL977" s="2">
        <v>299.95</v>
      </c>
      <c r="AM977" s="2">
        <v>263.95999999999998</v>
      </c>
      <c r="AN977" s="2">
        <v>9.77</v>
      </c>
      <c r="AO977" s="2" t="s">
        <v>558</v>
      </c>
      <c r="AP977" s="2" t="s">
        <v>559</v>
      </c>
      <c r="AQ977" s="2" t="s">
        <v>80</v>
      </c>
      <c r="AR977" s="2" t="s">
        <v>81</v>
      </c>
      <c r="AS977" s="2">
        <v>365</v>
      </c>
      <c r="AT977" s="2">
        <v>17</v>
      </c>
      <c r="AU977" s="2" t="s">
        <v>421</v>
      </c>
      <c r="AV977" s="2">
        <v>59.99</v>
      </c>
      <c r="AW977" s="2">
        <v>0</v>
      </c>
      <c r="AX977" s="3">
        <v>42254.040277777778</v>
      </c>
      <c r="AY977" s="2" t="s">
        <v>83</v>
      </c>
      <c r="AZ977" s="4">
        <v>42070</v>
      </c>
      <c r="BA977" s="5">
        <v>4.027777777777778E-2</v>
      </c>
      <c r="BB977" s="2">
        <v>2015</v>
      </c>
      <c r="BC977" s="2" t="s">
        <v>85</v>
      </c>
      <c r="BD977" s="2">
        <v>7</v>
      </c>
      <c r="BE977" s="4">
        <v>42254</v>
      </c>
      <c r="BF977" s="5">
        <v>4.027777777777778E-2</v>
      </c>
      <c r="BG977" s="2" t="str" cm="1">
        <f t="array" ref="BG977">_xlfn.IFS(BF977&lt;TIMEVALUE("06:00"),"Night", BF977&gt;=TIMEVALUE("21:00"),"Night",BF977&gt;=TIMEVALUE("17:00"),"Evening",BF977&gt;=TIMEVALUE("12:00"),"Afternoon", BF977&gt;=TIMEVALUE("06:00"),"Morning")</f>
        <v>Night</v>
      </c>
      <c r="BH977" s="2">
        <v>2015</v>
      </c>
      <c r="BI977" s="2" t="s">
        <v>552</v>
      </c>
      <c r="BJ977" s="2">
        <v>7</v>
      </c>
    </row>
    <row r="978" spans="1:62" x14ac:dyDescent="0.3">
      <c r="A978" s="2" t="s">
        <v>62</v>
      </c>
      <c r="B978" s="2">
        <v>6</v>
      </c>
      <c r="C978" s="2">
        <v>4</v>
      </c>
      <c r="D978" s="2">
        <v>85.79</v>
      </c>
      <c r="E978" s="2">
        <v>263.95999999999998</v>
      </c>
      <c r="F978" s="2" t="s">
        <v>87</v>
      </c>
      <c r="G978" s="2" t="s">
        <v>88</v>
      </c>
      <c r="H978" s="2">
        <v>17</v>
      </c>
      <c r="I978" s="2" t="s">
        <v>412</v>
      </c>
      <c r="J978" s="2" t="s">
        <v>1975</v>
      </c>
      <c r="K978" s="2" t="s">
        <v>102</v>
      </c>
      <c r="L978" s="2" t="s">
        <v>655</v>
      </c>
      <c r="M978" s="2">
        <v>1045</v>
      </c>
      <c r="N978" s="2" t="s">
        <v>3898</v>
      </c>
      <c r="O978" s="2" t="s">
        <v>70</v>
      </c>
      <c r="P978" s="2" t="s">
        <v>133</v>
      </c>
      <c r="Q978" s="2" t="s">
        <v>2823</v>
      </c>
      <c r="R978" s="2">
        <v>11746</v>
      </c>
      <c r="S978" s="2">
        <v>4</v>
      </c>
      <c r="T978" s="2" t="s">
        <v>417</v>
      </c>
      <c r="U978" s="2">
        <v>40.761577600000003</v>
      </c>
      <c r="V978" s="2">
        <v>-73.971763600000003</v>
      </c>
      <c r="W978" s="2" t="s">
        <v>528</v>
      </c>
      <c r="X978" s="2" t="s">
        <v>2713</v>
      </c>
      <c r="Y978" s="2" t="s">
        <v>557</v>
      </c>
      <c r="Z978" s="2">
        <v>1045</v>
      </c>
      <c r="AA978" s="2" t="s">
        <v>3899</v>
      </c>
      <c r="AB978" s="2">
        <v>14100</v>
      </c>
      <c r="AC978" s="2">
        <v>365</v>
      </c>
      <c r="AD978" s="2">
        <v>35.99</v>
      </c>
      <c r="AE978" s="2">
        <v>0.12</v>
      </c>
      <c r="AF978" s="2" t="str" cm="1">
        <f t="array" ref="AF978">_xlfn.IFS(AE978=0, "No Discount ", AE978&lt;=0.08,"Low Discount", AE978&lt;=0.16,"Medium Discount", AE978&gt;0.16, "High Discount")</f>
        <v>Medium Discount</v>
      </c>
      <c r="AG978" s="2">
        <v>35278</v>
      </c>
      <c r="AH978" s="2">
        <v>59.99</v>
      </c>
      <c r="AI978" s="2">
        <v>0.33</v>
      </c>
      <c r="AJ978" s="2" t="str" cm="1">
        <f t="array" ref="AJ978">_xlfn.IFS(AI978&lt;=0, "No Profit", AI978&lt;=0.16,"Low Profit",AI978&lt;=0.32,"Medium Profit",AI978&gt;0.32,"High Profit")</f>
        <v>High Profit</v>
      </c>
      <c r="AK978" s="2">
        <v>5</v>
      </c>
      <c r="AL978" s="2">
        <v>299.95</v>
      </c>
      <c r="AM978" s="2">
        <v>263.95999999999998</v>
      </c>
      <c r="AN978" s="2">
        <v>85.79</v>
      </c>
      <c r="AO978" s="2" t="s">
        <v>558</v>
      </c>
      <c r="AP978" s="2" t="s">
        <v>559</v>
      </c>
      <c r="AQ978" s="2" t="s">
        <v>80</v>
      </c>
      <c r="AR978" s="2" t="s">
        <v>81</v>
      </c>
      <c r="AS978" s="2">
        <v>365</v>
      </c>
      <c r="AT978" s="2">
        <v>17</v>
      </c>
      <c r="AU978" s="2" t="s">
        <v>421</v>
      </c>
      <c r="AV978" s="2">
        <v>59.99</v>
      </c>
      <c r="AW978" s="2">
        <v>0</v>
      </c>
      <c r="AX978" s="2" t="s">
        <v>3900</v>
      </c>
      <c r="AY978" s="2" t="s">
        <v>83</v>
      </c>
      <c r="AZ978" s="4">
        <v>42210</v>
      </c>
      <c r="BA978" s="5">
        <v>0.8125</v>
      </c>
      <c r="BB978" s="2">
        <v>2015</v>
      </c>
      <c r="BC978" s="2" t="s">
        <v>533</v>
      </c>
      <c r="BD978" s="2">
        <v>25</v>
      </c>
      <c r="BE978" s="4">
        <v>42216</v>
      </c>
      <c r="BF978" s="5">
        <v>0.8125</v>
      </c>
      <c r="BG978" s="2" t="str" cm="1">
        <f t="array" ref="BG978">_xlfn.IFS(BF978&lt;TIMEVALUE("06:00"),"Night", BF978&gt;=TIMEVALUE("21:00"),"Night",BF978&gt;=TIMEVALUE("17:00"),"Evening",BF978&gt;=TIMEVALUE("12:00"),"Afternoon", BF978&gt;=TIMEVALUE("06:00"),"Morning")</f>
        <v>Evening</v>
      </c>
      <c r="BH978" s="2">
        <v>2015</v>
      </c>
      <c r="BI978" s="2" t="s">
        <v>533</v>
      </c>
      <c r="BJ978" s="2">
        <v>31</v>
      </c>
    </row>
    <row r="979" spans="1:62" x14ac:dyDescent="0.3">
      <c r="A979" s="2" t="s">
        <v>62</v>
      </c>
      <c r="B979" s="2">
        <v>4</v>
      </c>
      <c r="C979" s="2">
        <v>4</v>
      </c>
      <c r="D979" s="2">
        <v>126.7</v>
      </c>
      <c r="E979" s="2">
        <v>263.95999999999998</v>
      </c>
      <c r="F979" s="2" t="s">
        <v>100</v>
      </c>
      <c r="G979" s="2" t="s">
        <v>64</v>
      </c>
      <c r="H979" s="2">
        <v>17</v>
      </c>
      <c r="I979" s="2" t="s">
        <v>412</v>
      </c>
      <c r="J979" s="2" t="s">
        <v>3901</v>
      </c>
      <c r="K979" s="2" t="s">
        <v>102</v>
      </c>
      <c r="L979" s="2" t="s">
        <v>3582</v>
      </c>
      <c r="M979" s="2">
        <v>5939</v>
      </c>
      <c r="N979" s="2" t="s">
        <v>3033</v>
      </c>
      <c r="O979" s="2" t="s">
        <v>70</v>
      </c>
      <c r="P979" s="2" t="s">
        <v>1725</v>
      </c>
      <c r="Q979" s="2" t="s">
        <v>3902</v>
      </c>
      <c r="R979" s="2">
        <v>6082</v>
      </c>
      <c r="S979" s="2">
        <v>4</v>
      </c>
      <c r="T979" s="2" t="s">
        <v>417</v>
      </c>
      <c r="U979" s="2">
        <v>41.996940600000002</v>
      </c>
      <c r="V979" s="2">
        <v>-72.594467199999997</v>
      </c>
      <c r="W979" s="2" t="s">
        <v>528</v>
      </c>
      <c r="X979" s="2" t="s">
        <v>2753</v>
      </c>
      <c r="Y979" s="2" t="s">
        <v>904</v>
      </c>
      <c r="Z979" s="2">
        <v>5939</v>
      </c>
      <c r="AA979" s="2" t="s">
        <v>3903</v>
      </c>
      <c r="AB979" s="2">
        <v>16098</v>
      </c>
      <c r="AC979" s="2">
        <v>365</v>
      </c>
      <c r="AD979" s="2">
        <v>35.99</v>
      </c>
      <c r="AE979" s="2">
        <v>0.12</v>
      </c>
      <c r="AF979" s="2" t="str" cm="1">
        <f t="array" ref="AF979">_xlfn.IFS(AE979=0, "No Discount ", AE979&lt;=0.08,"Low Discount", AE979&lt;=0.16,"Medium Discount", AE979&gt;0.16, "High Discount")</f>
        <v>Medium Discount</v>
      </c>
      <c r="AG979" s="2">
        <v>40211</v>
      </c>
      <c r="AH979" s="2">
        <v>59.99</v>
      </c>
      <c r="AI979" s="2">
        <v>0.48</v>
      </c>
      <c r="AJ979" s="2" t="str" cm="1">
        <f t="array" ref="AJ979">_xlfn.IFS(AI979&lt;=0, "No Profit", AI979&lt;=0.16,"Low Profit",AI979&lt;=0.32,"Medium Profit",AI979&gt;0.32,"High Profit")</f>
        <v>High Profit</v>
      </c>
      <c r="AK979" s="2">
        <v>5</v>
      </c>
      <c r="AL979" s="2">
        <v>299.95</v>
      </c>
      <c r="AM979" s="2">
        <v>263.95999999999998</v>
      </c>
      <c r="AN979" s="2">
        <v>126.7</v>
      </c>
      <c r="AO979" s="2" t="s">
        <v>905</v>
      </c>
      <c r="AP979" s="2" t="s">
        <v>2755</v>
      </c>
      <c r="AQ979" s="2" t="s">
        <v>80</v>
      </c>
      <c r="AR979" s="2" t="s">
        <v>81</v>
      </c>
      <c r="AS979" s="2">
        <v>365</v>
      </c>
      <c r="AT979" s="2">
        <v>17</v>
      </c>
      <c r="AU979" s="2" t="s">
        <v>421</v>
      </c>
      <c r="AV979" s="2">
        <v>59.99</v>
      </c>
      <c r="AW979" s="2">
        <v>0</v>
      </c>
      <c r="AX979" s="2" t="s">
        <v>3904</v>
      </c>
      <c r="AY979" s="2" t="s">
        <v>83</v>
      </c>
      <c r="AZ979" s="4">
        <v>42239</v>
      </c>
      <c r="BA979" s="5">
        <v>0.97847222222222219</v>
      </c>
      <c r="BB979" s="2">
        <v>2015</v>
      </c>
      <c r="BC979" s="2" t="s">
        <v>482</v>
      </c>
      <c r="BD979" s="2">
        <v>23</v>
      </c>
      <c r="BE979" s="4">
        <v>42243</v>
      </c>
      <c r="BF979" s="5">
        <v>0.97847222222222219</v>
      </c>
      <c r="BG979" s="2" t="str" cm="1">
        <f t="array" ref="BG979">_xlfn.IFS(BF979&lt;TIMEVALUE("06:00"),"Night", BF979&gt;=TIMEVALUE("21:00"),"Night",BF979&gt;=TIMEVALUE("17:00"),"Evening",BF979&gt;=TIMEVALUE("12:00"),"Afternoon", BF979&gt;=TIMEVALUE("06:00"),"Morning")</f>
        <v>Night</v>
      </c>
      <c r="BH979" s="2">
        <v>2015</v>
      </c>
      <c r="BI979" s="2" t="s">
        <v>482</v>
      </c>
      <c r="BJ979" s="2">
        <v>27</v>
      </c>
    </row>
    <row r="980" spans="1:62" x14ac:dyDescent="0.3">
      <c r="A980" s="2" t="s">
        <v>62</v>
      </c>
      <c r="B980" s="2">
        <v>6</v>
      </c>
      <c r="C980" s="2">
        <v>4</v>
      </c>
      <c r="D980" s="2">
        <v>121.42</v>
      </c>
      <c r="E980" s="2">
        <v>263.95999999999998</v>
      </c>
      <c r="F980" s="2" t="s">
        <v>87</v>
      </c>
      <c r="G980" s="2" t="s">
        <v>88</v>
      </c>
      <c r="H980" s="2">
        <v>17</v>
      </c>
      <c r="I980" s="2" t="s">
        <v>412</v>
      </c>
      <c r="J980" s="2" t="s">
        <v>3274</v>
      </c>
      <c r="K980" s="2" t="s">
        <v>102</v>
      </c>
      <c r="L980" s="2" t="s">
        <v>414</v>
      </c>
      <c r="M980" s="2">
        <v>9371</v>
      </c>
      <c r="N980" s="2" t="s">
        <v>3905</v>
      </c>
      <c r="O980" s="2" t="s">
        <v>70</v>
      </c>
      <c r="P980" s="2" t="s">
        <v>3275</v>
      </c>
      <c r="Q980" s="2" t="s">
        <v>3906</v>
      </c>
      <c r="R980" s="2">
        <v>83642</v>
      </c>
      <c r="S980" s="2">
        <v>4</v>
      </c>
      <c r="T980" s="2" t="s">
        <v>417</v>
      </c>
      <c r="U980" s="2">
        <v>43.581779500000003</v>
      </c>
      <c r="V980" s="2">
        <v>-116.3938828</v>
      </c>
      <c r="W980" s="2" t="s">
        <v>528</v>
      </c>
      <c r="X980" s="2" t="s">
        <v>3907</v>
      </c>
      <c r="Y980" s="2" t="s">
        <v>904</v>
      </c>
      <c r="Z980" s="2">
        <v>9371</v>
      </c>
      <c r="AA980" s="3">
        <v>42043.987500000003</v>
      </c>
      <c r="AB980" s="2">
        <v>14660</v>
      </c>
      <c r="AC980" s="2">
        <v>365</v>
      </c>
      <c r="AD980" s="2">
        <v>35.99</v>
      </c>
      <c r="AE980" s="2">
        <v>0.12</v>
      </c>
      <c r="AF980" s="2" t="str" cm="1">
        <f t="array" ref="AF980">_xlfn.IFS(AE980=0, "No Discount ", AE980&lt;=0.08,"Low Discount", AE980&lt;=0.16,"Medium Discount", AE980&gt;0.16, "High Discount")</f>
        <v>Medium Discount</v>
      </c>
      <c r="AG980" s="2">
        <v>36679</v>
      </c>
      <c r="AH980" s="2">
        <v>59.99</v>
      </c>
      <c r="AI980" s="2">
        <v>0.46</v>
      </c>
      <c r="AJ980" s="2" t="str" cm="1">
        <f t="array" ref="AJ980">_xlfn.IFS(AI980&lt;=0, "No Profit", AI980&lt;=0.16,"Low Profit",AI980&lt;=0.32,"Medium Profit",AI980&gt;0.32,"High Profit")</f>
        <v>High Profit</v>
      </c>
      <c r="AK980" s="2">
        <v>5</v>
      </c>
      <c r="AL980" s="2">
        <v>299.95</v>
      </c>
      <c r="AM980" s="2">
        <v>263.95999999999998</v>
      </c>
      <c r="AN980" s="2">
        <v>121.42</v>
      </c>
      <c r="AO980" s="2" t="s">
        <v>905</v>
      </c>
      <c r="AP980" s="2" t="s">
        <v>2700</v>
      </c>
      <c r="AQ980" s="2" t="s">
        <v>80</v>
      </c>
      <c r="AR980" s="2" t="s">
        <v>81</v>
      </c>
      <c r="AS980" s="2">
        <v>365</v>
      </c>
      <c r="AT980" s="2">
        <v>17</v>
      </c>
      <c r="AU980" s="2" t="s">
        <v>421</v>
      </c>
      <c r="AV980" s="2">
        <v>59.99</v>
      </c>
      <c r="AW980" s="2">
        <v>0</v>
      </c>
      <c r="AX980" s="3">
        <v>42224.987500000003</v>
      </c>
      <c r="AY980" s="2" t="s">
        <v>83</v>
      </c>
      <c r="AZ980" s="4">
        <v>42043</v>
      </c>
      <c r="BA980" s="5">
        <v>0.98750000000000004</v>
      </c>
      <c r="BB980" s="2">
        <v>2015</v>
      </c>
      <c r="BC980" s="2" t="s">
        <v>423</v>
      </c>
      <c r="BD980" s="2">
        <v>8</v>
      </c>
      <c r="BE980" s="4">
        <v>42224</v>
      </c>
      <c r="BF980" s="5">
        <v>0.98750000000000004</v>
      </c>
      <c r="BG980" s="2" t="str" cm="1">
        <f t="array" ref="BG980">_xlfn.IFS(BF980&lt;TIMEVALUE("06:00"),"Night", BF980&gt;=TIMEVALUE("21:00"),"Night",BF980&gt;=TIMEVALUE("17:00"),"Evening",BF980&gt;=TIMEVALUE("12:00"),"Afternoon", BF980&gt;=TIMEVALUE("06:00"),"Morning")</f>
        <v>Night</v>
      </c>
      <c r="BH980" s="2">
        <v>2015</v>
      </c>
      <c r="BI980" s="2" t="s">
        <v>482</v>
      </c>
      <c r="BJ980" s="2">
        <v>8</v>
      </c>
    </row>
    <row r="981" spans="1:62" x14ac:dyDescent="0.3">
      <c r="A981" s="2" t="s">
        <v>62</v>
      </c>
      <c r="B981" s="2">
        <v>4</v>
      </c>
      <c r="C981" s="2">
        <v>4</v>
      </c>
      <c r="D981" s="2">
        <v>-409.13</v>
      </c>
      <c r="E981" s="2">
        <v>263.95999999999998</v>
      </c>
      <c r="F981" s="2" t="s">
        <v>100</v>
      </c>
      <c r="G981" s="2" t="s">
        <v>64</v>
      </c>
      <c r="H981" s="2">
        <v>17</v>
      </c>
      <c r="I981" s="2" t="s">
        <v>412</v>
      </c>
      <c r="J981" s="2" t="s">
        <v>1274</v>
      </c>
      <c r="K981" s="2" t="s">
        <v>102</v>
      </c>
      <c r="L981" s="2" t="s">
        <v>563</v>
      </c>
      <c r="M981" s="2">
        <v>7492</v>
      </c>
      <c r="N981" s="2" t="s">
        <v>425</v>
      </c>
      <c r="O981" s="2" t="s">
        <v>70</v>
      </c>
      <c r="P981" s="2" t="s">
        <v>105</v>
      </c>
      <c r="Q981" s="2" t="s">
        <v>3763</v>
      </c>
      <c r="R981" s="2">
        <v>93063</v>
      </c>
      <c r="S981" s="2">
        <v>4</v>
      </c>
      <c r="T981" s="2" t="s">
        <v>417</v>
      </c>
      <c r="U981" s="2">
        <v>34.267913800000002</v>
      </c>
      <c r="V981" s="2">
        <v>-118.6712112</v>
      </c>
      <c r="W981" s="2" t="s">
        <v>528</v>
      </c>
      <c r="X981" s="2" t="s">
        <v>1087</v>
      </c>
      <c r="Y981" s="2" t="s">
        <v>1088</v>
      </c>
      <c r="Z981" s="2">
        <v>7492</v>
      </c>
      <c r="AA981" s="2" t="s">
        <v>3908</v>
      </c>
      <c r="AB981" s="2">
        <v>41718</v>
      </c>
      <c r="AC981" s="2">
        <v>365</v>
      </c>
      <c r="AD981" s="2">
        <v>35.99</v>
      </c>
      <c r="AE981" s="2">
        <v>0.12</v>
      </c>
      <c r="AF981" s="2" t="str" cm="1">
        <f t="array" ref="AF981">_xlfn.IFS(AE981=0, "No Discount ", AE981&lt;=0.08,"Low Discount", AE981&lt;=0.16,"Medium Discount", AE981&gt;0.16, "High Discount")</f>
        <v>Medium Discount</v>
      </c>
      <c r="AG981" s="2">
        <v>104159</v>
      </c>
      <c r="AH981" s="2">
        <v>59.99</v>
      </c>
      <c r="AI981" s="2">
        <v>-1.55</v>
      </c>
      <c r="AJ981" s="2" t="str" cm="1">
        <f t="array" ref="AJ981">_xlfn.IFS(AI981&lt;=0, "No Profit", AI981&lt;=0.16,"Low Profit",AI981&lt;=0.32,"Medium Profit",AI981&gt;0.32,"High Profit")</f>
        <v>No Profit</v>
      </c>
      <c r="AK981" s="2">
        <v>5</v>
      </c>
      <c r="AL981" s="2">
        <v>299.95</v>
      </c>
      <c r="AM981" s="2">
        <v>263.95999999999998</v>
      </c>
      <c r="AN981" s="2">
        <v>-409.13</v>
      </c>
      <c r="AO981" s="2" t="s">
        <v>531</v>
      </c>
      <c r="AP981" s="2" t="s">
        <v>1087</v>
      </c>
      <c r="AQ981" s="2" t="s">
        <v>80</v>
      </c>
      <c r="AR981" s="2" t="s">
        <v>81</v>
      </c>
      <c r="AS981" s="2">
        <v>365</v>
      </c>
      <c r="AT981" s="2">
        <v>17</v>
      </c>
      <c r="AU981" s="2" t="s">
        <v>421</v>
      </c>
      <c r="AV981" s="2">
        <v>59.99</v>
      </c>
      <c r="AW981" s="2">
        <v>0</v>
      </c>
      <c r="AX981" s="3">
        <v>42469.97152777778</v>
      </c>
      <c r="AY981" s="2" t="s">
        <v>83</v>
      </c>
      <c r="AZ981" s="4">
        <v>42613</v>
      </c>
      <c r="BA981" s="5">
        <v>0.97152777777777777</v>
      </c>
      <c r="BB981" s="2">
        <v>2016</v>
      </c>
      <c r="BC981" s="2" t="s">
        <v>482</v>
      </c>
      <c r="BD981" s="2">
        <v>31</v>
      </c>
      <c r="BE981" s="4">
        <v>42469</v>
      </c>
      <c r="BF981" s="5">
        <v>0.97152777777777777</v>
      </c>
      <c r="BG981" s="2" t="str" cm="1">
        <f t="array" ref="BG981">_xlfn.IFS(BF981&lt;TIMEVALUE("06:00"),"Night", BF981&gt;=TIMEVALUE("21:00"),"Night",BF981&gt;=TIMEVALUE("17:00"),"Evening",BF981&gt;=TIMEVALUE("12:00"),"Afternoon", BF981&gt;=TIMEVALUE("06:00"),"Morning")</f>
        <v>Night</v>
      </c>
      <c r="BH981" s="2">
        <v>2016</v>
      </c>
      <c r="BI981" s="2" t="s">
        <v>487</v>
      </c>
      <c r="BJ981" s="2">
        <v>9</v>
      </c>
    </row>
    <row r="982" spans="1:62" x14ac:dyDescent="0.3">
      <c r="A982" s="2" t="s">
        <v>62</v>
      </c>
      <c r="B982" s="2">
        <v>6</v>
      </c>
      <c r="C982" s="2">
        <v>4</v>
      </c>
      <c r="D982" s="2">
        <v>29.04</v>
      </c>
      <c r="E982" s="2">
        <v>263.95999999999998</v>
      </c>
      <c r="F982" s="2" t="s">
        <v>87</v>
      </c>
      <c r="G982" s="2" t="s">
        <v>88</v>
      </c>
      <c r="H982" s="2">
        <v>17</v>
      </c>
      <c r="I982" s="2" t="s">
        <v>412</v>
      </c>
      <c r="J982" s="2" t="s">
        <v>1363</v>
      </c>
      <c r="K982" s="2" t="s">
        <v>102</v>
      </c>
      <c r="L982" s="2" t="s">
        <v>2644</v>
      </c>
      <c r="M982" s="2">
        <v>11536</v>
      </c>
      <c r="N982" s="2" t="s">
        <v>425</v>
      </c>
      <c r="O982" s="2" t="s">
        <v>70</v>
      </c>
      <c r="P982" s="2" t="s">
        <v>1365</v>
      </c>
      <c r="Q982" s="2" t="s">
        <v>3909</v>
      </c>
      <c r="R982" s="2">
        <v>97701</v>
      </c>
      <c r="S982" s="2">
        <v>4</v>
      </c>
      <c r="T982" s="2" t="s">
        <v>417</v>
      </c>
      <c r="U982" s="2">
        <v>44.075992599999999</v>
      </c>
      <c r="V982" s="2">
        <v>-120.9686584</v>
      </c>
      <c r="W982" s="2" t="s">
        <v>528</v>
      </c>
      <c r="X982" s="2" t="s">
        <v>2549</v>
      </c>
      <c r="Y982" s="2" t="s">
        <v>549</v>
      </c>
      <c r="Z982" s="2">
        <v>11536</v>
      </c>
      <c r="AA982" s="2" t="s">
        <v>3910</v>
      </c>
      <c r="AB982" s="2">
        <v>64500</v>
      </c>
      <c r="AC982" s="2">
        <v>365</v>
      </c>
      <c r="AD982" s="2">
        <v>35.99</v>
      </c>
      <c r="AE982" s="2">
        <v>0.12</v>
      </c>
      <c r="AF982" s="2" t="str" cm="1">
        <f t="array" ref="AF982">_xlfn.IFS(AE982=0, "No Discount ", AE982&lt;=0.08,"Low Discount", AE982&lt;=0.16,"Medium Discount", AE982&gt;0.16, "High Discount")</f>
        <v>Medium Discount</v>
      </c>
      <c r="AG982" s="2">
        <v>161227</v>
      </c>
      <c r="AH982" s="2">
        <v>59.99</v>
      </c>
      <c r="AI982" s="2">
        <v>0.11</v>
      </c>
      <c r="AJ982" s="2" t="str" cm="1">
        <f t="array" ref="AJ982">_xlfn.IFS(AI982&lt;=0, "No Profit", AI982&lt;=0.16,"Low Profit",AI982&lt;=0.32,"Medium Profit",AI982&gt;0.32,"High Profit")</f>
        <v>Low Profit</v>
      </c>
      <c r="AK982" s="2">
        <v>5</v>
      </c>
      <c r="AL982" s="2">
        <v>299.95</v>
      </c>
      <c r="AM982" s="2">
        <v>263.95999999999998</v>
      </c>
      <c r="AN982" s="2">
        <v>29.04</v>
      </c>
      <c r="AO982" s="2" t="s">
        <v>531</v>
      </c>
      <c r="AP982" s="2" t="s">
        <v>2551</v>
      </c>
      <c r="AQ982" s="2" t="s">
        <v>80</v>
      </c>
      <c r="AR982" s="2" t="s">
        <v>81</v>
      </c>
      <c r="AS982" s="2">
        <v>365</v>
      </c>
      <c r="AT982" s="2">
        <v>17</v>
      </c>
      <c r="AU982" s="2" t="s">
        <v>421</v>
      </c>
      <c r="AV982" s="2">
        <v>59.99</v>
      </c>
      <c r="AW982" s="2">
        <v>0</v>
      </c>
      <c r="AX982" s="3">
        <v>42863.536111111112</v>
      </c>
      <c r="AY982" s="2" t="s">
        <v>83</v>
      </c>
      <c r="AZ982" s="4">
        <v>42946</v>
      </c>
      <c r="BA982" s="5">
        <v>0.53611111111111109</v>
      </c>
      <c r="BB982" s="2">
        <v>2017</v>
      </c>
      <c r="BC982" s="2" t="s">
        <v>533</v>
      </c>
      <c r="BD982" s="2">
        <v>30</v>
      </c>
      <c r="BE982" s="4">
        <v>42863</v>
      </c>
      <c r="BF982" s="5">
        <v>0.53611111111111109</v>
      </c>
      <c r="BG982" s="2" t="str" cm="1">
        <f t="array" ref="BG982">_xlfn.IFS(BF982&lt;TIMEVALUE("06:00"),"Night", BF982&gt;=TIMEVALUE("21:00"),"Night",BF982&gt;=TIMEVALUE("17:00"),"Evening",BF982&gt;=TIMEVALUE("12:00"),"Afternoon", BF982&gt;=TIMEVALUE("06:00"),"Morning")</f>
        <v>Afternoon</v>
      </c>
      <c r="BH982" s="2">
        <v>2017</v>
      </c>
      <c r="BI982" s="2" t="s">
        <v>443</v>
      </c>
      <c r="BJ982" s="2">
        <v>8</v>
      </c>
    </row>
    <row r="983" spans="1:62" x14ac:dyDescent="0.3">
      <c r="A983" s="2" t="s">
        <v>62</v>
      </c>
      <c r="B983" s="2">
        <v>2</v>
      </c>
      <c r="C983" s="2">
        <v>4</v>
      </c>
      <c r="D983" s="2">
        <v>43.02</v>
      </c>
      <c r="E983" s="2">
        <v>263.95999999999998</v>
      </c>
      <c r="F983" s="2" t="s">
        <v>63</v>
      </c>
      <c r="G983" s="2" t="s">
        <v>64</v>
      </c>
      <c r="H983" s="2">
        <v>17</v>
      </c>
      <c r="I983" s="2" t="s">
        <v>412</v>
      </c>
      <c r="J983" s="2" t="s">
        <v>1147</v>
      </c>
      <c r="K983" s="2" t="s">
        <v>102</v>
      </c>
      <c r="L983" s="2" t="s">
        <v>414</v>
      </c>
      <c r="M983" s="2">
        <v>10129</v>
      </c>
      <c r="N983" s="2" t="s">
        <v>3911</v>
      </c>
      <c r="O983" s="2" t="s">
        <v>70</v>
      </c>
      <c r="P983" s="2" t="s">
        <v>280</v>
      </c>
      <c r="Q983" s="2" t="s">
        <v>3912</v>
      </c>
      <c r="R983" s="2">
        <v>19134</v>
      </c>
      <c r="S983" s="2">
        <v>4</v>
      </c>
      <c r="T983" s="2" t="s">
        <v>417</v>
      </c>
      <c r="U983" s="2">
        <v>39.986545599999999</v>
      </c>
      <c r="V983" s="2">
        <v>-75.108467099999999</v>
      </c>
      <c r="W983" s="2" t="s">
        <v>528</v>
      </c>
      <c r="X983" s="2" t="s">
        <v>535</v>
      </c>
      <c r="Y983" s="2" t="s">
        <v>536</v>
      </c>
      <c r="Z983" s="2">
        <v>10129</v>
      </c>
      <c r="AA983" s="3">
        <v>42100.515972222223</v>
      </c>
      <c r="AB983" s="2">
        <v>10586</v>
      </c>
      <c r="AC983" s="2">
        <v>365</v>
      </c>
      <c r="AD983" s="2">
        <v>35.99</v>
      </c>
      <c r="AE983" s="2">
        <v>0.12</v>
      </c>
      <c r="AF983" s="2" t="str" cm="1">
        <f t="array" ref="AF983">_xlfn.IFS(AE983=0, "No Discount ", AE983&lt;=0.08,"Low Discount", AE983&lt;=0.16,"Medium Discount", AE983&gt;0.16, "High Discount")</f>
        <v>Medium Discount</v>
      </c>
      <c r="AG983" s="2">
        <v>26512</v>
      </c>
      <c r="AH983" s="2">
        <v>59.99</v>
      </c>
      <c r="AI983" s="2">
        <v>0.16</v>
      </c>
      <c r="AJ983" s="2" t="str" cm="1">
        <f t="array" ref="AJ983">_xlfn.IFS(AI983&lt;=0, "No Profit", AI983&lt;=0.16,"Low Profit",AI983&lt;=0.32,"Medium Profit",AI983&gt;0.32,"High Profit")</f>
        <v>Low Profit</v>
      </c>
      <c r="AK983" s="2">
        <v>5</v>
      </c>
      <c r="AL983" s="2">
        <v>299.95</v>
      </c>
      <c r="AM983" s="2">
        <v>263.95999999999998</v>
      </c>
      <c r="AN983" s="2">
        <v>43.02</v>
      </c>
      <c r="AO983" s="2" t="s">
        <v>531</v>
      </c>
      <c r="AP983" s="2" t="s">
        <v>538</v>
      </c>
      <c r="AQ983" s="2" t="s">
        <v>80</v>
      </c>
      <c r="AR983" s="2" t="s">
        <v>81</v>
      </c>
      <c r="AS983" s="2">
        <v>365</v>
      </c>
      <c r="AT983" s="2">
        <v>17</v>
      </c>
      <c r="AU983" s="2" t="s">
        <v>421</v>
      </c>
      <c r="AV983" s="2">
        <v>59.99</v>
      </c>
      <c r="AW983" s="2">
        <v>0</v>
      </c>
      <c r="AX983" s="3">
        <v>42161.515972222223</v>
      </c>
      <c r="AY983" s="2" t="s">
        <v>83</v>
      </c>
      <c r="AZ983" s="4">
        <v>42100</v>
      </c>
      <c r="BA983" s="5">
        <v>0.51597222222222228</v>
      </c>
      <c r="BB983" s="2">
        <v>2015</v>
      </c>
      <c r="BC983" s="2" t="s">
        <v>487</v>
      </c>
      <c r="BD983" s="2">
        <v>6</v>
      </c>
      <c r="BE983" s="4">
        <v>42161</v>
      </c>
      <c r="BF983" s="5">
        <v>0.51597222222222228</v>
      </c>
      <c r="BG983" s="2" t="str" cm="1">
        <f t="array" ref="BG983">_xlfn.IFS(BF983&lt;TIMEVALUE("06:00"),"Night", BF983&gt;=TIMEVALUE("21:00"),"Night",BF983&gt;=TIMEVALUE("17:00"),"Evening",BF983&gt;=TIMEVALUE("12:00"),"Afternoon", BF983&gt;=TIMEVALUE("06:00"),"Morning")</f>
        <v>Afternoon</v>
      </c>
      <c r="BH983" s="2">
        <v>2015</v>
      </c>
      <c r="BI983" s="2" t="s">
        <v>474</v>
      </c>
      <c r="BJ983" s="2">
        <v>6</v>
      </c>
    </row>
    <row r="984" spans="1:62" x14ac:dyDescent="0.3">
      <c r="A984" s="2" t="s">
        <v>62</v>
      </c>
      <c r="B984" s="2">
        <v>2</v>
      </c>
      <c r="C984" s="2">
        <v>4</v>
      </c>
      <c r="D984" s="2">
        <v>-11.22</v>
      </c>
      <c r="E984" s="2">
        <v>260.95999999999998</v>
      </c>
      <c r="F984" s="2" t="s">
        <v>63</v>
      </c>
      <c r="G984" s="2" t="s">
        <v>64</v>
      </c>
      <c r="H984" s="2">
        <v>17</v>
      </c>
      <c r="I984" s="2" t="s">
        <v>412</v>
      </c>
      <c r="J984" s="2" t="s">
        <v>3537</v>
      </c>
      <c r="K984" s="2" t="s">
        <v>102</v>
      </c>
      <c r="L984" s="2" t="s">
        <v>1364</v>
      </c>
      <c r="M984" s="2">
        <v>7905</v>
      </c>
      <c r="N984" s="2" t="s">
        <v>1289</v>
      </c>
      <c r="O984" s="2" t="s">
        <v>70</v>
      </c>
      <c r="P984" s="2" t="s">
        <v>333</v>
      </c>
      <c r="Q984" s="2" t="s">
        <v>3913</v>
      </c>
      <c r="R984" s="2">
        <v>78520</v>
      </c>
      <c r="S984" s="2">
        <v>4</v>
      </c>
      <c r="T984" s="2" t="s">
        <v>417</v>
      </c>
      <c r="U984" s="2">
        <v>26.016227700000002</v>
      </c>
      <c r="V984" s="2">
        <v>-97.557289100000006</v>
      </c>
      <c r="W984" s="2" t="s">
        <v>528</v>
      </c>
      <c r="X984" s="2" t="s">
        <v>3914</v>
      </c>
      <c r="Y984" s="2" t="s">
        <v>1772</v>
      </c>
      <c r="Z984" s="2">
        <v>7905</v>
      </c>
      <c r="AA984" s="2" t="s">
        <v>3915</v>
      </c>
      <c r="AB984" s="2">
        <v>45291</v>
      </c>
      <c r="AC984" s="2">
        <v>365</v>
      </c>
      <c r="AD984" s="2">
        <v>38.99</v>
      </c>
      <c r="AE984" s="2">
        <v>0.13</v>
      </c>
      <c r="AF984" s="2" t="str" cm="1">
        <f t="array" ref="AF984">_xlfn.IFS(AE984=0, "No Discount ", AE984&lt;=0.08,"Low Discount", AE984&lt;=0.16,"Medium Discount", AE984&gt;0.16, "High Discount")</f>
        <v>Medium Discount</v>
      </c>
      <c r="AG984" s="2">
        <v>113166</v>
      </c>
      <c r="AH984" s="2">
        <v>59.99</v>
      </c>
      <c r="AI984" s="2">
        <v>-0.04</v>
      </c>
      <c r="AJ984" s="2" t="str" cm="1">
        <f t="array" ref="AJ984">_xlfn.IFS(AI984&lt;=0, "No Profit", AI984&lt;=0.16,"Low Profit",AI984&lt;=0.32,"Medium Profit",AI984&gt;0.32,"High Profit")</f>
        <v>No Profit</v>
      </c>
      <c r="AK984" s="2">
        <v>5</v>
      </c>
      <c r="AL984" s="2">
        <v>299.95</v>
      </c>
      <c r="AM984" s="2">
        <v>260.95999999999998</v>
      </c>
      <c r="AN984" s="2">
        <v>-11.22</v>
      </c>
      <c r="AO984" s="2" t="s">
        <v>1717</v>
      </c>
      <c r="AP984" s="2" t="s">
        <v>3916</v>
      </c>
      <c r="AQ984" s="2" t="s">
        <v>80</v>
      </c>
      <c r="AR984" s="2" t="s">
        <v>81</v>
      </c>
      <c r="AS984" s="2">
        <v>365</v>
      </c>
      <c r="AT984" s="2">
        <v>17</v>
      </c>
      <c r="AU984" s="2" t="s">
        <v>421</v>
      </c>
      <c r="AV984" s="2">
        <v>59.99</v>
      </c>
      <c r="AW984" s="2">
        <v>0</v>
      </c>
      <c r="AX984" s="2" t="s">
        <v>3917</v>
      </c>
      <c r="AY984" s="2" t="s">
        <v>83</v>
      </c>
      <c r="AZ984" s="4">
        <v>42666</v>
      </c>
      <c r="BA984" s="5">
        <v>0.12916666666666668</v>
      </c>
      <c r="BB984" s="2">
        <v>2016</v>
      </c>
      <c r="BC984" s="2" t="s">
        <v>434</v>
      </c>
      <c r="BD984" s="2">
        <v>23</v>
      </c>
      <c r="BE984" s="4">
        <v>42668</v>
      </c>
      <c r="BF984" s="5">
        <v>0.12916666666666668</v>
      </c>
      <c r="BG984" s="2" t="str" cm="1">
        <f t="array" ref="BG984">_xlfn.IFS(BF984&lt;TIMEVALUE("06:00"),"Night", BF984&gt;=TIMEVALUE("21:00"),"Night",BF984&gt;=TIMEVALUE("17:00"),"Evening",BF984&gt;=TIMEVALUE("12:00"),"Afternoon", BF984&gt;=TIMEVALUE("06:00"),"Morning")</f>
        <v>Night</v>
      </c>
      <c r="BH984" s="2">
        <v>2016</v>
      </c>
      <c r="BI984" s="2" t="s">
        <v>434</v>
      </c>
      <c r="BJ984" s="2">
        <v>25</v>
      </c>
    </row>
    <row r="985" spans="1:62" x14ac:dyDescent="0.3">
      <c r="A985" s="2" t="s">
        <v>62</v>
      </c>
      <c r="B985" s="2">
        <v>5</v>
      </c>
      <c r="C985" s="2">
        <v>4</v>
      </c>
      <c r="D985" s="2">
        <v>86.12</v>
      </c>
      <c r="E985" s="2">
        <v>260.95999999999998</v>
      </c>
      <c r="F985" s="2" t="s">
        <v>87</v>
      </c>
      <c r="G985" s="2" t="s">
        <v>88</v>
      </c>
      <c r="H985" s="2">
        <v>17</v>
      </c>
      <c r="I985" s="2" t="s">
        <v>412</v>
      </c>
      <c r="J985" s="2" t="s">
        <v>3918</v>
      </c>
      <c r="K985" s="2" t="s">
        <v>102</v>
      </c>
      <c r="L985" s="2" t="s">
        <v>414</v>
      </c>
      <c r="M985" s="2">
        <v>8674</v>
      </c>
      <c r="N985" s="2" t="s">
        <v>3919</v>
      </c>
      <c r="O985" s="2" t="s">
        <v>70</v>
      </c>
      <c r="P985" s="2" t="s">
        <v>105</v>
      </c>
      <c r="Q985" s="2" t="s">
        <v>1691</v>
      </c>
      <c r="R985" s="2">
        <v>91706</v>
      </c>
      <c r="S985" s="2">
        <v>4</v>
      </c>
      <c r="T985" s="2" t="s">
        <v>417</v>
      </c>
      <c r="U985" s="2">
        <v>34.069431299999998</v>
      </c>
      <c r="V985" s="2">
        <v>-117.9799881</v>
      </c>
      <c r="W985" s="2" t="s">
        <v>528</v>
      </c>
      <c r="X985" s="2" t="s">
        <v>3920</v>
      </c>
      <c r="Y985" s="2" t="s">
        <v>983</v>
      </c>
      <c r="Z985" s="2">
        <v>8674</v>
      </c>
      <c r="AA985" s="2" t="s">
        <v>3921</v>
      </c>
      <c r="AB985" s="2">
        <v>15459</v>
      </c>
      <c r="AC985" s="2">
        <v>365</v>
      </c>
      <c r="AD985" s="2">
        <v>38.99</v>
      </c>
      <c r="AE985" s="2">
        <v>0.13</v>
      </c>
      <c r="AF985" s="2" t="str" cm="1">
        <f t="array" ref="AF985">_xlfn.IFS(AE985=0, "No Discount ", AE985&lt;=0.08,"Low Discount", AE985&lt;=0.16,"Medium Discount", AE985&gt;0.16, "High Discount")</f>
        <v>Medium Discount</v>
      </c>
      <c r="AG985" s="2">
        <v>38631</v>
      </c>
      <c r="AH985" s="2">
        <v>59.99</v>
      </c>
      <c r="AI985" s="2">
        <v>0.33</v>
      </c>
      <c r="AJ985" s="2" t="str" cm="1">
        <f t="array" ref="AJ985">_xlfn.IFS(AI985&lt;=0, "No Profit", AI985&lt;=0.16,"Low Profit",AI985&lt;=0.32,"Medium Profit",AI985&gt;0.32,"High Profit")</f>
        <v>High Profit</v>
      </c>
      <c r="AK985" s="2">
        <v>5</v>
      </c>
      <c r="AL985" s="2">
        <v>299.95</v>
      </c>
      <c r="AM985" s="2">
        <v>260.95999999999998</v>
      </c>
      <c r="AN985" s="2">
        <v>86.12</v>
      </c>
      <c r="AO985" s="2" t="s">
        <v>905</v>
      </c>
      <c r="AP985" s="2" t="s">
        <v>2783</v>
      </c>
      <c r="AQ985" s="2" t="s">
        <v>80</v>
      </c>
      <c r="AR985" s="2" t="s">
        <v>81</v>
      </c>
      <c r="AS985" s="2">
        <v>365</v>
      </c>
      <c r="AT985" s="2">
        <v>17</v>
      </c>
      <c r="AU985" s="2" t="s">
        <v>421</v>
      </c>
      <c r="AV985" s="2">
        <v>59.99</v>
      </c>
      <c r="AW985" s="2">
        <v>0</v>
      </c>
      <c r="AX985" s="2" t="s">
        <v>3922</v>
      </c>
      <c r="AY985" s="2" t="s">
        <v>83</v>
      </c>
      <c r="AZ985" s="4">
        <v>42230</v>
      </c>
      <c r="BA985" s="5">
        <v>0.65069444444444446</v>
      </c>
      <c r="BB985" s="2">
        <v>2015</v>
      </c>
      <c r="BC985" s="2" t="s">
        <v>482</v>
      </c>
      <c r="BD985" s="2">
        <v>14</v>
      </c>
      <c r="BE985" s="4">
        <v>42235</v>
      </c>
      <c r="BF985" s="5">
        <v>0.65069444444444446</v>
      </c>
      <c r="BG985" s="2" t="str" cm="1">
        <f t="array" ref="BG985">_xlfn.IFS(BF985&lt;TIMEVALUE("06:00"),"Night", BF985&gt;=TIMEVALUE("21:00"),"Night",BF985&gt;=TIMEVALUE("17:00"),"Evening",BF985&gt;=TIMEVALUE("12:00"),"Afternoon", BF985&gt;=TIMEVALUE("06:00"),"Morning")</f>
        <v>Afternoon</v>
      </c>
      <c r="BH985" s="2">
        <v>2015</v>
      </c>
      <c r="BI985" s="2" t="s">
        <v>482</v>
      </c>
      <c r="BJ985" s="2">
        <v>19</v>
      </c>
    </row>
    <row r="986" spans="1:62" x14ac:dyDescent="0.3">
      <c r="A986" s="2" t="s">
        <v>62</v>
      </c>
      <c r="B986" s="2">
        <v>4</v>
      </c>
      <c r="C986" s="2">
        <v>4</v>
      </c>
      <c r="D986" s="2">
        <v>99.16</v>
      </c>
      <c r="E986" s="2">
        <v>260.95999999999998</v>
      </c>
      <c r="F986" s="2" t="s">
        <v>100</v>
      </c>
      <c r="G986" s="2" t="s">
        <v>64</v>
      </c>
      <c r="H986" s="2">
        <v>17</v>
      </c>
      <c r="I986" s="2" t="s">
        <v>412</v>
      </c>
      <c r="J986" s="2" t="s">
        <v>2341</v>
      </c>
      <c r="K986" s="2" t="s">
        <v>102</v>
      </c>
      <c r="L986" s="2" t="s">
        <v>483</v>
      </c>
      <c r="M986" s="2">
        <v>1902</v>
      </c>
      <c r="N986" s="2" t="s">
        <v>1875</v>
      </c>
      <c r="O986" s="2" t="s">
        <v>70</v>
      </c>
      <c r="P986" s="2" t="s">
        <v>1117</v>
      </c>
      <c r="Q986" s="2" t="s">
        <v>3923</v>
      </c>
      <c r="R986" s="2">
        <v>44035</v>
      </c>
      <c r="S986" s="2">
        <v>4</v>
      </c>
      <c r="T986" s="2" t="s">
        <v>417</v>
      </c>
      <c r="U986" s="2">
        <v>41.361259500000003</v>
      </c>
      <c r="V986" s="2">
        <v>-82.110122700000005</v>
      </c>
      <c r="W986" s="2" t="s">
        <v>528</v>
      </c>
      <c r="X986" s="2" t="s">
        <v>3924</v>
      </c>
      <c r="Y986" s="2" t="s">
        <v>904</v>
      </c>
      <c r="Z986" s="2">
        <v>1902</v>
      </c>
      <c r="AA986" s="2" t="s">
        <v>3925</v>
      </c>
      <c r="AB986" s="2">
        <v>16093</v>
      </c>
      <c r="AC986" s="2">
        <v>365</v>
      </c>
      <c r="AD986" s="2">
        <v>38.99</v>
      </c>
      <c r="AE986" s="2">
        <v>0.13</v>
      </c>
      <c r="AF986" s="2" t="str" cm="1">
        <f t="array" ref="AF986">_xlfn.IFS(AE986=0, "No Discount ", AE986&lt;=0.08,"Low Discount", AE986&lt;=0.16,"Medium Discount", AE986&gt;0.16, "High Discount")</f>
        <v>Medium Discount</v>
      </c>
      <c r="AG986" s="2">
        <v>40196</v>
      </c>
      <c r="AH986" s="2">
        <v>59.99</v>
      </c>
      <c r="AI986" s="2">
        <v>0.38</v>
      </c>
      <c r="AJ986" s="2" t="str" cm="1">
        <f t="array" ref="AJ986">_xlfn.IFS(AI986&lt;=0, "No Profit", AI986&lt;=0.16,"Low Profit",AI986&lt;=0.32,"Medium Profit",AI986&gt;0.32,"High Profit")</f>
        <v>High Profit</v>
      </c>
      <c r="AK986" s="2">
        <v>5</v>
      </c>
      <c r="AL986" s="2">
        <v>299.95</v>
      </c>
      <c r="AM986" s="2">
        <v>260.95999999999998</v>
      </c>
      <c r="AN986" s="2">
        <v>99.16</v>
      </c>
      <c r="AO986" s="2" t="s">
        <v>905</v>
      </c>
      <c r="AP986" s="2" t="s">
        <v>2585</v>
      </c>
      <c r="AQ986" s="2" t="s">
        <v>80</v>
      </c>
      <c r="AR986" s="2" t="s">
        <v>81</v>
      </c>
      <c r="AS986" s="2">
        <v>365</v>
      </c>
      <c r="AT986" s="2">
        <v>17</v>
      </c>
      <c r="AU986" s="2" t="s">
        <v>421</v>
      </c>
      <c r="AV986" s="2">
        <v>59.99</v>
      </c>
      <c r="AW986" s="2">
        <v>0</v>
      </c>
      <c r="AX986" s="2" t="s">
        <v>3926</v>
      </c>
      <c r="AY986" s="2" t="s">
        <v>83</v>
      </c>
      <c r="AZ986" s="4">
        <v>42239</v>
      </c>
      <c r="BA986" s="5">
        <v>0.90555555555555556</v>
      </c>
      <c r="BB986" s="2">
        <v>2015</v>
      </c>
      <c r="BC986" s="2" t="s">
        <v>482</v>
      </c>
      <c r="BD986" s="2">
        <v>23</v>
      </c>
      <c r="BE986" s="4">
        <v>42243</v>
      </c>
      <c r="BF986" s="5">
        <v>0.90555555555555556</v>
      </c>
      <c r="BG986" s="2" t="str" cm="1">
        <f t="array" ref="BG986">_xlfn.IFS(BF986&lt;TIMEVALUE("06:00"),"Night", BF986&gt;=TIMEVALUE("21:00"),"Night",BF986&gt;=TIMEVALUE("17:00"),"Evening",BF986&gt;=TIMEVALUE("12:00"),"Afternoon", BF986&gt;=TIMEVALUE("06:00"),"Morning")</f>
        <v>Night</v>
      </c>
      <c r="BH986" s="2">
        <v>2015</v>
      </c>
      <c r="BI986" s="2" t="s">
        <v>482</v>
      </c>
      <c r="BJ986" s="2">
        <v>27</v>
      </c>
    </row>
    <row r="987" spans="1:62" x14ac:dyDescent="0.3">
      <c r="A987" s="2" t="s">
        <v>62</v>
      </c>
      <c r="B987" s="2">
        <v>5</v>
      </c>
      <c r="C987" s="2">
        <v>4</v>
      </c>
      <c r="D987" s="2">
        <v>73.069999999999993</v>
      </c>
      <c r="E987" s="2">
        <v>260.95999999999998</v>
      </c>
      <c r="F987" s="2" t="s">
        <v>87</v>
      </c>
      <c r="G987" s="2" t="s">
        <v>88</v>
      </c>
      <c r="H987" s="2">
        <v>17</v>
      </c>
      <c r="I987" s="2" t="s">
        <v>412</v>
      </c>
      <c r="J987" s="2" t="s">
        <v>1245</v>
      </c>
      <c r="K987" s="2" t="s">
        <v>102</v>
      </c>
      <c r="L987" s="2" t="s">
        <v>414</v>
      </c>
      <c r="M987" s="2">
        <v>2698</v>
      </c>
      <c r="N987" s="2" t="s">
        <v>3189</v>
      </c>
      <c r="O987" s="2" t="s">
        <v>70</v>
      </c>
      <c r="P987" s="2" t="s">
        <v>105</v>
      </c>
      <c r="Q987" s="2" t="s">
        <v>3722</v>
      </c>
      <c r="R987" s="2">
        <v>91766</v>
      </c>
      <c r="S987" s="2">
        <v>4</v>
      </c>
      <c r="T987" s="2" t="s">
        <v>417</v>
      </c>
      <c r="U987" s="2">
        <v>34.280666400000001</v>
      </c>
      <c r="V987" s="2">
        <v>-119.2400665</v>
      </c>
      <c r="W987" s="2" t="s">
        <v>528</v>
      </c>
      <c r="X987" s="2" t="s">
        <v>535</v>
      </c>
      <c r="Y987" s="2" t="s">
        <v>536</v>
      </c>
      <c r="Z987" s="2">
        <v>2698</v>
      </c>
      <c r="AA987" s="3">
        <v>42100.486805555556</v>
      </c>
      <c r="AB987" s="2">
        <v>10584</v>
      </c>
      <c r="AC987" s="2">
        <v>365</v>
      </c>
      <c r="AD987" s="2">
        <v>38.99</v>
      </c>
      <c r="AE987" s="2">
        <v>0.13</v>
      </c>
      <c r="AF987" s="2" t="str" cm="1">
        <f t="array" ref="AF987">_xlfn.IFS(AE987=0, "No Discount ", AE987&lt;=0.08,"Low Discount", AE987&lt;=0.16,"Medium Discount", AE987&gt;0.16, "High Discount")</f>
        <v>Medium Discount</v>
      </c>
      <c r="AG987" s="2">
        <v>26508</v>
      </c>
      <c r="AH987" s="2">
        <v>59.99</v>
      </c>
      <c r="AI987" s="2">
        <v>0.28000000000000003</v>
      </c>
      <c r="AJ987" s="2" t="str" cm="1">
        <f t="array" ref="AJ987">_xlfn.IFS(AI987&lt;=0, "No Profit", AI987&lt;=0.16,"Low Profit",AI987&lt;=0.32,"Medium Profit",AI987&gt;0.32,"High Profit")</f>
        <v>Medium Profit</v>
      </c>
      <c r="AK987" s="2">
        <v>5</v>
      </c>
      <c r="AL987" s="2">
        <v>299.95</v>
      </c>
      <c r="AM987" s="2">
        <v>260.95999999999998</v>
      </c>
      <c r="AN987" s="2">
        <v>73.069999999999993</v>
      </c>
      <c r="AO987" s="2" t="s">
        <v>531</v>
      </c>
      <c r="AP987" s="2" t="s">
        <v>538</v>
      </c>
      <c r="AQ987" s="2" t="s">
        <v>80</v>
      </c>
      <c r="AR987" s="2" t="s">
        <v>81</v>
      </c>
      <c r="AS987" s="2">
        <v>365</v>
      </c>
      <c r="AT987" s="2">
        <v>17</v>
      </c>
      <c r="AU987" s="2" t="s">
        <v>421</v>
      </c>
      <c r="AV987" s="2">
        <v>59.99</v>
      </c>
      <c r="AW987" s="2">
        <v>0</v>
      </c>
      <c r="AX987" s="3">
        <v>42253.486805555556</v>
      </c>
      <c r="AY987" s="2" t="s">
        <v>83</v>
      </c>
      <c r="AZ987" s="4">
        <v>42100</v>
      </c>
      <c r="BA987" s="5">
        <v>0.48680555555555555</v>
      </c>
      <c r="BB987" s="2">
        <v>2015</v>
      </c>
      <c r="BC987" s="2" t="s">
        <v>487</v>
      </c>
      <c r="BD987" s="2">
        <v>6</v>
      </c>
      <c r="BE987" s="4">
        <v>42253</v>
      </c>
      <c r="BF987" s="5">
        <v>0.48680555555555555</v>
      </c>
      <c r="BG987" s="2" t="str" cm="1">
        <f t="array" ref="BG987">_xlfn.IFS(BF987&lt;TIMEVALUE("06:00"),"Night", BF987&gt;=TIMEVALUE("21:00"),"Night",BF987&gt;=TIMEVALUE("17:00"),"Evening",BF987&gt;=TIMEVALUE("12:00"),"Afternoon", BF987&gt;=TIMEVALUE("06:00"),"Morning")</f>
        <v>Morning</v>
      </c>
      <c r="BH987" s="2">
        <v>2015</v>
      </c>
      <c r="BI987" s="2" t="s">
        <v>552</v>
      </c>
      <c r="BJ987" s="2">
        <v>6</v>
      </c>
    </row>
    <row r="988" spans="1:62" x14ac:dyDescent="0.3">
      <c r="A988" s="2" t="s">
        <v>62</v>
      </c>
      <c r="B988" s="2">
        <v>2</v>
      </c>
      <c r="C988" s="2">
        <v>4</v>
      </c>
      <c r="D988" s="2">
        <v>106.99</v>
      </c>
      <c r="E988" s="2">
        <v>260.95999999999998</v>
      </c>
      <c r="F988" s="2" t="s">
        <v>63</v>
      </c>
      <c r="G988" s="2" t="s">
        <v>64</v>
      </c>
      <c r="H988" s="2">
        <v>17</v>
      </c>
      <c r="I988" s="2" t="s">
        <v>412</v>
      </c>
      <c r="J988" s="2" t="s">
        <v>1460</v>
      </c>
      <c r="K988" s="2" t="s">
        <v>102</v>
      </c>
      <c r="L988" s="2" t="s">
        <v>414</v>
      </c>
      <c r="M988" s="2">
        <v>1408</v>
      </c>
      <c r="N988" s="2" t="s">
        <v>3342</v>
      </c>
      <c r="O988" s="2" t="s">
        <v>70</v>
      </c>
      <c r="P988" s="2" t="s">
        <v>234</v>
      </c>
      <c r="Q988" s="2" t="s">
        <v>3927</v>
      </c>
      <c r="R988" s="2">
        <v>60657</v>
      </c>
      <c r="S988" s="2">
        <v>4</v>
      </c>
      <c r="T988" s="2" t="s">
        <v>417</v>
      </c>
      <c r="U988" s="2">
        <v>41.895172100000003</v>
      </c>
      <c r="V988" s="2">
        <v>-87.736343399999996</v>
      </c>
      <c r="W988" s="2" t="s">
        <v>528</v>
      </c>
      <c r="X988" s="2" t="s">
        <v>3928</v>
      </c>
      <c r="Y988" s="2" t="s">
        <v>536</v>
      </c>
      <c r="Z988" s="2">
        <v>1408</v>
      </c>
      <c r="AA988" s="2" t="s">
        <v>3929</v>
      </c>
      <c r="AB988" s="2">
        <v>61596</v>
      </c>
      <c r="AC988" s="2">
        <v>365</v>
      </c>
      <c r="AD988" s="2">
        <v>38.99</v>
      </c>
      <c r="AE988" s="2">
        <v>0.13</v>
      </c>
      <c r="AF988" s="2" t="str" cm="1">
        <f t="array" ref="AF988">_xlfn.IFS(AE988=0, "No Discount ", AE988&lt;=0.08,"Low Discount", AE988&lt;=0.16,"Medium Discount", AE988&gt;0.16, "High Discount")</f>
        <v>Medium Discount</v>
      </c>
      <c r="AG988" s="2">
        <v>154018</v>
      </c>
      <c r="AH988" s="2">
        <v>59.99</v>
      </c>
      <c r="AI988" s="2">
        <v>0.41</v>
      </c>
      <c r="AJ988" s="2" t="str" cm="1">
        <f t="array" ref="AJ988">_xlfn.IFS(AI988&lt;=0, "No Profit", AI988&lt;=0.16,"Low Profit",AI988&lt;=0.32,"Medium Profit",AI988&gt;0.32,"High Profit")</f>
        <v>High Profit</v>
      </c>
      <c r="AK988" s="2">
        <v>5</v>
      </c>
      <c r="AL988" s="2">
        <v>299.95</v>
      </c>
      <c r="AM988" s="2">
        <v>260.95999999999998</v>
      </c>
      <c r="AN988" s="2">
        <v>106.99</v>
      </c>
      <c r="AO988" s="2" t="s">
        <v>531</v>
      </c>
      <c r="AP988" s="2" t="s">
        <v>1014</v>
      </c>
      <c r="AQ988" s="2" t="s">
        <v>80</v>
      </c>
      <c r="AR988" s="2" t="s">
        <v>81</v>
      </c>
      <c r="AS988" s="2">
        <v>365</v>
      </c>
      <c r="AT988" s="2">
        <v>17</v>
      </c>
      <c r="AU988" s="2" t="s">
        <v>421</v>
      </c>
      <c r="AV988" s="2">
        <v>59.99</v>
      </c>
      <c r="AW988" s="2">
        <v>0</v>
      </c>
      <c r="AX988" s="2" t="s">
        <v>3930</v>
      </c>
      <c r="AY988" s="2" t="s">
        <v>83</v>
      </c>
      <c r="AZ988" s="4">
        <v>42904</v>
      </c>
      <c r="BA988" s="5">
        <v>0.14444444444444443</v>
      </c>
      <c r="BB988" s="2">
        <v>2017</v>
      </c>
      <c r="BC988" s="2" t="s">
        <v>474</v>
      </c>
      <c r="BD988" s="2">
        <v>18</v>
      </c>
      <c r="BE988" s="4">
        <v>42906</v>
      </c>
      <c r="BF988" s="5">
        <v>0.14444444444444443</v>
      </c>
      <c r="BG988" s="2" t="str" cm="1">
        <f t="array" ref="BG988">_xlfn.IFS(BF988&lt;TIMEVALUE("06:00"),"Night", BF988&gt;=TIMEVALUE("21:00"),"Night",BF988&gt;=TIMEVALUE("17:00"),"Evening",BF988&gt;=TIMEVALUE("12:00"),"Afternoon", BF988&gt;=TIMEVALUE("06:00"),"Morning")</f>
        <v>Night</v>
      </c>
      <c r="BH988" s="2">
        <v>2017</v>
      </c>
      <c r="BI988" s="2" t="s">
        <v>474</v>
      </c>
      <c r="BJ988" s="2">
        <v>20</v>
      </c>
    </row>
    <row r="989" spans="1:62" x14ac:dyDescent="0.3">
      <c r="A989" s="2" t="s">
        <v>62</v>
      </c>
      <c r="B989" s="2">
        <v>5</v>
      </c>
      <c r="C989" s="2">
        <v>4</v>
      </c>
      <c r="D989" s="2">
        <v>81.680000000000007</v>
      </c>
      <c r="E989" s="2">
        <v>260.95999999999998</v>
      </c>
      <c r="F989" s="2" t="s">
        <v>87</v>
      </c>
      <c r="G989" s="2" t="s">
        <v>88</v>
      </c>
      <c r="H989" s="2">
        <v>17</v>
      </c>
      <c r="I989" s="2" t="s">
        <v>412</v>
      </c>
      <c r="J989" s="2" t="s">
        <v>3203</v>
      </c>
      <c r="K989" s="2" t="s">
        <v>102</v>
      </c>
      <c r="L989" s="2" t="s">
        <v>414</v>
      </c>
      <c r="M989" s="2">
        <v>10549</v>
      </c>
      <c r="N989" s="2" t="s">
        <v>3204</v>
      </c>
      <c r="O989" s="2" t="s">
        <v>70</v>
      </c>
      <c r="P989" s="2" t="s">
        <v>1102</v>
      </c>
      <c r="Q989" s="2" t="s">
        <v>3205</v>
      </c>
      <c r="R989" s="2">
        <v>21206</v>
      </c>
      <c r="S989" s="2">
        <v>4</v>
      </c>
      <c r="T989" s="2" t="s">
        <v>417</v>
      </c>
      <c r="U989" s="2">
        <v>39.137855500000001</v>
      </c>
      <c r="V989" s="2">
        <v>-76.815872200000001</v>
      </c>
      <c r="W989" s="2" t="s">
        <v>528</v>
      </c>
      <c r="X989" s="2" t="s">
        <v>3269</v>
      </c>
      <c r="Y989" s="2" t="s">
        <v>530</v>
      </c>
      <c r="Z989" s="2">
        <v>10549</v>
      </c>
      <c r="AA989" s="2" t="s">
        <v>3931</v>
      </c>
      <c r="AB989" s="2">
        <v>68374</v>
      </c>
      <c r="AC989" s="2">
        <v>365</v>
      </c>
      <c r="AD989" s="2">
        <v>38.99</v>
      </c>
      <c r="AE989" s="2">
        <v>0.13</v>
      </c>
      <c r="AF989" s="2" t="str" cm="1">
        <f t="array" ref="AF989">_xlfn.IFS(AE989=0, "No Discount ", AE989&lt;=0.08,"Low Discount", AE989&lt;=0.16,"Medium Discount", AE989&gt;0.16, "High Discount")</f>
        <v>Medium Discount</v>
      </c>
      <c r="AG989" s="2">
        <v>170941</v>
      </c>
      <c r="AH989" s="2">
        <v>59.99</v>
      </c>
      <c r="AI989" s="2">
        <v>0.31</v>
      </c>
      <c r="AJ989" s="2" t="str" cm="1">
        <f t="array" ref="AJ989">_xlfn.IFS(AI989&lt;=0, "No Profit", AI989&lt;=0.16,"Low Profit",AI989&lt;=0.32,"Medium Profit",AI989&gt;0.32,"High Profit")</f>
        <v>Medium Profit</v>
      </c>
      <c r="AK989" s="2">
        <v>5</v>
      </c>
      <c r="AL989" s="2">
        <v>299.95</v>
      </c>
      <c r="AM989" s="2">
        <v>260.95999999999998</v>
      </c>
      <c r="AN989" s="2">
        <v>81.680000000000007</v>
      </c>
      <c r="AO989" s="2" t="s">
        <v>531</v>
      </c>
      <c r="AP989" s="2" t="s">
        <v>3269</v>
      </c>
      <c r="AQ989" s="2" t="s">
        <v>80</v>
      </c>
      <c r="AR989" s="2" t="s">
        <v>81</v>
      </c>
      <c r="AS989" s="2">
        <v>365</v>
      </c>
      <c r="AT989" s="2">
        <v>17</v>
      </c>
      <c r="AU989" s="2" t="s">
        <v>421</v>
      </c>
      <c r="AV989" s="2">
        <v>59.99</v>
      </c>
      <c r="AW989" s="2">
        <v>0</v>
      </c>
      <c r="AX989" s="2" t="s">
        <v>3932</v>
      </c>
      <c r="AY989" s="2" t="s">
        <v>83</v>
      </c>
      <c r="AZ989" s="4">
        <v>43003</v>
      </c>
      <c r="BA989" s="5">
        <v>8.7499999999999994E-2</v>
      </c>
      <c r="BB989" s="2">
        <v>2017</v>
      </c>
      <c r="BC989" s="2" t="s">
        <v>552</v>
      </c>
      <c r="BD989" s="2">
        <v>25</v>
      </c>
      <c r="BE989" s="4">
        <v>43008</v>
      </c>
      <c r="BF989" s="5">
        <v>8.7499999999999994E-2</v>
      </c>
      <c r="BG989" s="2" t="str" cm="1">
        <f t="array" ref="BG989">_xlfn.IFS(BF989&lt;TIMEVALUE("06:00"),"Night", BF989&gt;=TIMEVALUE("21:00"),"Night",BF989&gt;=TIMEVALUE("17:00"),"Evening",BF989&gt;=TIMEVALUE("12:00"),"Afternoon", BF989&gt;=TIMEVALUE("06:00"),"Morning")</f>
        <v>Night</v>
      </c>
      <c r="BH989" s="2">
        <v>2017</v>
      </c>
      <c r="BI989" s="2" t="s">
        <v>552</v>
      </c>
      <c r="BJ989" s="2">
        <v>30</v>
      </c>
    </row>
    <row r="990" spans="1:62" x14ac:dyDescent="0.3">
      <c r="A990" s="2" t="s">
        <v>62</v>
      </c>
      <c r="B990" s="2">
        <v>4</v>
      </c>
      <c r="C990" s="2">
        <v>4</v>
      </c>
      <c r="D990" s="2">
        <v>117.28</v>
      </c>
      <c r="E990" s="2">
        <v>254.96</v>
      </c>
      <c r="F990" s="2" t="s">
        <v>100</v>
      </c>
      <c r="G990" s="2" t="s">
        <v>64</v>
      </c>
      <c r="H990" s="2">
        <v>17</v>
      </c>
      <c r="I990" s="2" t="s">
        <v>412</v>
      </c>
      <c r="J990" s="2" t="s">
        <v>3933</v>
      </c>
      <c r="K990" s="2" t="s">
        <v>102</v>
      </c>
      <c r="L990" s="2" t="s">
        <v>790</v>
      </c>
      <c r="M990" s="2">
        <v>9172</v>
      </c>
      <c r="N990" s="2" t="s">
        <v>425</v>
      </c>
      <c r="O990" s="2" t="s">
        <v>70</v>
      </c>
      <c r="P990" s="2" t="s">
        <v>105</v>
      </c>
      <c r="Q990" s="2" t="s">
        <v>3934</v>
      </c>
      <c r="R990" s="2">
        <v>91709</v>
      </c>
      <c r="S990" s="2">
        <v>4</v>
      </c>
      <c r="T990" s="2" t="s">
        <v>417</v>
      </c>
      <c r="U990" s="2">
        <v>34.008617399999999</v>
      </c>
      <c r="V990" s="2">
        <v>-117.7501831</v>
      </c>
      <c r="W990" s="2" t="s">
        <v>528</v>
      </c>
      <c r="X990" s="2" t="s">
        <v>3935</v>
      </c>
      <c r="Y990" s="2" t="s">
        <v>2613</v>
      </c>
      <c r="Z990" s="2">
        <v>9172</v>
      </c>
      <c r="AA990" s="3">
        <v>42948.452777777777</v>
      </c>
      <c r="AB990" s="2">
        <v>50588</v>
      </c>
      <c r="AC990" s="2">
        <v>365</v>
      </c>
      <c r="AD990" s="2">
        <v>44.99</v>
      </c>
      <c r="AE990" s="2">
        <v>0.15</v>
      </c>
      <c r="AF990" s="2" t="str" cm="1">
        <f t="array" ref="AF990">_xlfn.IFS(AE990=0, "No Discount ", AE990&lt;=0.08,"Low Discount", AE990&lt;=0.16,"Medium Discount", AE990&gt;0.16, "High Discount")</f>
        <v>Medium Discount</v>
      </c>
      <c r="AG990" s="2">
        <v>126418</v>
      </c>
      <c r="AH990" s="2">
        <v>59.99</v>
      </c>
      <c r="AI990" s="2">
        <v>0.46</v>
      </c>
      <c r="AJ990" s="2" t="str" cm="1">
        <f t="array" ref="AJ990">_xlfn.IFS(AI990&lt;=0, "No Profit", AI990&lt;=0.16,"Low Profit",AI990&lt;=0.32,"Medium Profit",AI990&gt;0.32,"High Profit")</f>
        <v>High Profit</v>
      </c>
      <c r="AK990" s="2">
        <v>5</v>
      </c>
      <c r="AL990" s="2">
        <v>299.95</v>
      </c>
      <c r="AM990" s="2">
        <v>254.96</v>
      </c>
      <c r="AN990" s="2">
        <v>117.28</v>
      </c>
      <c r="AO990" s="2" t="s">
        <v>1717</v>
      </c>
      <c r="AP990" s="2" t="s">
        <v>3811</v>
      </c>
      <c r="AQ990" s="2" t="s">
        <v>80</v>
      </c>
      <c r="AR990" s="2" t="s">
        <v>81</v>
      </c>
      <c r="AS990" s="2">
        <v>365</v>
      </c>
      <c r="AT990" s="2">
        <v>17</v>
      </c>
      <c r="AU990" s="2" t="s">
        <v>421</v>
      </c>
      <c r="AV990" s="2">
        <v>59.99</v>
      </c>
      <c r="AW990" s="2">
        <v>0</v>
      </c>
      <c r="AX990" s="3">
        <v>43070.452777777777</v>
      </c>
      <c r="AY990" s="2" t="s">
        <v>83</v>
      </c>
      <c r="AZ990" s="4">
        <v>42948</v>
      </c>
      <c r="BA990" s="5">
        <v>0.45277777777777778</v>
      </c>
      <c r="BB990" s="2">
        <v>2017</v>
      </c>
      <c r="BC990" s="2" t="s">
        <v>482</v>
      </c>
      <c r="BD990" s="2">
        <v>1</v>
      </c>
      <c r="BE990" s="4">
        <v>43070</v>
      </c>
      <c r="BF990" s="5">
        <v>0.45277777777777778</v>
      </c>
      <c r="BG990" s="2" t="str" cm="1">
        <f t="array" ref="BG990">_xlfn.IFS(BF990&lt;TIMEVALUE("06:00"),"Night", BF990&gt;=TIMEVALUE("21:00"),"Night",BF990&gt;=TIMEVALUE("17:00"),"Evening",BF990&gt;=TIMEVALUE("12:00"),"Afternoon", BF990&gt;=TIMEVALUE("06:00"),"Morning")</f>
        <v>Morning</v>
      </c>
      <c r="BH990" s="2">
        <v>2017</v>
      </c>
      <c r="BI990" s="2" t="s">
        <v>357</v>
      </c>
      <c r="BJ990" s="2">
        <v>1</v>
      </c>
    </row>
    <row r="991" spans="1:62" x14ac:dyDescent="0.3">
      <c r="A991" s="2" t="s">
        <v>62</v>
      </c>
      <c r="B991" s="2">
        <v>3</v>
      </c>
      <c r="C991" s="2">
        <v>4</v>
      </c>
      <c r="D991" s="2">
        <v>66.290000000000006</v>
      </c>
      <c r="E991" s="2">
        <v>254.96</v>
      </c>
      <c r="F991" s="2" t="s">
        <v>63</v>
      </c>
      <c r="G991" s="2" t="s">
        <v>64</v>
      </c>
      <c r="H991" s="2">
        <v>17</v>
      </c>
      <c r="I991" s="2" t="s">
        <v>412</v>
      </c>
      <c r="J991" s="2" t="s">
        <v>1147</v>
      </c>
      <c r="K991" s="2" t="s">
        <v>102</v>
      </c>
      <c r="L991" s="2" t="s">
        <v>1598</v>
      </c>
      <c r="M991" s="2">
        <v>3659</v>
      </c>
      <c r="N991" s="2" t="s">
        <v>3228</v>
      </c>
      <c r="O991" s="2" t="s">
        <v>70</v>
      </c>
      <c r="P991" s="2" t="s">
        <v>280</v>
      </c>
      <c r="Q991" s="2" t="s">
        <v>3936</v>
      </c>
      <c r="R991" s="2">
        <v>19104</v>
      </c>
      <c r="S991" s="2">
        <v>4</v>
      </c>
      <c r="T991" s="2" t="s">
        <v>417</v>
      </c>
      <c r="U991" s="2">
        <v>39.954731000000002</v>
      </c>
      <c r="V991" s="2">
        <v>-75.205368000000007</v>
      </c>
      <c r="W991" s="2" t="s">
        <v>528</v>
      </c>
      <c r="X991" s="2" t="s">
        <v>3914</v>
      </c>
      <c r="Y991" s="2" t="s">
        <v>1772</v>
      </c>
      <c r="Z991" s="2">
        <v>3659</v>
      </c>
      <c r="AA991" s="3">
        <v>42530.35833333333</v>
      </c>
      <c r="AB991" s="2">
        <v>42087</v>
      </c>
      <c r="AC991" s="2">
        <v>365</v>
      </c>
      <c r="AD991" s="2">
        <v>44.99</v>
      </c>
      <c r="AE991" s="2">
        <v>0.15</v>
      </c>
      <c r="AF991" s="2" t="str" cm="1">
        <f t="array" ref="AF991">_xlfn.IFS(AE991=0, "No Discount ", AE991&lt;=0.08,"Low Discount", AE991&lt;=0.16,"Medium Discount", AE991&gt;0.16, "High Discount")</f>
        <v>Medium Discount</v>
      </c>
      <c r="AG991" s="2">
        <v>105073</v>
      </c>
      <c r="AH991" s="2">
        <v>59.99</v>
      </c>
      <c r="AI991" s="2">
        <v>0.26</v>
      </c>
      <c r="AJ991" s="2" t="str" cm="1">
        <f t="array" ref="AJ991">_xlfn.IFS(AI991&lt;=0, "No Profit", AI991&lt;=0.16,"Low Profit",AI991&lt;=0.32,"Medium Profit",AI991&gt;0.32,"High Profit")</f>
        <v>Medium Profit</v>
      </c>
      <c r="AK991" s="2">
        <v>5</v>
      </c>
      <c r="AL991" s="2">
        <v>299.95</v>
      </c>
      <c r="AM991" s="2">
        <v>254.96</v>
      </c>
      <c r="AN991" s="2">
        <v>66.290000000000006</v>
      </c>
      <c r="AO991" s="2" t="s">
        <v>1717</v>
      </c>
      <c r="AP991" s="2" t="s">
        <v>3916</v>
      </c>
      <c r="AQ991" s="2" t="s">
        <v>80</v>
      </c>
      <c r="AR991" s="2" t="s">
        <v>81</v>
      </c>
      <c r="AS991" s="2">
        <v>365</v>
      </c>
      <c r="AT991" s="2">
        <v>17</v>
      </c>
      <c r="AU991" s="2" t="s">
        <v>421</v>
      </c>
      <c r="AV991" s="2">
        <v>59.99</v>
      </c>
      <c r="AW991" s="2">
        <v>0</v>
      </c>
      <c r="AX991" s="3">
        <v>42622.35833333333</v>
      </c>
      <c r="AY991" s="2" t="s">
        <v>83</v>
      </c>
      <c r="AZ991" s="4">
        <v>42530</v>
      </c>
      <c r="BA991" s="5">
        <v>0.35833333333333334</v>
      </c>
      <c r="BB991" s="2">
        <v>2016</v>
      </c>
      <c r="BC991" s="2" t="s">
        <v>474</v>
      </c>
      <c r="BD991" s="2">
        <v>9</v>
      </c>
      <c r="BE991" s="4">
        <v>42622</v>
      </c>
      <c r="BF991" s="5">
        <v>0.35833333333333334</v>
      </c>
      <c r="BG991" s="2" t="str" cm="1">
        <f t="array" ref="BG991">_xlfn.IFS(BF991&lt;TIMEVALUE("06:00"),"Night", BF991&gt;=TIMEVALUE("21:00"),"Night",BF991&gt;=TIMEVALUE("17:00"),"Evening",BF991&gt;=TIMEVALUE("12:00"),"Afternoon", BF991&gt;=TIMEVALUE("06:00"),"Morning")</f>
        <v>Morning</v>
      </c>
      <c r="BH991" s="2">
        <v>2016</v>
      </c>
      <c r="BI991" s="2" t="s">
        <v>552</v>
      </c>
      <c r="BJ991" s="2">
        <v>9</v>
      </c>
    </row>
    <row r="992" spans="1:62" x14ac:dyDescent="0.3">
      <c r="A992" s="2" t="s">
        <v>62</v>
      </c>
      <c r="B992" s="2">
        <v>4</v>
      </c>
      <c r="C992" s="2">
        <v>4</v>
      </c>
      <c r="D992" s="2">
        <v>28.81</v>
      </c>
      <c r="E992" s="2">
        <v>254.96</v>
      </c>
      <c r="F992" s="2" t="s">
        <v>100</v>
      </c>
      <c r="G992" s="2" t="s">
        <v>64</v>
      </c>
      <c r="H992" s="2">
        <v>17</v>
      </c>
      <c r="I992" s="2" t="s">
        <v>412</v>
      </c>
      <c r="J992" s="2" t="s">
        <v>1810</v>
      </c>
      <c r="K992" s="2" t="s">
        <v>102</v>
      </c>
      <c r="L992" s="2" t="s">
        <v>3100</v>
      </c>
      <c r="M992" s="2">
        <v>10827</v>
      </c>
      <c r="N992" s="2" t="s">
        <v>425</v>
      </c>
      <c r="O992" s="2" t="s">
        <v>70</v>
      </c>
      <c r="P992" s="2" t="s">
        <v>105</v>
      </c>
      <c r="Q992" s="2" t="s">
        <v>3937</v>
      </c>
      <c r="R992" s="2">
        <v>93003</v>
      </c>
      <c r="S992" s="2">
        <v>4</v>
      </c>
      <c r="T992" s="2" t="s">
        <v>417</v>
      </c>
      <c r="U992" s="2">
        <v>34.2395134</v>
      </c>
      <c r="V992" s="2">
        <v>-119.1972198</v>
      </c>
      <c r="W992" s="2" t="s">
        <v>528</v>
      </c>
      <c r="X992" s="2" t="s">
        <v>1019</v>
      </c>
      <c r="Y992" s="2" t="s">
        <v>557</v>
      </c>
      <c r="Z992" s="2">
        <v>10827</v>
      </c>
      <c r="AA992" s="2" t="s">
        <v>3938</v>
      </c>
      <c r="AB992" s="2">
        <v>13528</v>
      </c>
      <c r="AC992" s="2">
        <v>365</v>
      </c>
      <c r="AD992" s="2">
        <v>44.99</v>
      </c>
      <c r="AE992" s="2">
        <v>0.15</v>
      </c>
      <c r="AF992" s="2" t="str" cm="1">
        <f t="array" ref="AF992">_xlfn.IFS(AE992=0, "No Discount ", AE992&lt;=0.08,"Low Discount", AE992&lt;=0.16,"Medium Discount", AE992&gt;0.16, "High Discount")</f>
        <v>Medium Discount</v>
      </c>
      <c r="AG992" s="2">
        <v>33905</v>
      </c>
      <c r="AH992" s="2">
        <v>59.99</v>
      </c>
      <c r="AI992" s="2">
        <v>0.11</v>
      </c>
      <c r="AJ992" s="2" t="str" cm="1">
        <f t="array" ref="AJ992">_xlfn.IFS(AI992&lt;=0, "No Profit", AI992&lt;=0.16,"Low Profit",AI992&lt;=0.32,"Medium Profit",AI992&gt;0.32,"High Profit")</f>
        <v>Low Profit</v>
      </c>
      <c r="AK992" s="2">
        <v>5</v>
      </c>
      <c r="AL992" s="2">
        <v>299.95</v>
      </c>
      <c r="AM992" s="2">
        <v>254.96</v>
      </c>
      <c r="AN992" s="2">
        <v>28.81</v>
      </c>
      <c r="AO992" s="2" t="s">
        <v>558</v>
      </c>
      <c r="AP992" s="2" t="s">
        <v>1020</v>
      </c>
      <c r="AQ992" s="2" t="s">
        <v>80</v>
      </c>
      <c r="AR992" s="2" t="s">
        <v>81</v>
      </c>
      <c r="AS992" s="2">
        <v>365</v>
      </c>
      <c r="AT992" s="2">
        <v>17</v>
      </c>
      <c r="AU992" s="2" t="s">
        <v>421</v>
      </c>
      <c r="AV992" s="2">
        <v>59.99</v>
      </c>
      <c r="AW992" s="2">
        <v>0</v>
      </c>
      <c r="AX992" s="2" t="s">
        <v>3939</v>
      </c>
      <c r="AY992" s="2" t="s">
        <v>83</v>
      </c>
      <c r="AZ992" s="4">
        <v>42202</v>
      </c>
      <c r="BA992" s="5">
        <v>0.46250000000000002</v>
      </c>
      <c r="BB992" s="2">
        <v>2015</v>
      </c>
      <c r="BC992" s="2" t="s">
        <v>533</v>
      </c>
      <c r="BD992" s="2">
        <v>17</v>
      </c>
      <c r="BE992" s="4">
        <v>42206</v>
      </c>
      <c r="BF992" s="5">
        <v>0.46250000000000002</v>
      </c>
      <c r="BG992" s="2" t="str" cm="1">
        <f t="array" ref="BG992">_xlfn.IFS(BF992&lt;TIMEVALUE("06:00"),"Night", BF992&gt;=TIMEVALUE("21:00"),"Night",BF992&gt;=TIMEVALUE("17:00"),"Evening",BF992&gt;=TIMEVALUE("12:00"),"Afternoon", BF992&gt;=TIMEVALUE("06:00"),"Morning")</f>
        <v>Morning</v>
      </c>
      <c r="BH992" s="2">
        <v>2015</v>
      </c>
      <c r="BI992" s="2" t="s">
        <v>533</v>
      </c>
      <c r="BJ992" s="2">
        <v>21</v>
      </c>
    </row>
    <row r="993" spans="1:62" x14ac:dyDescent="0.3">
      <c r="A993" s="2" t="s">
        <v>62</v>
      </c>
      <c r="B993" s="2">
        <v>6</v>
      </c>
      <c r="C993" s="2">
        <v>4</v>
      </c>
      <c r="D993" s="2">
        <v>28.81</v>
      </c>
      <c r="E993" s="2">
        <v>254.96</v>
      </c>
      <c r="F993" s="2" t="s">
        <v>87</v>
      </c>
      <c r="G993" s="2" t="s">
        <v>88</v>
      </c>
      <c r="H993" s="2">
        <v>17</v>
      </c>
      <c r="I993" s="2" t="s">
        <v>412</v>
      </c>
      <c r="J993" s="2" t="s">
        <v>310</v>
      </c>
      <c r="K993" s="2" t="s">
        <v>102</v>
      </c>
      <c r="L993" s="2" t="s">
        <v>2726</v>
      </c>
      <c r="M993" s="2">
        <v>9146</v>
      </c>
      <c r="N993" s="2" t="s">
        <v>3940</v>
      </c>
      <c r="O993" s="2" t="s">
        <v>70</v>
      </c>
      <c r="P993" s="2" t="s">
        <v>234</v>
      </c>
      <c r="Q993" s="2" t="s">
        <v>3941</v>
      </c>
      <c r="R993" s="2">
        <v>60187</v>
      </c>
      <c r="S993" s="2">
        <v>4</v>
      </c>
      <c r="T993" s="2" t="s">
        <v>417</v>
      </c>
      <c r="U993" s="2">
        <v>41.883598300000003</v>
      </c>
      <c r="V993" s="2">
        <v>-88.109809900000002</v>
      </c>
      <c r="W993" s="2" t="s">
        <v>528</v>
      </c>
      <c r="X993" s="2" t="s">
        <v>946</v>
      </c>
      <c r="Y993" s="2" t="s">
        <v>557</v>
      </c>
      <c r="Z993" s="2">
        <v>9146</v>
      </c>
      <c r="AA993" s="2" t="s">
        <v>3942</v>
      </c>
      <c r="AB993" s="2">
        <v>18135</v>
      </c>
      <c r="AC993" s="2">
        <v>365</v>
      </c>
      <c r="AD993" s="2">
        <v>44.99</v>
      </c>
      <c r="AE993" s="2">
        <v>0.15</v>
      </c>
      <c r="AF993" s="2" t="str" cm="1">
        <f t="array" ref="AF993">_xlfn.IFS(AE993=0, "No Discount ", AE993&lt;=0.08,"Low Discount", AE993&lt;=0.16,"Medium Discount", AE993&gt;0.16, "High Discount")</f>
        <v>Medium Discount</v>
      </c>
      <c r="AG993" s="2">
        <v>45319</v>
      </c>
      <c r="AH993" s="2">
        <v>59.99</v>
      </c>
      <c r="AI993" s="2">
        <v>0.11</v>
      </c>
      <c r="AJ993" s="2" t="str" cm="1">
        <f t="array" ref="AJ993">_xlfn.IFS(AI993&lt;=0, "No Profit", AI993&lt;=0.16,"Low Profit",AI993&lt;=0.32,"Medium Profit",AI993&gt;0.32,"High Profit")</f>
        <v>Low Profit</v>
      </c>
      <c r="AK993" s="2">
        <v>5</v>
      </c>
      <c r="AL993" s="2">
        <v>299.95</v>
      </c>
      <c r="AM993" s="2">
        <v>254.96</v>
      </c>
      <c r="AN993" s="2">
        <v>28.81</v>
      </c>
      <c r="AO993" s="2" t="s">
        <v>558</v>
      </c>
      <c r="AP993" s="2" t="s">
        <v>559</v>
      </c>
      <c r="AQ993" s="2" t="s">
        <v>80</v>
      </c>
      <c r="AR993" s="2" t="s">
        <v>81</v>
      </c>
      <c r="AS993" s="2">
        <v>365</v>
      </c>
      <c r="AT993" s="2">
        <v>17</v>
      </c>
      <c r="AU993" s="2" t="s">
        <v>421</v>
      </c>
      <c r="AV993" s="2">
        <v>59.99</v>
      </c>
      <c r="AW993" s="2">
        <v>0</v>
      </c>
      <c r="AX993" s="2" t="s">
        <v>3943</v>
      </c>
      <c r="AY993" s="2" t="s">
        <v>83</v>
      </c>
      <c r="AZ993" s="4">
        <v>42269</v>
      </c>
      <c r="BA993" s="5">
        <v>0.71388888888888891</v>
      </c>
      <c r="BB993" s="2">
        <v>2015</v>
      </c>
      <c r="BC993" s="2" t="s">
        <v>552</v>
      </c>
      <c r="BD993" s="2">
        <v>22</v>
      </c>
      <c r="BE993" s="4">
        <v>42275</v>
      </c>
      <c r="BF993" s="5">
        <v>0.71388888888888891</v>
      </c>
      <c r="BG993" s="2" t="str" cm="1">
        <f t="array" ref="BG993">_xlfn.IFS(BF993&lt;TIMEVALUE("06:00"),"Night", BF993&gt;=TIMEVALUE("21:00"),"Night",BF993&gt;=TIMEVALUE("17:00"),"Evening",BF993&gt;=TIMEVALUE("12:00"),"Afternoon", BF993&gt;=TIMEVALUE("06:00"),"Morning")</f>
        <v>Evening</v>
      </c>
      <c r="BH993" s="2">
        <v>2015</v>
      </c>
      <c r="BI993" s="2" t="s">
        <v>552</v>
      </c>
      <c r="BJ993" s="2">
        <v>28</v>
      </c>
    </row>
    <row r="994" spans="1:62" x14ac:dyDescent="0.3">
      <c r="A994" s="2" t="s">
        <v>62</v>
      </c>
      <c r="B994" s="2">
        <v>5</v>
      </c>
      <c r="C994" s="2">
        <v>4</v>
      </c>
      <c r="D994" s="2">
        <v>67.05</v>
      </c>
      <c r="E994" s="2">
        <v>254.96</v>
      </c>
      <c r="F994" s="2" t="s">
        <v>87</v>
      </c>
      <c r="G994" s="2" t="s">
        <v>88</v>
      </c>
      <c r="H994" s="2">
        <v>17</v>
      </c>
      <c r="I994" s="2" t="s">
        <v>412</v>
      </c>
      <c r="J994" s="2" t="s">
        <v>3840</v>
      </c>
      <c r="K994" s="2" t="s">
        <v>102</v>
      </c>
      <c r="L994" s="2" t="s">
        <v>414</v>
      </c>
      <c r="M994" s="2">
        <v>20</v>
      </c>
      <c r="N994" s="2" t="s">
        <v>3944</v>
      </c>
      <c r="O994" s="2" t="s">
        <v>70</v>
      </c>
      <c r="P994" s="2" t="s">
        <v>1163</v>
      </c>
      <c r="Q994" s="2" t="s">
        <v>2752</v>
      </c>
      <c r="R994" s="2">
        <v>7093</v>
      </c>
      <c r="S994" s="2">
        <v>4</v>
      </c>
      <c r="T994" s="2" t="s">
        <v>417</v>
      </c>
      <c r="U994" s="2">
        <v>40.757190700000002</v>
      </c>
      <c r="V994" s="2">
        <v>-74.025062599999998</v>
      </c>
      <c r="W994" s="2" t="s">
        <v>528</v>
      </c>
      <c r="X994" s="2" t="s">
        <v>3945</v>
      </c>
      <c r="Y994" s="2" t="s">
        <v>557</v>
      </c>
      <c r="Z994" s="2">
        <v>20</v>
      </c>
      <c r="AA994" s="3">
        <v>42285.855555555558</v>
      </c>
      <c r="AB994" s="2">
        <v>15199</v>
      </c>
      <c r="AC994" s="2">
        <v>365</v>
      </c>
      <c r="AD994" s="2">
        <v>44.99</v>
      </c>
      <c r="AE994" s="2">
        <v>0.15</v>
      </c>
      <c r="AF994" s="2" t="str" cm="1">
        <f t="array" ref="AF994">_xlfn.IFS(AE994=0, "No Discount ", AE994&lt;=0.08,"Low Discount", AE994&lt;=0.16,"Medium Discount", AE994&gt;0.16, "High Discount")</f>
        <v>Medium Discount</v>
      </c>
      <c r="AG994" s="2">
        <v>38017</v>
      </c>
      <c r="AH994" s="2">
        <v>59.99</v>
      </c>
      <c r="AI994" s="2">
        <v>0.26</v>
      </c>
      <c r="AJ994" s="2" t="str" cm="1">
        <f t="array" ref="AJ994">_xlfn.IFS(AI994&lt;=0, "No Profit", AI994&lt;=0.16,"Low Profit",AI994&lt;=0.32,"Medium Profit",AI994&gt;0.32,"High Profit")</f>
        <v>Medium Profit</v>
      </c>
      <c r="AK994" s="2">
        <v>5</v>
      </c>
      <c r="AL994" s="2">
        <v>299.95</v>
      </c>
      <c r="AM994" s="2">
        <v>254.96</v>
      </c>
      <c r="AN994" s="2">
        <v>67.05</v>
      </c>
      <c r="AO994" s="2" t="s">
        <v>558</v>
      </c>
      <c r="AP994" s="2" t="s">
        <v>559</v>
      </c>
      <c r="AQ994" s="2" t="s">
        <v>80</v>
      </c>
      <c r="AR994" s="2" t="s">
        <v>81</v>
      </c>
      <c r="AS994" s="2">
        <v>365</v>
      </c>
      <c r="AT994" s="2">
        <v>17</v>
      </c>
      <c r="AU994" s="2" t="s">
        <v>421</v>
      </c>
      <c r="AV994" s="2">
        <v>59.99</v>
      </c>
      <c r="AW994" s="2">
        <v>0</v>
      </c>
      <c r="AX994" s="2" t="s">
        <v>3946</v>
      </c>
      <c r="AY994" s="2" t="s">
        <v>83</v>
      </c>
      <c r="AZ994" s="4">
        <v>42285</v>
      </c>
      <c r="BA994" s="5">
        <v>0.85555555555555551</v>
      </c>
      <c r="BB994" s="2">
        <v>2015</v>
      </c>
      <c r="BC994" s="2" t="s">
        <v>434</v>
      </c>
      <c r="BD994" s="2">
        <v>8</v>
      </c>
      <c r="BE994" s="4">
        <v>42231</v>
      </c>
      <c r="BF994" s="5">
        <v>0.85555555555555551</v>
      </c>
      <c r="BG994" s="2" t="str" cm="1">
        <f t="array" ref="BG994">_xlfn.IFS(BF994&lt;TIMEVALUE("06:00"),"Night", BF994&gt;=TIMEVALUE("21:00"),"Night",BF994&gt;=TIMEVALUE("17:00"),"Evening",BF994&gt;=TIMEVALUE("12:00"),"Afternoon", BF994&gt;=TIMEVALUE("06:00"),"Morning")</f>
        <v>Evening</v>
      </c>
      <c r="BH994" s="2">
        <v>2015</v>
      </c>
      <c r="BI994" s="2" t="s">
        <v>482</v>
      </c>
      <c r="BJ994" s="2">
        <v>15</v>
      </c>
    </row>
    <row r="995" spans="1:62" x14ac:dyDescent="0.3">
      <c r="A995" s="2" t="s">
        <v>62</v>
      </c>
      <c r="B995" s="2">
        <v>5</v>
      </c>
      <c r="C995" s="2">
        <v>4</v>
      </c>
      <c r="D995" s="2">
        <v>114.73</v>
      </c>
      <c r="E995" s="2">
        <v>254.96</v>
      </c>
      <c r="F995" s="2" t="s">
        <v>87</v>
      </c>
      <c r="G995" s="2" t="s">
        <v>88</v>
      </c>
      <c r="H995" s="2">
        <v>17</v>
      </c>
      <c r="I995" s="2" t="s">
        <v>412</v>
      </c>
      <c r="J995" s="2" t="s">
        <v>1352</v>
      </c>
      <c r="K995" s="2" t="s">
        <v>102</v>
      </c>
      <c r="L995" s="2" t="s">
        <v>1435</v>
      </c>
      <c r="M995" s="2">
        <v>8391</v>
      </c>
      <c r="N995" s="2" t="s">
        <v>425</v>
      </c>
      <c r="O995" s="2" t="s">
        <v>70</v>
      </c>
      <c r="P995" s="2" t="s">
        <v>333</v>
      </c>
      <c r="Q995" s="2" t="s">
        <v>3947</v>
      </c>
      <c r="R995" s="2">
        <v>79109</v>
      </c>
      <c r="S995" s="2">
        <v>4</v>
      </c>
      <c r="T995" s="2" t="s">
        <v>417</v>
      </c>
      <c r="U995" s="2">
        <v>35.187542000000001</v>
      </c>
      <c r="V995" s="2">
        <v>-101.8676224</v>
      </c>
      <c r="W995" s="2" t="s">
        <v>528</v>
      </c>
      <c r="X995" s="2" t="s">
        <v>3948</v>
      </c>
      <c r="Y995" s="2" t="s">
        <v>536</v>
      </c>
      <c r="Z995" s="2">
        <v>8391</v>
      </c>
      <c r="AA995" s="2" t="s">
        <v>3949</v>
      </c>
      <c r="AB995" s="2">
        <v>68369</v>
      </c>
      <c r="AC995" s="2">
        <v>365</v>
      </c>
      <c r="AD995" s="2">
        <v>44.99</v>
      </c>
      <c r="AE995" s="2">
        <v>0.15</v>
      </c>
      <c r="AF995" s="2" t="str" cm="1">
        <f t="array" ref="AF995">_xlfn.IFS(AE995=0, "No Discount ", AE995&lt;=0.08,"Low Discount", AE995&lt;=0.16,"Medium Discount", AE995&gt;0.16, "High Discount")</f>
        <v>Medium Discount</v>
      </c>
      <c r="AG995" s="2">
        <v>170929</v>
      </c>
      <c r="AH995" s="2">
        <v>59.99</v>
      </c>
      <c r="AI995" s="2">
        <v>0.45</v>
      </c>
      <c r="AJ995" s="2" t="str" cm="1">
        <f t="array" ref="AJ995">_xlfn.IFS(AI995&lt;=0, "No Profit", AI995&lt;=0.16,"Low Profit",AI995&lt;=0.32,"Medium Profit",AI995&gt;0.32,"High Profit")</f>
        <v>High Profit</v>
      </c>
      <c r="AK995" s="2">
        <v>5</v>
      </c>
      <c r="AL995" s="2">
        <v>299.95</v>
      </c>
      <c r="AM995" s="2">
        <v>254.96</v>
      </c>
      <c r="AN995" s="2">
        <v>114.73</v>
      </c>
      <c r="AO995" s="2" t="s">
        <v>531</v>
      </c>
      <c r="AP995" s="2" t="s">
        <v>538</v>
      </c>
      <c r="AQ995" s="2" t="s">
        <v>80</v>
      </c>
      <c r="AR995" s="2" t="s">
        <v>81</v>
      </c>
      <c r="AS995" s="2">
        <v>365</v>
      </c>
      <c r="AT995" s="2">
        <v>17</v>
      </c>
      <c r="AU995" s="2" t="s">
        <v>421</v>
      </c>
      <c r="AV995" s="2">
        <v>59.99</v>
      </c>
      <c r="AW995" s="2">
        <v>0</v>
      </c>
      <c r="AX995" s="2" t="s">
        <v>3950</v>
      </c>
      <c r="AY995" s="2" t="s">
        <v>83</v>
      </c>
      <c r="AZ995" s="4">
        <v>43003</v>
      </c>
      <c r="BA995" s="5">
        <v>1.4583333333333334E-2</v>
      </c>
      <c r="BB995" s="2">
        <v>2017</v>
      </c>
      <c r="BC995" s="2" t="s">
        <v>552</v>
      </c>
      <c r="BD995" s="2">
        <v>25</v>
      </c>
      <c r="BE995" s="4">
        <v>43008</v>
      </c>
      <c r="BF995" s="5">
        <v>1.4583333333333334E-2</v>
      </c>
      <c r="BG995" s="2" t="str" cm="1">
        <f t="array" ref="BG995">_xlfn.IFS(BF995&lt;TIMEVALUE("06:00"),"Night", BF995&gt;=TIMEVALUE("21:00"),"Night",BF995&gt;=TIMEVALUE("17:00"),"Evening",BF995&gt;=TIMEVALUE("12:00"),"Afternoon", BF995&gt;=TIMEVALUE("06:00"),"Morning")</f>
        <v>Night</v>
      </c>
      <c r="BH995" s="2">
        <v>2017</v>
      </c>
      <c r="BI995" s="2" t="s">
        <v>552</v>
      </c>
      <c r="BJ995" s="2">
        <v>30</v>
      </c>
    </row>
    <row r="996" spans="1:62" x14ac:dyDescent="0.3">
      <c r="A996" s="2" t="s">
        <v>62</v>
      </c>
      <c r="B996" s="2">
        <v>5</v>
      </c>
      <c r="C996" s="2">
        <v>4</v>
      </c>
      <c r="D996" s="2">
        <v>-184.69</v>
      </c>
      <c r="E996" s="2">
        <v>251.96</v>
      </c>
      <c r="F996" s="2" t="s">
        <v>87</v>
      </c>
      <c r="G996" s="2" t="s">
        <v>88</v>
      </c>
      <c r="H996" s="2">
        <v>17</v>
      </c>
      <c r="I996" s="2" t="s">
        <v>412</v>
      </c>
      <c r="J996" s="2" t="s">
        <v>1274</v>
      </c>
      <c r="K996" s="2" t="s">
        <v>102</v>
      </c>
      <c r="L996" s="2" t="s">
        <v>563</v>
      </c>
      <c r="M996" s="2">
        <v>7492</v>
      </c>
      <c r="N996" s="2" t="s">
        <v>425</v>
      </c>
      <c r="O996" s="2" t="s">
        <v>70</v>
      </c>
      <c r="P996" s="2" t="s">
        <v>105</v>
      </c>
      <c r="Q996" s="2" t="s">
        <v>3763</v>
      </c>
      <c r="R996" s="2">
        <v>93063</v>
      </c>
      <c r="S996" s="2">
        <v>4</v>
      </c>
      <c r="T996" s="2" t="s">
        <v>417</v>
      </c>
      <c r="U996" s="2">
        <v>34.267913800000002</v>
      </c>
      <c r="V996" s="2">
        <v>-118.6712112</v>
      </c>
      <c r="W996" s="2" t="s">
        <v>528</v>
      </c>
      <c r="X996" s="2" t="s">
        <v>3216</v>
      </c>
      <c r="Y996" s="2" t="s">
        <v>2613</v>
      </c>
      <c r="Z996" s="2">
        <v>7492</v>
      </c>
      <c r="AA996" s="2" t="s">
        <v>3951</v>
      </c>
      <c r="AB996" s="2">
        <v>46859</v>
      </c>
      <c r="AC996" s="2">
        <v>365</v>
      </c>
      <c r="AD996" s="2">
        <v>47.99</v>
      </c>
      <c r="AE996" s="2">
        <v>0.16</v>
      </c>
      <c r="AF996" s="2" t="str" cm="1">
        <f t="array" ref="AF996">_xlfn.IFS(AE996=0, "No Discount ", AE996&lt;=0.08,"Low Discount", AE996&lt;=0.16,"Medium Discount", AE996&gt;0.16, "High Discount")</f>
        <v>Medium Discount</v>
      </c>
      <c r="AG996" s="2">
        <v>117138</v>
      </c>
      <c r="AH996" s="2">
        <v>59.99</v>
      </c>
      <c r="AI996" s="2">
        <v>-0.73</v>
      </c>
      <c r="AJ996" s="2" t="str" cm="1">
        <f t="array" ref="AJ996">_xlfn.IFS(AI996&lt;=0, "No Profit", AI996&lt;=0.16,"Low Profit",AI996&lt;=0.32,"Medium Profit",AI996&gt;0.32,"High Profit")</f>
        <v>No Profit</v>
      </c>
      <c r="AK996" s="2">
        <v>5</v>
      </c>
      <c r="AL996" s="2">
        <v>299.95</v>
      </c>
      <c r="AM996" s="2">
        <v>251.96</v>
      </c>
      <c r="AN996" s="2">
        <v>-184.69</v>
      </c>
      <c r="AO996" s="2" t="s">
        <v>1717</v>
      </c>
      <c r="AP996" s="2" t="s">
        <v>3218</v>
      </c>
      <c r="AQ996" s="2" t="s">
        <v>80</v>
      </c>
      <c r="AR996" s="2" t="s">
        <v>81</v>
      </c>
      <c r="AS996" s="2">
        <v>365</v>
      </c>
      <c r="AT996" s="2">
        <v>17</v>
      </c>
      <c r="AU996" s="2" t="s">
        <v>421</v>
      </c>
      <c r="AV996" s="2">
        <v>59.99</v>
      </c>
      <c r="AW996" s="2">
        <v>0</v>
      </c>
      <c r="AX996" s="2" t="s">
        <v>3952</v>
      </c>
      <c r="AY996" s="2" t="s">
        <v>83</v>
      </c>
      <c r="AZ996" s="4">
        <v>42689</v>
      </c>
      <c r="BA996" s="5">
        <v>1.8055555555555554E-2</v>
      </c>
      <c r="BB996" s="2">
        <v>2016</v>
      </c>
      <c r="BC996" s="2" t="s">
        <v>455</v>
      </c>
      <c r="BD996" s="2">
        <v>15</v>
      </c>
      <c r="BE996" s="4">
        <v>42694</v>
      </c>
      <c r="BF996" s="5">
        <v>1.8055555555555554E-2</v>
      </c>
      <c r="BG996" s="2" t="str" cm="1">
        <f t="array" ref="BG996">_xlfn.IFS(BF996&lt;TIMEVALUE("06:00"),"Night", BF996&gt;=TIMEVALUE("21:00"),"Night",BF996&gt;=TIMEVALUE("17:00"),"Evening",BF996&gt;=TIMEVALUE("12:00"),"Afternoon", BF996&gt;=TIMEVALUE("06:00"),"Morning")</f>
        <v>Night</v>
      </c>
      <c r="BH996" s="2">
        <v>2016</v>
      </c>
      <c r="BI996" s="2" t="s">
        <v>455</v>
      </c>
      <c r="BJ996" s="2">
        <v>20</v>
      </c>
    </row>
    <row r="997" spans="1:62" x14ac:dyDescent="0.3">
      <c r="A997" s="2" t="s">
        <v>62</v>
      </c>
      <c r="B997" s="2">
        <v>3</v>
      </c>
      <c r="C997" s="2">
        <v>4</v>
      </c>
      <c r="D997" s="2">
        <v>120.94</v>
      </c>
      <c r="E997" s="2">
        <v>251.96</v>
      </c>
      <c r="F997" s="2" t="s">
        <v>63</v>
      </c>
      <c r="G997" s="2" t="s">
        <v>64</v>
      </c>
      <c r="H997" s="2">
        <v>17</v>
      </c>
      <c r="I997" s="2" t="s">
        <v>412</v>
      </c>
      <c r="J997" s="2" t="s">
        <v>3260</v>
      </c>
      <c r="K997" s="2" t="s">
        <v>102</v>
      </c>
      <c r="L997" s="2" t="s">
        <v>2671</v>
      </c>
      <c r="M997" s="2">
        <v>11510</v>
      </c>
      <c r="N997" s="2" t="s">
        <v>425</v>
      </c>
      <c r="O997" s="2" t="s">
        <v>70</v>
      </c>
      <c r="P997" s="2" t="s">
        <v>105</v>
      </c>
      <c r="Q997" s="2" t="s">
        <v>3953</v>
      </c>
      <c r="R997" s="2">
        <v>92024</v>
      </c>
      <c r="S997" s="2">
        <v>4</v>
      </c>
      <c r="T997" s="2" t="s">
        <v>417</v>
      </c>
      <c r="U997" s="2">
        <v>33.046470599999999</v>
      </c>
      <c r="V997" s="2">
        <v>-117.2896729</v>
      </c>
      <c r="W997" s="2" t="s">
        <v>528</v>
      </c>
      <c r="X997" s="2" t="s">
        <v>3954</v>
      </c>
      <c r="Y997" s="2" t="s">
        <v>557</v>
      </c>
      <c r="Z997" s="2">
        <v>11510</v>
      </c>
      <c r="AA997" s="2" t="s">
        <v>3955</v>
      </c>
      <c r="AB997" s="2">
        <v>63992</v>
      </c>
      <c r="AC997" s="2">
        <v>365</v>
      </c>
      <c r="AD997" s="2">
        <v>47.99</v>
      </c>
      <c r="AE997" s="2">
        <v>0.16</v>
      </c>
      <c r="AF997" s="2" t="str" cm="1">
        <f t="array" ref="AF997">_xlfn.IFS(AE997=0, "No Discount ", AE997&lt;=0.08,"Low Discount", AE997&lt;=0.16,"Medium Discount", AE997&gt;0.16, "High Discount")</f>
        <v>Medium Discount</v>
      </c>
      <c r="AG997" s="2">
        <v>159991</v>
      </c>
      <c r="AH997" s="2">
        <v>59.99</v>
      </c>
      <c r="AI997" s="2">
        <v>0.48</v>
      </c>
      <c r="AJ997" s="2" t="str" cm="1">
        <f t="array" ref="AJ997">_xlfn.IFS(AI997&lt;=0, "No Profit", AI997&lt;=0.16,"Low Profit",AI997&lt;=0.32,"Medium Profit",AI997&gt;0.32,"High Profit")</f>
        <v>High Profit</v>
      </c>
      <c r="AK997" s="2">
        <v>5</v>
      </c>
      <c r="AL997" s="2">
        <v>299.95</v>
      </c>
      <c r="AM997" s="2">
        <v>251.96</v>
      </c>
      <c r="AN997" s="2">
        <v>120.94</v>
      </c>
      <c r="AO997" s="2" t="s">
        <v>558</v>
      </c>
      <c r="AP997" s="2" t="s">
        <v>559</v>
      </c>
      <c r="AQ997" s="2" t="s">
        <v>80</v>
      </c>
      <c r="AR997" s="2" t="s">
        <v>81</v>
      </c>
      <c r="AS997" s="2">
        <v>365</v>
      </c>
      <c r="AT997" s="2">
        <v>17</v>
      </c>
      <c r="AU997" s="2" t="s">
        <v>421</v>
      </c>
      <c r="AV997" s="2">
        <v>59.99</v>
      </c>
      <c r="AW997" s="2">
        <v>0</v>
      </c>
      <c r="AX997" s="2" t="s">
        <v>3956</v>
      </c>
      <c r="AY997" s="2" t="s">
        <v>83</v>
      </c>
      <c r="AZ997" s="4">
        <v>42939</v>
      </c>
      <c r="BA997" s="5">
        <v>0.12013888888888889</v>
      </c>
      <c r="BB997" s="2">
        <v>2017</v>
      </c>
      <c r="BC997" s="2" t="s">
        <v>533</v>
      </c>
      <c r="BD997" s="2">
        <v>23</v>
      </c>
      <c r="BE997" s="4">
        <v>42942</v>
      </c>
      <c r="BF997" s="5">
        <v>0.12013888888888889</v>
      </c>
      <c r="BG997" s="2" t="str" cm="1">
        <f t="array" ref="BG997">_xlfn.IFS(BF997&lt;TIMEVALUE("06:00"),"Night", BF997&gt;=TIMEVALUE("21:00"),"Night",BF997&gt;=TIMEVALUE("17:00"),"Evening",BF997&gt;=TIMEVALUE("12:00"),"Afternoon", BF997&gt;=TIMEVALUE("06:00"),"Morning")</f>
        <v>Night</v>
      </c>
      <c r="BH997" s="2">
        <v>2017</v>
      </c>
      <c r="BI997" s="2" t="s">
        <v>533</v>
      </c>
      <c r="BJ997" s="2">
        <v>26</v>
      </c>
    </row>
    <row r="998" spans="1:62" x14ac:dyDescent="0.3">
      <c r="A998" s="2" t="s">
        <v>62</v>
      </c>
      <c r="B998" s="2">
        <v>5</v>
      </c>
      <c r="C998" s="2">
        <v>4</v>
      </c>
      <c r="D998" s="2">
        <v>-56.69</v>
      </c>
      <c r="E998" s="2">
        <v>251.96</v>
      </c>
      <c r="F998" s="2" t="s">
        <v>87</v>
      </c>
      <c r="G998" s="2" t="s">
        <v>88</v>
      </c>
      <c r="H998" s="2">
        <v>17</v>
      </c>
      <c r="I998" s="2" t="s">
        <v>412</v>
      </c>
      <c r="J998" s="2" t="s">
        <v>3712</v>
      </c>
      <c r="K998" s="2" t="s">
        <v>102</v>
      </c>
      <c r="L998" s="2" t="s">
        <v>414</v>
      </c>
      <c r="M998" s="2">
        <v>9500</v>
      </c>
      <c r="N998" s="2" t="s">
        <v>264</v>
      </c>
      <c r="O998" s="2" t="s">
        <v>70</v>
      </c>
      <c r="P998" s="2" t="s">
        <v>2160</v>
      </c>
      <c r="Q998" s="2" t="s">
        <v>3713</v>
      </c>
      <c r="R998" s="2">
        <v>63031</v>
      </c>
      <c r="S998" s="2">
        <v>4</v>
      </c>
      <c r="T998" s="2" t="s">
        <v>417</v>
      </c>
      <c r="U998" s="2">
        <v>38.796600300000001</v>
      </c>
      <c r="V998" s="2">
        <v>-90.346405000000004</v>
      </c>
      <c r="W998" s="2" t="s">
        <v>528</v>
      </c>
      <c r="X998" s="2" t="s">
        <v>3714</v>
      </c>
      <c r="Y998" s="2" t="s">
        <v>557</v>
      </c>
      <c r="Z998" s="2">
        <v>9500</v>
      </c>
      <c r="AA998" s="3">
        <v>42133.693055555559</v>
      </c>
      <c r="AB998" s="2">
        <v>16969</v>
      </c>
      <c r="AC998" s="2">
        <v>365</v>
      </c>
      <c r="AD998" s="2">
        <v>47.99</v>
      </c>
      <c r="AE998" s="2">
        <v>0.16</v>
      </c>
      <c r="AF998" s="2" t="str" cm="1">
        <f t="array" ref="AF998">_xlfn.IFS(AE998=0, "No Discount ", AE998&lt;=0.08,"Low Discount", AE998&lt;=0.16,"Medium Discount", AE998&gt;0.16, "High Discount")</f>
        <v>Medium Discount</v>
      </c>
      <c r="AG998" s="2">
        <v>42426</v>
      </c>
      <c r="AH998" s="2">
        <v>59.99</v>
      </c>
      <c r="AI998" s="2">
        <v>-0.23</v>
      </c>
      <c r="AJ998" s="2" t="str" cm="1">
        <f t="array" ref="AJ998">_xlfn.IFS(AI998&lt;=0, "No Profit", AI998&lt;=0.16,"Low Profit",AI998&lt;=0.32,"Medium Profit",AI998&gt;0.32,"High Profit")</f>
        <v>No Profit</v>
      </c>
      <c r="AK998" s="2">
        <v>5</v>
      </c>
      <c r="AL998" s="2">
        <v>299.95</v>
      </c>
      <c r="AM998" s="2">
        <v>251.96</v>
      </c>
      <c r="AN998" s="2">
        <v>-56.69</v>
      </c>
      <c r="AO998" s="2" t="s">
        <v>558</v>
      </c>
      <c r="AP998" s="2" t="s">
        <v>559</v>
      </c>
      <c r="AQ998" s="2" t="s">
        <v>80</v>
      </c>
      <c r="AR998" s="2" t="s">
        <v>81</v>
      </c>
      <c r="AS998" s="2">
        <v>365</v>
      </c>
      <c r="AT998" s="2">
        <v>17</v>
      </c>
      <c r="AU998" s="2" t="s">
        <v>421</v>
      </c>
      <c r="AV998" s="2">
        <v>59.99</v>
      </c>
      <c r="AW998" s="2">
        <v>0</v>
      </c>
      <c r="AX998" s="3">
        <v>42286.693055555559</v>
      </c>
      <c r="AY998" s="2" t="s">
        <v>83</v>
      </c>
      <c r="AZ998" s="4">
        <v>42133</v>
      </c>
      <c r="BA998" s="5">
        <v>0.69305555555555554</v>
      </c>
      <c r="BB998" s="2">
        <v>2015</v>
      </c>
      <c r="BC998" s="2" t="s">
        <v>443</v>
      </c>
      <c r="BD998" s="2">
        <v>9</v>
      </c>
      <c r="BE998" s="4">
        <v>42286</v>
      </c>
      <c r="BF998" s="5">
        <v>0.69305555555555554</v>
      </c>
      <c r="BG998" s="2" t="str" cm="1">
        <f t="array" ref="BG998">_xlfn.IFS(BF998&lt;TIMEVALUE("06:00"),"Night", BF998&gt;=TIMEVALUE("21:00"),"Night",BF998&gt;=TIMEVALUE("17:00"),"Evening",BF998&gt;=TIMEVALUE("12:00"),"Afternoon", BF998&gt;=TIMEVALUE("06:00"),"Morning")</f>
        <v>Afternoon</v>
      </c>
      <c r="BH998" s="2">
        <v>2015</v>
      </c>
      <c r="BI998" s="2" t="s">
        <v>434</v>
      </c>
      <c r="BJ998" s="2">
        <v>9</v>
      </c>
    </row>
    <row r="999" spans="1:62" x14ac:dyDescent="0.3">
      <c r="A999" s="2" t="s">
        <v>62</v>
      </c>
      <c r="B999" s="2">
        <v>6</v>
      </c>
      <c r="C999" s="2">
        <v>4</v>
      </c>
      <c r="D999" s="2">
        <v>4.9800000000000004</v>
      </c>
      <c r="E999" s="2">
        <v>248.96</v>
      </c>
      <c r="F999" s="2" t="s">
        <v>87</v>
      </c>
      <c r="G999" s="2" t="s">
        <v>88</v>
      </c>
      <c r="H999" s="2">
        <v>17</v>
      </c>
      <c r="I999" s="2" t="s">
        <v>412</v>
      </c>
      <c r="J999" s="2" t="s">
        <v>3957</v>
      </c>
      <c r="K999" s="2" t="s">
        <v>102</v>
      </c>
      <c r="L999" s="2" t="s">
        <v>414</v>
      </c>
      <c r="M999" s="2">
        <v>10821</v>
      </c>
      <c r="N999" s="2" t="s">
        <v>3958</v>
      </c>
      <c r="O999" s="2" t="s">
        <v>70</v>
      </c>
      <c r="P999" s="2" t="s">
        <v>1163</v>
      </c>
      <c r="Q999" s="2" t="s">
        <v>1800</v>
      </c>
      <c r="R999" s="2">
        <v>8753</v>
      </c>
      <c r="S999" s="2">
        <v>4</v>
      </c>
      <c r="T999" s="2" t="s">
        <v>417</v>
      </c>
      <c r="U999" s="2">
        <v>40.040561699999998</v>
      </c>
      <c r="V999" s="2">
        <v>-74.158874499999996</v>
      </c>
      <c r="W999" s="2" t="s">
        <v>528</v>
      </c>
      <c r="X999" s="2" t="s">
        <v>2941</v>
      </c>
      <c r="Y999" s="2" t="s">
        <v>983</v>
      </c>
      <c r="Z999" s="2">
        <v>10821</v>
      </c>
      <c r="AA999" s="2" t="s">
        <v>3959</v>
      </c>
      <c r="AB999" s="2">
        <v>18120</v>
      </c>
      <c r="AC999" s="2">
        <v>365</v>
      </c>
      <c r="AD999" s="2">
        <v>50.99</v>
      </c>
      <c r="AE999" s="2">
        <v>0.17</v>
      </c>
      <c r="AF999" s="2" t="str" cm="1">
        <f t="array" ref="AF999">_xlfn.IFS(AE999=0, "No Discount ", AE999&lt;=0.08,"Low Discount", AE999&lt;=0.16,"Medium Discount", AE999&gt;0.16, "High Discount")</f>
        <v>High Discount</v>
      </c>
      <c r="AG999" s="2">
        <v>45281</v>
      </c>
      <c r="AH999" s="2">
        <v>59.99</v>
      </c>
      <c r="AI999" s="2">
        <v>0.02</v>
      </c>
      <c r="AJ999" s="2" t="str" cm="1">
        <f t="array" ref="AJ999">_xlfn.IFS(AI999&lt;=0, "No Profit", AI999&lt;=0.16,"Low Profit",AI999&lt;=0.32,"Medium Profit",AI999&gt;0.32,"High Profit")</f>
        <v>Low Profit</v>
      </c>
      <c r="AK999" s="2">
        <v>5</v>
      </c>
      <c r="AL999" s="2">
        <v>299.95</v>
      </c>
      <c r="AM999" s="2">
        <v>248.96</v>
      </c>
      <c r="AN999" s="2">
        <v>4.9800000000000004</v>
      </c>
      <c r="AO999" s="2" t="s">
        <v>905</v>
      </c>
      <c r="AP999" s="2" t="s">
        <v>3378</v>
      </c>
      <c r="AQ999" s="2" t="s">
        <v>80</v>
      </c>
      <c r="AR999" s="2" t="s">
        <v>81</v>
      </c>
      <c r="AS999" s="2">
        <v>365</v>
      </c>
      <c r="AT999" s="2">
        <v>17</v>
      </c>
      <c r="AU999" s="2" t="s">
        <v>421</v>
      </c>
      <c r="AV999" s="2">
        <v>59.99</v>
      </c>
      <c r="AW999" s="2">
        <v>0</v>
      </c>
      <c r="AX999" s="2" t="s">
        <v>3960</v>
      </c>
      <c r="AY999" s="2" t="s">
        <v>83</v>
      </c>
      <c r="AZ999" s="4">
        <v>42269</v>
      </c>
      <c r="BA999" s="5">
        <v>0.49513888888888891</v>
      </c>
      <c r="BB999" s="2">
        <v>2015</v>
      </c>
      <c r="BC999" s="2" t="s">
        <v>552</v>
      </c>
      <c r="BD999" s="2">
        <v>22</v>
      </c>
      <c r="BE999" s="4">
        <v>42275</v>
      </c>
      <c r="BF999" s="5">
        <v>0.49513888888888891</v>
      </c>
      <c r="BG999" s="2" t="str" cm="1">
        <f t="array" ref="BG999">_xlfn.IFS(BF999&lt;TIMEVALUE("06:00"),"Night", BF999&gt;=TIMEVALUE("21:00"),"Night",BF999&gt;=TIMEVALUE("17:00"),"Evening",BF999&gt;=TIMEVALUE("12:00"),"Afternoon", BF999&gt;=TIMEVALUE("06:00"),"Morning")</f>
        <v>Morning</v>
      </c>
      <c r="BH999" s="2">
        <v>2015</v>
      </c>
      <c r="BI999" s="2" t="s">
        <v>552</v>
      </c>
      <c r="BJ999" s="2">
        <v>28</v>
      </c>
    </row>
    <row r="1000" spans="1:62" x14ac:dyDescent="0.3">
      <c r="A1000" s="2" t="s">
        <v>62</v>
      </c>
      <c r="B1000" s="2">
        <v>5</v>
      </c>
      <c r="C1000" s="2">
        <v>4</v>
      </c>
      <c r="D1000" s="2">
        <v>21.91</v>
      </c>
      <c r="E1000" s="2">
        <v>248.96</v>
      </c>
      <c r="F1000" s="2" t="s">
        <v>87</v>
      </c>
      <c r="G1000" s="2" t="s">
        <v>88</v>
      </c>
      <c r="H1000" s="2">
        <v>17</v>
      </c>
      <c r="I1000" s="2" t="s">
        <v>412</v>
      </c>
      <c r="J1000" s="2" t="s">
        <v>1212</v>
      </c>
      <c r="K1000" s="2" t="s">
        <v>102</v>
      </c>
      <c r="L1000" s="2" t="s">
        <v>1938</v>
      </c>
      <c r="M1000" s="2">
        <v>4727</v>
      </c>
      <c r="N1000" s="2" t="s">
        <v>3961</v>
      </c>
      <c r="O1000" s="2" t="s">
        <v>70</v>
      </c>
      <c r="P1000" s="2" t="s">
        <v>1154</v>
      </c>
      <c r="Q1000" s="2" t="s">
        <v>3962</v>
      </c>
      <c r="R1000" s="2">
        <v>96822</v>
      </c>
      <c r="S1000" s="2">
        <v>4</v>
      </c>
      <c r="T1000" s="2" t="s">
        <v>417</v>
      </c>
      <c r="U1000" s="2">
        <v>21.3056202</v>
      </c>
      <c r="V1000" s="2">
        <v>-157.8386993</v>
      </c>
      <c r="W1000" s="2" t="s">
        <v>528</v>
      </c>
      <c r="X1000" s="2" t="s">
        <v>3963</v>
      </c>
      <c r="Y1000" s="2" t="s">
        <v>536</v>
      </c>
      <c r="Z1000" s="2">
        <v>4727</v>
      </c>
      <c r="AA1000" s="3">
        <v>42012.293749999997</v>
      </c>
      <c r="AB1000" s="2">
        <v>14544</v>
      </c>
      <c r="AC1000" s="2">
        <v>365</v>
      </c>
      <c r="AD1000" s="2">
        <v>50.99</v>
      </c>
      <c r="AE1000" s="2">
        <v>0.17</v>
      </c>
      <c r="AF1000" s="2" t="str" cm="1">
        <f t="array" ref="AF1000">_xlfn.IFS(AE1000=0, "No Discount ", AE1000&lt;=0.08,"Low Discount", AE1000&lt;=0.16,"Medium Discount", AE1000&gt;0.16, "High Discount")</f>
        <v>High Discount</v>
      </c>
      <c r="AG1000" s="2">
        <v>36384</v>
      </c>
      <c r="AH1000" s="2">
        <v>59.99</v>
      </c>
      <c r="AI1000" s="2">
        <v>0.09</v>
      </c>
      <c r="AJ1000" s="2" t="str" cm="1">
        <f t="array" ref="AJ1000">_xlfn.IFS(AI1000&lt;=0, "No Profit", AI1000&lt;=0.16,"Low Profit",AI1000&lt;=0.32,"Medium Profit",AI1000&gt;0.32,"High Profit")</f>
        <v>Low Profit</v>
      </c>
      <c r="AK1000" s="2">
        <v>5</v>
      </c>
      <c r="AL1000" s="2">
        <v>299.95</v>
      </c>
      <c r="AM1000" s="2">
        <v>248.96</v>
      </c>
      <c r="AN1000" s="2">
        <v>21.91</v>
      </c>
      <c r="AO1000" s="2" t="s">
        <v>531</v>
      </c>
      <c r="AP1000" s="2" t="s">
        <v>1014</v>
      </c>
      <c r="AQ1000" s="2" t="s">
        <v>80</v>
      </c>
      <c r="AR1000" s="2" t="s">
        <v>81</v>
      </c>
      <c r="AS1000" s="2">
        <v>365</v>
      </c>
      <c r="AT1000" s="2">
        <v>17</v>
      </c>
      <c r="AU1000" s="2" t="s">
        <v>421</v>
      </c>
      <c r="AV1000" s="2">
        <v>59.99</v>
      </c>
      <c r="AW1000" s="2">
        <v>0</v>
      </c>
      <c r="AX1000" s="3">
        <v>42163.293749999997</v>
      </c>
      <c r="AY1000" s="2" t="s">
        <v>83</v>
      </c>
      <c r="AZ1000" s="4">
        <v>42012</v>
      </c>
      <c r="BA1000" s="5">
        <v>0.29375000000000001</v>
      </c>
      <c r="BB1000" s="2">
        <v>2015</v>
      </c>
      <c r="BC1000" s="2" t="s">
        <v>84</v>
      </c>
      <c r="BD1000" s="2">
        <v>8</v>
      </c>
      <c r="BE1000" s="4">
        <v>42163</v>
      </c>
      <c r="BF1000" s="5">
        <v>0.29375000000000001</v>
      </c>
      <c r="BG1000" s="2" t="str" cm="1">
        <f t="array" ref="BG1000">_xlfn.IFS(BF1000&lt;TIMEVALUE("06:00"),"Night", BF1000&gt;=TIMEVALUE("21:00"),"Night",BF1000&gt;=TIMEVALUE("17:00"),"Evening",BF1000&gt;=TIMEVALUE("12:00"),"Afternoon", BF1000&gt;=TIMEVALUE("06:00"),"Morning")</f>
        <v>Morning</v>
      </c>
      <c r="BH1000" s="2">
        <v>2015</v>
      </c>
      <c r="BI1000" s="2" t="s">
        <v>474</v>
      </c>
      <c r="BJ1000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Sharma</dc:creator>
  <cp:lastModifiedBy>Tushar Sharma</cp:lastModifiedBy>
  <dcterms:created xsi:type="dcterms:W3CDTF">2026-05-31T14:03:34Z</dcterms:created>
  <dcterms:modified xsi:type="dcterms:W3CDTF">2026-05-31T14:04:01Z</dcterms:modified>
</cp:coreProperties>
</file>